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"/>
    </mc:Choice>
  </mc:AlternateContent>
  <xr:revisionPtr revIDLastSave="0" documentId="8_{7FC4440D-7ED1-4D89-9322-BA0C1E19CBF7}" xr6:coauthVersionLast="47" xr6:coauthVersionMax="47" xr10:uidLastSave="{00000000-0000-0000-0000-000000000000}"/>
  <bookViews>
    <workbookView xWindow="-120" yWindow="-120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9" i="5" l="1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0" i="8"/>
  <c r="C70" i="8"/>
  <c r="D70" i="8"/>
  <c r="E70" i="8"/>
  <c r="F70" i="8"/>
  <c r="G70" i="8"/>
  <c r="B69" i="7"/>
  <c r="C69" i="7"/>
  <c r="D69" i="7"/>
  <c r="E69" i="7"/>
  <c r="F69" i="7"/>
  <c r="G69" i="7"/>
  <c r="H69" i="7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<sst xmlns="http://schemas.openxmlformats.org/spreadsheetml/2006/main" count="1139" uniqueCount="131">
  <si>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</si>
  <si>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</si>
  <si>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</si>
  <si>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</si>
  <si>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</si>
  <si>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</si>
  <si>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</si>
  <si>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</si>
  <si>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</si>
  <si>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</si>
  <si>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</si>
  <si>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</si>
  <si>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</si>
  <si>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</si>
  <si>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</si>
  <si>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</si>
  <si>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</si>
  <si>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</si>
  <si>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</si>
  <si>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</si>
  <si>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</si>
  <si>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</si>
  <si>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</si>
  <si>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</si>
  <si>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</si>
  <si>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</si>
  <si>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</si>
  <si>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</si>
  <si>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</si>
  <si>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</si>
  <si>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</si>
  <si>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</si>
  <si>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</si>
  <si>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</si>
  <si>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</si>
  <si>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</si>
  <si>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</si>
  <si>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</si>
  <si>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</si>
  <si>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</si>
  <si>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</si>
  <si>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</si>
  <si>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</si>
  <si>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</si>
  <si>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</si>
  <si>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</si>
  <si>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</si>
  <si>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</si>
  <si>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</si>
  <si>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</si>
  <si>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</si>
  <si>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</si>
  <si>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</si>
  <si>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</si>
  <si>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</si>
  <si>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</si>
  <si>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</si>
  <si>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</si>
  <si>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</si>
  <si>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</si>
  <si>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</si>
  <si>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</si>
  <si>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</si>
  <si>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</si>
  <si>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</si>
  <si>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</si>
  <si>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</si>
  <si>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</si>
  <si>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</si>
  <si>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</si>
  <si>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</si>
  <si>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</si>
  <si>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</si>
  <si>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</si>
  <si>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</si>
  <si>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</si>
  <si>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</si>
  <si>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</si>
  <si>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</si>
  <si>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</si>
  <si>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</si>
  <si>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</si>
  <si>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</si>
  <si>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</si>
  <si>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</si>
  <si>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</si>
  <si>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</si>
  <si>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</si>
  <si>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</si>
  <si>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</si>
  <si>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</si>
  <si>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</si>
  <si>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</si>
  <si>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</si>
  <si>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</si>
  <si>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</si>
  <si>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</si>
  <si>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</si>
  <si>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</si>
  <si>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</si>
  <si>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</si>
  <si>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</si>
  <si>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</si>
  <si>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</si>
  <si>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</si>
  <si>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</si>
  <si>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</si>
  <si>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</si>
  <si>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</si>
  <si>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</si>
  <si>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</si>
  <si>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</si>
  <si>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</si>
  <si>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</si>
  <si>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</si>
  <si>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</si>
  <si>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</si>
  <si>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</si>
  <si>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</si>
  <si>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</si>
  <si>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</si>
  <si>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</si>
  <si>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</si>
  <si>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</si>
  <si>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</si>
  <si>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</si>
  <si>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</si>
  <si>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</si>
  <si>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</si>
  <si>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05/04/2026</t>
  </si>
  <si>
    <t>Week Of 04-27-2026 to 05-04-2026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</si>
</sst>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A3" sqref="A3"/>
    </sheetView>
  </sheetViews>
  <sheetFormatPr defaultRowHeight="12.75" x14ac:dyDescent="0.2"/>
  <cols>
    <col min="1" max="1" width="22.85546875" customWidth="1"/>
    <col min="2" max="2" width="9.7109375" style="1" customWidth="1"/>
    <col min="3" max="3" width="18.7109375" style="11" customWidth="1"/>
    <col min="4" max="4" width="2.5703125" style="11" customWidth="1"/>
    <col min="5" max="5" width="18.7109375" style="11" customWidth="1"/>
    <col min="6" max="6" width="2" style="11" customWidth="1"/>
    <col min="7" max="7" width="18.7109375" style="11" customWidth="1"/>
    <col min="8" max="8" width="1.5703125" style="11" customWidth="1"/>
    <col min="9" max="9" width="21.5703125" style="10" customWidth="1"/>
    <col min="10" max="10" width="1.7109375" style="11" customWidth="1"/>
    <col min="11" max="11" width="18" style="1" customWidth="1"/>
    <col min="18" max="18" width="7.85546875" bestFit="1" customWidth="1"/>
  </cols>
  <sheetData>
    <row r="1" spans="1:12" s="1" customFormat="1" ht="30" customHeight="1" x14ac:dyDescent="0.2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5.5" x14ac:dyDescent="0.2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">
      <c r="A3" t="s">
        <v>1</v>
      </c>
      <c r="B3" s="1">
        <v>2290</v>
      </c>
      <c r="C3">
        <v>19109</v>
      </c>
      <c r="D3"/>
      <c r="E3">
        <v>43979</v>
      </c>
      <c r="F3"/>
      <c r="G3">
        <v>10374</v>
      </c>
      <c r="H3"/>
      <c r="I3">
        <v>2798</v>
      </c>
      <c r="K3" s="10">
        <f t="shared" ref="K3:K34" si="0">SUM(C3+E3+G3+I3)</f>
        <v>76260</v>
      </c>
    </row>
    <row r="4" spans="1:12" x14ac:dyDescent="0.2">
      <c r="A4" t="s">
        <v>2</v>
      </c>
      <c r="B4" s="1">
        <v>2291</v>
      </c>
      <c r="C4">
        <v>502177</v>
      </c>
      <c r="D4"/>
      <c r="E4">
        <v>263946</v>
      </c>
      <c r="F4"/>
      <c r="G4">
        <v>112089</v>
      </c>
      <c r="H4"/>
      <c r="I4">
        <v>37073</v>
      </c>
      <c r="K4" s="10">
        <f t="shared" si="0"/>
        <v>915285</v>
      </c>
    </row>
    <row r="5" spans="1:12" x14ac:dyDescent="0.2">
      <c r="A5" t="s">
        <v>3</v>
      </c>
      <c r="B5" s="1">
        <v>2292</v>
      </c>
      <c r="C5">
        <v>10696</v>
      </c>
      <c r="D5"/>
      <c r="E5">
        <v>27643</v>
      </c>
      <c r="F5"/>
      <c r="G5">
        <v>3657</v>
      </c>
      <c r="H5"/>
      <c r="I5">
        <v>1583</v>
      </c>
      <c r="K5" s="10">
        <f t="shared" si="0"/>
        <v>43579</v>
      </c>
    </row>
    <row r="6" spans="1:12" x14ac:dyDescent="0.2">
      <c r="A6" t="s">
        <v>4</v>
      </c>
      <c r="B6" s="1">
        <v>2293</v>
      </c>
      <c r="C6">
        <v>45832</v>
      </c>
      <c r="D6"/>
      <c r="E6">
        <v>51934</v>
      </c>
      <c r="F6"/>
      <c r="G6">
        <v>11695</v>
      </c>
      <c r="H6"/>
      <c r="I6">
        <v>4745</v>
      </c>
      <c r="K6" s="10">
        <f t="shared" si="0"/>
        <v>114206</v>
      </c>
    </row>
    <row r="7" spans="1:12" x14ac:dyDescent="0.2">
      <c r="A7" t="s">
        <v>5</v>
      </c>
      <c r="B7" s="1">
        <v>2294</v>
      </c>
      <c r="C7">
        <v>5287</v>
      </c>
      <c r="D7"/>
      <c r="E7">
        <v>24580</v>
      </c>
      <c r="F7"/>
      <c r="G7">
        <v>2278</v>
      </c>
      <c r="H7"/>
      <c r="I7">
        <v>891</v>
      </c>
      <c r="K7" s="10">
        <f t="shared" si="0"/>
        <v>33036</v>
      </c>
    </row>
    <row r="8" spans="1:12" x14ac:dyDescent="0.2">
      <c r="A8" t="s">
        <v>6</v>
      </c>
      <c r="B8" s="1">
        <v>2295</v>
      </c>
      <c r="C8">
        <v>104157</v>
      </c>
      <c r="D8"/>
      <c r="E8">
        <v>118149</v>
      </c>
      <c r="F8"/>
      <c r="G8">
        <v>40638</v>
      </c>
      <c r="H8"/>
      <c r="I8">
        <v>10415</v>
      </c>
      <c r="K8" s="10">
        <f t="shared" si="0"/>
        <v>273359</v>
      </c>
    </row>
    <row r="9" spans="1:12" x14ac:dyDescent="0.2">
      <c r="A9" t="s">
        <v>7</v>
      </c>
      <c r="B9" s="1">
        <v>2296</v>
      </c>
      <c r="C9">
        <v>19729</v>
      </c>
      <c r="D9"/>
      <c r="E9">
        <v>50727</v>
      </c>
      <c r="F9"/>
      <c r="G9">
        <v>8342</v>
      </c>
      <c r="H9"/>
      <c r="I9">
        <v>2725</v>
      </c>
      <c r="K9" s="10">
        <f t="shared" si="0"/>
        <v>81523</v>
      </c>
    </row>
    <row r="10" spans="1:12" x14ac:dyDescent="0.2">
      <c r="A10" t="s">
        <v>8</v>
      </c>
      <c r="B10" s="1">
        <v>2297</v>
      </c>
      <c r="C10">
        <v>7801</v>
      </c>
      <c r="D10"/>
      <c r="E10">
        <v>25603</v>
      </c>
      <c r="F10"/>
      <c r="G10">
        <v>3806</v>
      </c>
      <c r="H10"/>
      <c r="I10">
        <v>1539</v>
      </c>
      <c r="K10" s="10">
        <f t="shared" si="0"/>
        <v>38749</v>
      </c>
    </row>
    <row r="11" spans="1:12" x14ac:dyDescent="0.2">
      <c r="A11" t="s">
        <v>9</v>
      </c>
      <c r="B11" s="1">
        <v>2298</v>
      </c>
      <c r="C11">
        <v>193561</v>
      </c>
      <c r="D11"/>
      <c r="E11">
        <v>202424</v>
      </c>
      <c r="F11"/>
      <c r="G11">
        <v>69140</v>
      </c>
      <c r="H11"/>
      <c r="I11">
        <v>18553</v>
      </c>
      <c r="K11" s="10">
        <f t="shared" si="0"/>
        <v>483678</v>
      </c>
    </row>
    <row r="12" spans="1:12" x14ac:dyDescent="0.2">
      <c r="A12" t="s">
        <v>10</v>
      </c>
      <c r="B12" s="1">
        <v>2299</v>
      </c>
      <c r="C12">
        <v>39027</v>
      </c>
      <c r="D12"/>
      <c r="E12">
        <v>82889</v>
      </c>
      <c r="F12"/>
      <c r="G12">
        <v>16084</v>
      </c>
      <c r="H12"/>
      <c r="I12">
        <v>5167</v>
      </c>
      <c r="K12" s="10">
        <f t="shared" si="0"/>
        <v>143167</v>
      </c>
    </row>
    <row r="13" spans="1:12" x14ac:dyDescent="0.2">
      <c r="A13" t="s">
        <v>11</v>
      </c>
      <c r="B13" s="1">
        <v>2300</v>
      </c>
      <c r="C13">
        <v>29526</v>
      </c>
      <c r="D13"/>
      <c r="E13">
        <v>46566</v>
      </c>
      <c r="F13"/>
      <c r="G13">
        <v>7775</v>
      </c>
      <c r="H13"/>
      <c r="I13">
        <v>2112</v>
      </c>
      <c r="K13" s="10">
        <f t="shared" si="0"/>
        <v>85979</v>
      </c>
    </row>
    <row r="14" spans="1:12" x14ac:dyDescent="0.2">
      <c r="A14" t="s">
        <v>12</v>
      </c>
      <c r="B14" s="1">
        <v>2301</v>
      </c>
      <c r="C14">
        <v>667</v>
      </c>
      <c r="D14"/>
      <c r="E14">
        <v>1841</v>
      </c>
      <c r="F14"/>
      <c r="G14">
        <v>248</v>
      </c>
      <c r="H14"/>
      <c r="I14">
        <v>124</v>
      </c>
      <c r="K14" s="10">
        <f t="shared" si="0"/>
        <v>2880</v>
      </c>
    </row>
    <row r="15" spans="1:12" x14ac:dyDescent="0.2">
      <c r="A15" t="s">
        <v>13</v>
      </c>
      <c r="B15" s="1">
        <v>2302</v>
      </c>
      <c r="C15">
        <v>14061</v>
      </c>
      <c r="D15"/>
      <c r="E15">
        <v>23870</v>
      </c>
      <c r="F15"/>
      <c r="G15">
        <v>5726</v>
      </c>
      <c r="H15"/>
      <c r="I15">
        <v>1926</v>
      </c>
      <c r="K15" s="10">
        <f t="shared" si="0"/>
        <v>45583</v>
      </c>
    </row>
    <row r="16" spans="1:12" x14ac:dyDescent="0.2">
      <c r="A16" t="s">
        <v>14</v>
      </c>
      <c r="B16" s="1">
        <v>2303</v>
      </c>
      <c r="C16">
        <v>41457</v>
      </c>
      <c r="D16"/>
      <c r="E16">
        <v>41904</v>
      </c>
      <c r="F16"/>
      <c r="G16">
        <v>15991</v>
      </c>
      <c r="H16"/>
      <c r="I16">
        <v>2707</v>
      </c>
      <c r="K16" s="10">
        <f t="shared" si="0"/>
        <v>102059</v>
      </c>
    </row>
    <row r="17" spans="1:11" x14ac:dyDescent="0.2">
      <c r="A17" t="s">
        <v>15</v>
      </c>
      <c r="B17" s="1">
        <v>2304</v>
      </c>
      <c r="C17">
        <v>160290</v>
      </c>
      <c r="D17"/>
      <c r="E17">
        <v>152213</v>
      </c>
      <c r="F17"/>
      <c r="G17">
        <v>58108</v>
      </c>
      <c r="H17"/>
      <c r="I17">
        <v>18043</v>
      </c>
      <c r="K17" s="10">
        <f t="shared" si="0"/>
        <v>388654</v>
      </c>
    </row>
    <row r="18" spans="1:11" x14ac:dyDescent="0.2">
      <c r="A18" t="s">
        <v>16</v>
      </c>
      <c r="B18" s="1">
        <v>2305</v>
      </c>
      <c r="C18">
        <v>5071</v>
      </c>
      <c r="D18"/>
      <c r="E18">
        <v>15583</v>
      </c>
      <c r="F18"/>
      <c r="G18">
        <v>2076</v>
      </c>
      <c r="H18"/>
      <c r="I18">
        <v>647</v>
      </c>
      <c r="K18" s="10">
        <f t="shared" si="0"/>
        <v>23377</v>
      </c>
    </row>
    <row r="19" spans="1:11" x14ac:dyDescent="0.2">
      <c r="A19" t="s">
        <v>17</v>
      </c>
      <c r="B19" s="1">
        <v>2306</v>
      </c>
      <c r="C19">
        <v>12070</v>
      </c>
      <c r="D19"/>
      <c r="E19">
        <v>31443</v>
      </c>
      <c r="F19"/>
      <c r="G19">
        <v>4272</v>
      </c>
      <c r="H19"/>
      <c r="I19">
        <v>1789</v>
      </c>
      <c r="K19" s="10">
        <f t="shared" si="0"/>
        <v>49574</v>
      </c>
    </row>
    <row r="20" spans="1:11" x14ac:dyDescent="0.2">
      <c r="A20" t="s">
        <v>18</v>
      </c>
      <c r="B20" s="1">
        <v>2307</v>
      </c>
      <c r="C20">
        <v>6066</v>
      </c>
      <c r="D20"/>
      <c r="E20">
        <v>13315</v>
      </c>
      <c r="F20"/>
      <c r="G20">
        <v>2401</v>
      </c>
      <c r="H20"/>
      <c r="I20">
        <v>740</v>
      </c>
      <c r="K20" s="10">
        <f t="shared" si="0"/>
        <v>22522</v>
      </c>
    </row>
    <row r="21" spans="1:11" x14ac:dyDescent="0.2">
      <c r="A21" t="s">
        <v>19</v>
      </c>
      <c r="B21" s="1">
        <v>2308</v>
      </c>
      <c r="C21">
        <v>11815</v>
      </c>
      <c r="D21"/>
      <c r="E21">
        <v>22458</v>
      </c>
      <c r="F21"/>
      <c r="G21">
        <v>4827</v>
      </c>
      <c r="H21"/>
      <c r="I21">
        <v>1492</v>
      </c>
      <c r="K21" s="10">
        <f t="shared" si="0"/>
        <v>40592</v>
      </c>
    </row>
    <row r="22" spans="1:11" x14ac:dyDescent="0.2">
      <c r="A22" t="s">
        <v>20</v>
      </c>
      <c r="B22" s="1">
        <v>2309</v>
      </c>
      <c r="C22">
        <v>14474</v>
      </c>
      <c r="D22"/>
      <c r="E22">
        <v>31900</v>
      </c>
      <c r="F22"/>
      <c r="G22">
        <v>4913</v>
      </c>
      <c r="H22"/>
      <c r="I22">
        <v>1850</v>
      </c>
      <c r="K22" s="10">
        <f t="shared" si="0"/>
        <v>53137</v>
      </c>
    </row>
    <row r="23" spans="1:11" x14ac:dyDescent="0.2">
      <c r="A23" t="s">
        <v>21</v>
      </c>
      <c r="B23" s="1">
        <v>2310</v>
      </c>
      <c r="C23">
        <v>61120</v>
      </c>
      <c r="D23"/>
      <c r="E23">
        <v>88470</v>
      </c>
      <c r="F23"/>
      <c r="G23">
        <v>26600</v>
      </c>
      <c r="H23"/>
      <c r="I23">
        <v>6506</v>
      </c>
      <c r="K23" s="10">
        <f t="shared" si="0"/>
        <v>182696</v>
      </c>
    </row>
    <row r="24" spans="1:11" x14ac:dyDescent="0.2">
      <c r="A24" t="s">
        <v>22</v>
      </c>
      <c r="B24" s="1">
        <v>2311</v>
      </c>
      <c r="C24">
        <v>85472</v>
      </c>
      <c r="D24"/>
      <c r="E24">
        <v>76278</v>
      </c>
      <c r="F24"/>
      <c r="G24">
        <v>30444</v>
      </c>
      <c r="H24"/>
      <c r="I24">
        <v>7286</v>
      </c>
      <c r="K24" s="10">
        <f t="shared" si="0"/>
        <v>199480</v>
      </c>
    </row>
    <row r="25" spans="1:11" x14ac:dyDescent="0.2">
      <c r="A25" t="s">
        <v>23</v>
      </c>
      <c r="B25" s="1">
        <v>2312</v>
      </c>
      <c r="C25">
        <v>202314</v>
      </c>
      <c r="D25"/>
      <c r="E25">
        <v>143601</v>
      </c>
      <c r="F25"/>
      <c r="G25">
        <v>48419</v>
      </c>
      <c r="H25"/>
      <c r="I25">
        <v>15776</v>
      </c>
      <c r="K25" s="10">
        <f t="shared" si="0"/>
        <v>410110</v>
      </c>
    </row>
    <row r="26" spans="1:11" x14ac:dyDescent="0.2">
      <c r="A26" t="s">
        <v>24</v>
      </c>
      <c r="B26" s="1">
        <v>2313</v>
      </c>
      <c r="C26">
        <v>5813</v>
      </c>
      <c r="D26"/>
      <c r="E26">
        <v>12132</v>
      </c>
      <c r="F26"/>
      <c r="G26">
        <v>1752</v>
      </c>
      <c r="H26"/>
      <c r="I26">
        <v>789</v>
      </c>
      <c r="K26" s="10">
        <f t="shared" si="0"/>
        <v>20486</v>
      </c>
    </row>
    <row r="27" spans="1:11" x14ac:dyDescent="0.2">
      <c r="A27" t="s">
        <v>25</v>
      </c>
      <c r="B27" s="1">
        <v>2314</v>
      </c>
      <c r="C27">
        <v>76592</v>
      </c>
      <c r="D27"/>
      <c r="E27">
        <v>71066</v>
      </c>
      <c r="F27"/>
      <c r="G27">
        <v>20649</v>
      </c>
      <c r="H27"/>
      <c r="I27">
        <v>6673</v>
      </c>
      <c r="K27" s="10">
        <f t="shared" si="0"/>
        <v>174980</v>
      </c>
    </row>
    <row r="28" spans="1:11" x14ac:dyDescent="0.2">
      <c r="A28" t="s">
        <v>26</v>
      </c>
      <c r="B28" s="1">
        <v>2315</v>
      </c>
      <c r="C28">
        <v>29629</v>
      </c>
      <c r="D28"/>
      <c r="E28">
        <v>41290</v>
      </c>
      <c r="F28"/>
      <c r="G28">
        <v>6599</v>
      </c>
      <c r="H28"/>
      <c r="I28">
        <v>2068</v>
      </c>
      <c r="K28" s="10">
        <f t="shared" si="0"/>
        <v>79586</v>
      </c>
    </row>
    <row r="29" spans="1:11" x14ac:dyDescent="0.2">
      <c r="A29" t="s">
        <v>27</v>
      </c>
      <c r="B29" s="1">
        <v>2316</v>
      </c>
      <c r="C29">
        <v>773</v>
      </c>
      <c r="D29"/>
      <c r="E29">
        <v>2032</v>
      </c>
      <c r="F29"/>
      <c r="G29">
        <v>267</v>
      </c>
      <c r="H29"/>
      <c r="I29">
        <v>123</v>
      </c>
      <c r="K29" s="10">
        <f t="shared" si="0"/>
        <v>3195</v>
      </c>
    </row>
    <row r="30" spans="1:11" x14ac:dyDescent="0.2">
      <c r="A30" t="s">
        <v>28</v>
      </c>
      <c r="B30" s="1">
        <v>2317</v>
      </c>
      <c r="C30">
        <v>23385</v>
      </c>
      <c r="D30"/>
      <c r="E30">
        <v>64420</v>
      </c>
      <c r="F30"/>
      <c r="G30">
        <v>13698</v>
      </c>
      <c r="H30"/>
      <c r="I30">
        <v>3426</v>
      </c>
      <c r="K30" s="10">
        <f t="shared" si="0"/>
        <v>104929</v>
      </c>
    </row>
    <row r="31" spans="1:11" x14ac:dyDescent="0.2">
      <c r="A31" t="s">
        <v>29</v>
      </c>
      <c r="B31" s="1">
        <v>2318</v>
      </c>
      <c r="C31">
        <v>1474</v>
      </c>
      <c r="D31"/>
      <c r="E31">
        <v>7489</v>
      </c>
      <c r="F31"/>
      <c r="G31">
        <v>891</v>
      </c>
      <c r="H31"/>
      <c r="I31">
        <v>266</v>
      </c>
      <c r="K31" s="10">
        <f t="shared" si="0"/>
        <v>10120</v>
      </c>
    </row>
    <row r="32" spans="1:11" x14ac:dyDescent="0.2">
      <c r="A32" t="s">
        <v>30</v>
      </c>
      <c r="B32" s="1">
        <v>2319</v>
      </c>
      <c r="C32">
        <v>7421</v>
      </c>
      <c r="D32"/>
      <c r="E32">
        <v>12120</v>
      </c>
      <c r="F32"/>
      <c r="G32">
        <v>1628</v>
      </c>
      <c r="H32"/>
      <c r="I32">
        <v>600</v>
      </c>
      <c r="K32" s="10">
        <f t="shared" si="0"/>
        <v>21769</v>
      </c>
    </row>
    <row r="33" spans="1:11" x14ac:dyDescent="0.2">
      <c r="A33" t="s">
        <v>31</v>
      </c>
      <c r="B33" s="1">
        <v>2320</v>
      </c>
      <c r="C33">
        <v>6051</v>
      </c>
      <c r="D33"/>
      <c r="E33">
        <v>18947</v>
      </c>
      <c r="F33"/>
      <c r="G33">
        <v>2361</v>
      </c>
      <c r="H33"/>
      <c r="I33">
        <v>592</v>
      </c>
      <c r="K33" s="10">
        <f t="shared" si="0"/>
        <v>27951</v>
      </c>
    </row>
    <row r="34" spans="1:11" x14ac:dyDescent="0.2">
      <c r="A34" t="s">
        <v>32</v>
      </c>
      <c r="B34" s="1">
        <v>2321</v>
      </c>
      <c r="C34">
        <v>13984</v>
      </c>
      <c r="D34"/>
      <c r="E34">
        <v>28901</v>
      </c>
      <c r="F34"/>
      <c r="G34">
        <v>4620</v>
      </c>
      <c r="H34"/>
      <c r="I34">
        <v>1679</v>
      </c>
      <c r="K34" s="10">
        <f t="shared" si="0"/>
        <v>49184</v>
      </c>
    </row>
    <row r="35" spans="1:11" x14ac:dyDescent="0.2">
      <c r="A35" t="s">
        <v>33</v>
      </c>
      <c r="B35" s="1">
        <v>2322</v>
      </c>
      <c r="C35">
        <v>5432</v>
      </c>
      <c r="D35"/>
      <c r="E35">
        <v>19461</v>
      </c>
      <c r="F35"/>
      <c r="G35">
        <v>2274</v>
      </c>
      <c r="H35"/>
      <c r="I35">
        <v>929</v>
      </c>
      <c r="K35" s="10">
        <f t="shared" ref="K35:K69" si="1">SUM(C35+E35+G35+I35)</f>
        <v>28096</v>
      </c>
    </row>
    <row r="36" spans="1:11" x14ac:dyDescent="0.2">
      <c r="A36" t="s">
        <v>34</v>
      </c>
      <c r="B36" s="1">
        <v>2323</v>
      </c>
      <c r="C36">
        <v>2551</v>
      </c>
      <c r="D36"/>
      <c r="E36">
        <v>10037</v>
      </c>
      <c r="F36"/>
      <c r="G36">
        <v>1161</v>
      </c>
      <c r="H36"/>
      <c r="I36">
        <v>332</v>
      </c>
      <c r="K36" s="10">
        <f t="shared" si="1"/>
        <v>14081</v>
      </c>
    </row>
    <row r="37" spans="1:11" x14ac:dyDescent="0.2">
      <c r="A37" t="s">
        <v>35</v>
      </c>
      <c r="B37" s="1">
        <v>2324</v>
      </c>
      <c r="C37">
        <v>76219</v>
      </c>
      <c r="D37"/>
      <c r="E37">
        <v>52302</v>
      </c>
      <c r="F37"/>
      <c r="G37">
        <v>16995</v>
      </c>
      <c r="H37"/>
      <c r="I37">
        <v>3453</v>
      </c>
      <c r="K37" s="10">
        <f t="shared" si="1"/>
        <v>148969</v>
      </c>
    </row>
    <row r="38" spans="1:11" x14ac:dyDescent="0.2">
      <c r="A38" t="s">
        <v>36</v>
      </c>
      <c r="B38" s="1">
        <v>2325</v>
      </c>
      <c r="C38">
        <v>112148</v>
      </c>
      <c r="D38"/>
      <c r="E38">
        <v>183911</v>
      </c>
      <c r="F38"/>
      <c r="G38">
        <v>50622</v>
      </c>
      <c r="H38"/>
      <c r="I38">
        <v>16079</v>
      </c>
      <c r="K38" s="10">
        <f t="shared" si="1"/>
        <v>362760</v>
      </c>
    </row>
    <row r="39" spans="1:11" x14ac:dyDescent="0.2">
      <c r="A39" t="s">
        <v>37</v>
      </c>
      <c r="B39" s="1">
        <v>2326</v>
      </c>
      <c r="C39">
        <v>19713</v>
      </c>
      <c r="D39"/>
      <c r="E39">
        <v>30148</v>
      </c>
      <c r="F39"/>
      <c r="G39">
        <v>5578</v>
      </c>
      <c r="H39"/>
      <c r="I39">
        <v>1909</v>
      </c>
      <c r="K39" s="10">
        <f t="shared" si="1"/>
        <v>57348</v>
      </c>
    </row>
    <row r="40" spans="1:11" x14ac:dyDescent="0.2">
      <c r="A40" t="s">
        <v>38</v>
      </c>
      <c r="B40" s="1">
        <v>2327</v>
      </c>
      <c r="C40">
        <v>25323</v>
      </c>
      <c r="D40"/>
      <c r="E40">
        <v>52672</v>
      </c>
      <c r="F40"/>
      <c r="G40">
        <v>12057</v>
      </c>
      <c r="H40"/>
      <c r="I40">
        <v>3705</v>
      </c>
      <c r="K40" s="10">
        <f t="shared" si="1"/>
        <v>93757</v>
      </c>
    </row>
    <row r="41" spans="1:11" x14ac:dyDescent="0.2">
      <c r="A41" t="s">
        <v>39</v>
      </c>
      <c r="B41" s="1">
        <v>2328</v>
      </c>
      <c r="C41">
        <v>110873</v>
      </c>
      <c r="D41"/>
      <c r="E41">
        <v>89815</v>
      </c>
      <c r="F41"/>
      <c r="G41">
        <v>45017</v>
      </c>
      <c r="H41"/>
      <c r="I41">
        <v>7344</v>
      </c>
      <c r="K41" s="10">
        <f t="shared" si="1"/>
        <v>253049</v>
      </c>
    </row>
    <row r="42" spans="1:11" x14ac:dyDescent="0.2">
      <c r="A42" t="s">
        <v>40</v>
      </c>
      <c r="B42" s="1">
        <v>2329</v>
      </c>
      <c r="C42">
        <v>84116</v>
      </c>
      <c r="D42"/>
      <c r="E42">
        <v>91231</v>
      </c>
      <c r="F42"/>
      <c r="G42">
        <v>25253</v>
      </c>
      <c r="H42"/>
      <c r="I42">
        <v>5683</v>
      </c>
      <c r="K42" s="10">
        <f t="shared" si="1"/>
        <v>206283</v>
      </c>
    </row>
    <row r="43" spans="1:11" x14ac:dyDescent="0.2">
      <c r="A43" t="s">
        <v>41</v>
      </c>
      <c r="B43" s="1">
        <v>2330</v>
      </c>
      <c r="C43">
        <v>18135</v>
      </c>
      <c r="D43"/>
      <c r="E43">
        <v>43888</v>
      </c>
      <c r="F43"/>
      <c r="G43">
        <v>7778</v>
      </c>
      <c r="H43"/>
      <c r="I43">
        <v>2733</v>
      </c>
      <c r="K43" s="10">
        <f t="shared" si="1"/>
        <v>72534</v>
      </c>
    </row>
    <row r="44" spans="1:11" x14ac:dyDescent="0.2">
      <c r="A44" t="s">
        <v>91</v>
      </c>
      <c r="B44" s="1">
        <v>2331</v>
      </c>
      <c r="C44">
        <v>5280</v>
      </c>
      <c r="D44"/>
      <c r="E44">
        <v>16154</v>
      </c>
      <c r="F44"/>
      <c r="G44">
        <v>2690</v>
      </c>
      <c r="H44"/>
      <c r="I44">
        <v>1024</v>
      </c>
      <c r="K44" s="10">
        <f t="shared" si="1"/>
        <v>25148</v>
      </c>
    </row>
    <row r="45" spans="1:11" x14ac:dyDescent="0.2">
      <c r="A45" t="s">
        <v>43</v>
      </c>
      <c r="B45" s="1">
        <v>2332</v>
      </c>
      <c r="C45">
        <v>23174</v>
      </c>
      <c r="D45"/>
      <c r="E45">
        <v>38335</v>
      </c>
      <c r="F45"/>
      <c r="G45">
        <v>8334</v>
      </c>
      <c r="H45"/>
      <c r="I45">
        <v>2032</v>
      </c>
      <c r="K45" s="10">
        <f t="shared" si="1"/>
        <v>71875</v>
      </c>
    </row>
    <row r="46" spans="1:11" x14ac:dyDescent="0.2">
      <c r="A46" t="s">
        <v>44</v>
      </c>
      <c r="B46" s="1">
        <v>2333</v>
      </c>
      <c r="C46">
        <v>5363</v>
      </c>
      <c r="D46"/>
      <c r="E46">
        <v>18637</v>
      </c>
      <c r="F46"/>
      <c r="G46">
        <v>2497</v>
      </c>
      <c r="H46"/>
      <c r="I46">
        <v>620</v>
      </c>
      <c r="K46" s="10">
        <f t="shared" si="1"/>
        <v>27117</v>
      </c>
    </row>
    <row r="47" spans="1:11" x14ac:dyDescent="0.2">
      <c r="A47" t="s">
        <v>45</v>
      </c>
      <c r="B47" s="1">
        <v>2334</v>
      </c>
      <c r="C47">
        <v>48293</v>
      </c>
      <c r="D47"/>
      <c r="E47">
        <v>43205</v>
      </c>
      <c r="F47"/>
      <c r="G47">
        <v>20267</v>
      </c>
      <c r="H47"/>
      <c r="I47">
        <v>5023</v>
      </c>
      <c r="K47" s="10">
        <f t="shared" si="1"/>
        <v>116788</v>
      </c>
    </row>
    <row r="48" spans="1:11" x14ac:dyDescent="0.2">
      <c r="A48" t="s">
        <v>46</v>
      </c>
      <c r="B48" s="1">
        <v>2335</v>
      </c>
      <c r="C48">
        <v>304393</v>
      </c>
      <c r="D48"/>
      <c r="E48">
        <v>208285</v>
      </c>
      <c r="F48"/>
      <c r="G48">
        <v>82967</v>
      </c>
      <c r="H48"/>
      <c r="I48">
        <v>26253</v>
      </c>
      <c r="K48" s="10">
        <f t="shared" si="1"/>
        <v>621898</v>
      </c>
    </row>
    <row r="49" spans="1:11" x14ac:dyDescent="0.2">
      <c r="A49" t="s">
        <v>47</v>
      </c>
      <c r="B49" s="1">
        <v>2336</v>
      </c>
      <c r="C49">
        <v>3745</v>
      </c>
      <c r="D49"/>
      <c r="E49">
        <v>6562</v>
      </c>
      <c r="F49"/>
      <c r="G49">
        <v>1594</v>
      </c>
      <c r="H49"/>
      <c r="I49">
        <v>401</v>
      </c>
      <c r="K49" s="10">
        <f t="shared" si="1"/>
        <v>12302</v>
      </c>
    </row>
    <row r="50" spans="1:11" x14ac:dyDescent="0.2">
      <c r="A50" t="s">
        <v>48</v>
      </c>
      <c r="B50" s="1">
        <v>2337</v>
      </c>
      <c r="C50">
        <v>95579</v>
      </c>
      <c r="D50"/>
      <c r="E50">
        <v>86947</v>
      </c>
      <c r="F50"/>
      <c r="G50">
        <v>39115</v>
      </c>
      <c r="H50"/>
      <c r="I50">
        <v>9612</v>
      </c>
      <c r="K50" s="10">
        <f t="shared" si="1"/>
        <v>231253</v>
      </c>
    </row>
    <row r="51" spans="1:11" x14ac:dyDescent="0.2">
      <c r="A51" t="s">
        <v>49</v>
      </c>
      <c r="B51" s="1">
        <v>2338</v>
      </c>
      <c r="C51">
        <v>15318</v>
      </c>
      <c r="D51"/>
      <c r="E51">
        <v>31949</v>
      </c>
      <c r="F51"/>
      <c r="G51">
        <v>5762</v>
      </c>
      <c r="H51"/>
      <c r="I51">
        <v>2248</v>
      </c>
      <c r="K51" s="10">
        <f t="shared" si="1"/>
        <v>55277</v>
      </c>
    </row>
    <row r="52" spans="1:11" x14ac:dyDescent="0.2">
      <c r="A52" t="s">
        <v>50</v>
      </c>
      <c r="B52" s="1">
        <v>2339</v>
      </c>
      <c r="C52">
        <v>5985</v>
      </c>
      <c r="D52"/>
      <c r="E52">
        <v>20977</v>
      </c>
      <c r="F52"/>
      <c r="G52">
        <v>3363</v>
      </c>
      <c r="H52"/>
      <c r="I52">
        <v>849</v>
      </c>
      <c r="K52" s="10">
        <f t="shared" si="1"/>
        <v>31174</v>
      </c>
    </row>
    <row r="53" spans="1:11" x14ac:dyDescent="0.2">
      <c r="A53" t="s">
        <v>51</v>
      </c>
      <c r="B53" s="1">
        <v>2340</v>
      </c>
      <c r="C53">
        <v>772555</v>
      </c>
      <c r="D53"/>
      <c r="E53">
        <v>131282</v>
      </c>
      <c r="F53"/>
      <c r="G53">
        <v>148034</v>
      </c>
      <c r="H53"/>
      <c r="I53">
        <v>26307</v>
      </c>
      <c r="K53" s="10">
        <f t="shared" si="1"/>
        <v>1078178</v>
      </c>
    </row>
    <row r="54" spans="1:11" x14ac:dyDescent="0.2">
      <c r="A54" t="s">
        <v>52</v>
      </c>
      <c r="B54" s="1">
        <v>2341</v>
      </c>
      <c r="C54">
        <v>13547</v>
      </c>
      <c r="D54"/>
      <c r="E54">
        <v>22952</v>
      </c>
      <c r="F54"/>
      <c r="G54">
        <v>8355</v>
      </c>
      <c r="H54"/>
      <c r="I54">
        <v>2163</v>
      </c>
      <c r="K54" s="10">
        <f t="shared" si="1"/>
        <v>47017</v>
      </c>
    </row>
    <row r="55" spans="1:11" x14ac:dyDescent="0.2">
      <c r="A55" t="s">
        <v>53</v>
      </c>
      <c r="B55" s="1">
        <v>2342</v>
      </c>
      <c r="C55">
        <v>1738</v>
      </c>
      <c r="D55"/>
      <c r="E55">
        <v>8039</v>
      </c>
      <c r="F55"/>
      <c r="G55">
        <v>991</v>
      </c>
      <c r="H55"/>
      <c r="I55">
        <v>276</v>
      </c>
      <c r="K55" s="10">
        <f t="shared" si="1"/>
        <v>11044</v>
      </c>
    </row>
    <row r="56" spans="1:11" x14ac:dyDescent="0.2">
      <c r="A56" t="s">
        <v>54</v>
      </c>
      <c r="B56" s="1">
        <v>2343</v>
      </c>
      <c r="C56">
        <v>25357</v>
      </c>
      <c r="D56"/>
      <c r="E56">
        <v>53200</v>
      </c>
      <c r="F56"/>
      <c r="G56">
        <v>9908</v>
      </c>
      <c r="H56"/>
      <c r="I56">
        <v>3787</v>
      </c>
      <c r="K56" s="10">
        <f t="shared" si="1"/>
        <v>92252</v>
      </c>
    </row>
    <row r="57" spans="1:11" x14ac:dyDescent="0.2">
      <c r="A57" t="s">
        <v>55</v>
      </c>
      <c r="B57" s="1">
        <v>2344</v>
      </c>
      <c r="C57">
        <v>4891</v>
      </c>
      <c r="D57"/>
      <c r="E57">
        <v>15979</v>
      </c>
      <c r="F57"/>
      <c r="G57">
        <v>2342</v>
      </c>
      <c r="H57"/>
      <c r="I57">
        <v>671</v>
      </c>
      <c r="K57" s="10">
        <f t="shared" si="1"/>
        <v>23883</v>
      </c>
    </row>
    <row r="58" spans="1:11" x14ac:dyDescent="0.2">
      <c r="A58" t="s">
        <v>56</v>
      </c>
      <c r="B58" s="1">
        <v>2345</v>
      </c>
      <c r="C58">
        <v>10515</v>
      </c>
      <c r="D58"/>
      <c r="E58">
        <v>32852</v>
      </c>
      <c r="F58"/>
      <c r="G58">
        <v>4349</v>
      </c>
      <c r="H58"/>
      <c r="I58">
        <v>765</v>
      </c>
      <c r="K58" s="10">
        <f t="shared" si="1"/>
        <v>48481</v>
      </c>
    </row>
    <row r="59" spans="1:11" x14ac:dyDescent="0.2">
      <c r="A59" t="s">
        <v>57</v>
      </c>
      <c r="B59" s="1">
        <v>2346</v>
      </c>
      <c r="C59">
        <v>1062</v>
      </c>
      <c r="D59"/>
      <c r="E59">
        <v>2844</v>
      </c>
      <c r="F59"/>
      <c r="G59">
        <v>367</v>
      </c>
      <c r="H59"/>
      <c r="I59">
        <v>161</v>
      </c>
      <c r="K59" s="10">
        <f t="shared" si="1"/>
        <v>4434</v>
      </c>
    </row>
    <row r="60" spans="1:11" x14ac:dyDescent="0.2">
      <c r="A60" t="s">
        <v>58</v>
      </c>
      <c r="B60" s="1">
        <v>2347</v>
      </c>
      <c r="C60">
        <v>6257</v>
      </c>
      <c r="D60"/>
      <c r="E60">
        <v>17584</v>
      </c>
      <c r="F60"/>
      <c r="G60">
        <v>2916</v>
      </c>
      <c r="H60"/>
      <c r="I60">
        <v>1160</v>
      </c>
      <c r="K60" s="10">
        <f t="shared" si="1"/>
        <v>27917</v>
      </c>
    </row>
    <row r="61" spans="1:11" x14ac:dyDescent="0.2">
      <c r="A61" t="s">
        <v>59</v>
      </c>
      <c r="B61" s="1">
        <v>2348</v>
      </c>
      <c r="C61">
        <v>4917</v>
      </c>
      <c r="D61"/>
      <c r="E61">
        <v>18116</v>
      </c>
      <c r="F61"/>
      <c r="G61">
        <v>2918</v>
      </c>
      <c r="H61"/>
      <c r="I61">
        <v>794</v>
      </c>
      <c r="K61" s="10">
        <f t="shared" si="1"/>
        <v>26745</v>
      </c>
    </row>
    <row r="62" spans="1:11" x14ac:dyDescent="0.2">
      <c r="A62" t="s">
        <v>60</v>
      </c>
      <c r="B62" s="1">
        <v>2349</v>
      </c>
      <c r="C62">
        <v>7760</v>
      </c>
      <c r="D62"/>
      <c r="E62">
        <v>14415</v>
      </c>
      <c r="F62"/>
      <c r="G62">
        <v>3208</v>
      </c>
      <c r="H62"/>
      <c r="I62">
        <v>980</v>
      </c>
      <c r="K62" s="10">
        <f t="shared" si="1"/>
        <v>26363</v>
      </c>
    </row>
    <row r="63" spans="1:11" x14ac:dyDescent="0.2">
      <c r="A63" t="s">
        <v>61</v>
      </c>
      <c r="B63" s="1">
        <v>2350</v>
      </c>
      <c r="C63">
        <v>8049</v>
      </c>
      <c r="D63"/>
      <c r="E63">
        <v>20173</v>
      </c>
      <c r="F63"/>
      <c r="G63">
        <v>3366</v>
      </c>
      <c r="H63"/>
      <c r="I63">
        <v>1218</v>
      </c>
      <c r="K63" s="10">
        <f t="shared" si="1"/>
        <v>32806</v>
      </c>
    </row>
    <row r="64" spans="1:11" x14ac:dyDescent="0.2">
      <c r="A64" t="s">
        <v>62</v>
      </c>
      <c r="B64" s="1">
        <v>2351</v>
      </c>
      <c r="C64">
        <v>6366</v>
      </c>
      <c r="D64"/>
      <c r="E64">
        <v>15264</v>
      </c>
      <c r="F64"/>
      <c r="G64">
        <v>2547</v>
      </c>
      <c r="H64"/>
      <c r="I64">
        <v>1260</v>
      </c>
      <c r="K64" s="10">
        <f t="shared" si="1"/>
        <v>25437</v>
      </c>
    </row>
    <row r="65" spans="1:11" x14ac:dyDescent="0.2">
      <c r="A65" t="s">
        <v>63</v>
      </c>
      <c r="B65" s="1">
        <v>2352</v>
      </c>
      <c r="C65">
        <v>52886</v>
      </c>
      <c r="D65"/>
      <c r="E65">
        <v>72955</v>
      </c>
      <c r="F65"/>
      <c r="G65">
        <v>15841</v>
      </c>
      <c r="H65"/>
      <c r="I65">
        <v>3806</v>
      </c>
      <c r="K65" s="10">
        <f t="shared" si="1"/>
        <v>145488</v>
      </c>
    </row>
    <row r="66" spans="1:11" x14ac:dyDescent="0.2">
      <c r="A66" t="s">
        <v>64</v>
      </c>
      <c r="B66" s="1">
        <v>2353</v>
      </c>
      <c r="C66">
        <v>8670</v>
      </c>
      <c r="D66"/>
      <c r="E66">
        <v>21690</v>
      </c>
      <c r="F66"/>
      <c r="G66">
        <v>5089</v>
      </c>
      <c r="H66"/>
      <c r="I66">
        <v>1058</v>
      </c>
      <c r="K66" s="10">
        <f t="shared" si="1"/>
        <v>36507</v>
      </c>
    </row>
    <row r="67" spans="1:11" x14ac:dyDescent="0.2">
      <c r="A67" t="s">
        <v>65</v>
      </c>
      <c r="B67" s="1">
        <v>2354</v>
      </c>
      <c r="C67">
        <v>86917</v>
      </c>
      <c r="D67"/>
      <c r="E67">
        <v>130941</v>
      </c>
      <c r="F67"/>
      <c r="G67">
        <v>23602</v>
      </c>
      <c r="H67"/>
      <c r="I67">
        <v>9235</v>
      </c>
      <c r="K67" s="10">
        <f t="shared" si="1"/>
        <v>250695</v>
      </c>
    </row>
    <row r="68" spans="1:11" x14ac:dyDescent="0.2">
      <c r="A68" t="s">
        <v>66</v>
      </c>
      <c r="B68" s="1">
        <v>2355</v>
      </c>
      <c r="C68">
        <v>4690</v>
      </c>
      <c r="D68"/>
      <c r="E68">
        <v>11345</v>
      </c>
      <c r="F68"/>
      <c r="G68">
        <v>1766</v>
      </c>
      <c r="H68"/>
      <c r="I68">
        <v>661</v>
      </c>
      <c r="K68" s="10">
        <f t="shared" si="1"/>
        <v>18462</v>
      </c>
    </row>
    <row r="69" spans="1:11" ht="13.5" thickBot="1" x14ac:dyDescent="0.25">
      <c r="A69" s="2" t="s">
        <v>67</v>
      </c>
      <c r="B69" s="5">
        <v>2356</v>
      </c>
      <c r="C69">
        <v>95857</v>
      </c>
      <c r="D69"/>
      <c r="E69">
        <v>168334</v>
      </c>
      <c r="F69"/>
      <c r="G69">
        <v>52760</v>
      </c>
      <c r="H69"/>
      <c r="I69">
        <v>8785</v>
      </c>
      <c r="J69" s="13"/>
      <c r="K69" s="10">
        <f t="shared" si="1"/>
        <v>325736</v>
      </c>
    </row>
    <row r="70" spans="1:11" ht="21.75" customHeight="1" x14ac:dyDescent="0.2">
      <c r="A70" s="6" t="s">
        <v>68</v>
      </c>
      <c r="C70" s="14">
        <f>SUM(C3:C69)</f>
        <v>3830575</v>
      </c>
      <c r="D70" s="14"/>
      <c r="E70" s="14">
        <f>SUM(E3:E69)</f>
        <v>3642194</v>
      </c>
      <c r="F70" s="14"/>
      <c r="G70" s="14">
        <f>SUM(G3:G69)</f>
        <v>1164051</v>
      </c>
      <c r="H70" s="14"/>
      <c r="I70" s="14">
        <f>SUM(I3:I69)</f>
        <v>316019</v>
      </c>
      <c r="J70" s="14"/>
      <c r="K70" s="44">
        <f>SUM(K3:K69)</f>
        <v>8952839</v>
      </c>
    </row>
    <row r="71" spans="1:11" x14ac:dyDescent="0.2">
      <c r="I71" s="31"/>
    </row>
    <row r="73" spans="1:11" x14ac:dyDescent="0.2">
      <c r="I73" s="11"/>
      <c r="K73" s="11"/>
    </row>
    <row r="75" spans="1:11" x14ac:dyDescent="0.2">
      <c r="E75" s="40"/>
      <c r="K75" s="10"/>
    </row>
    <row r="76" spans="1:11" x14ac:dyDescent="0.2">
      <c r="E76" s="40"/>
    </row>
    <row r="77" spans="1:11" x14ac:dyDescent="0.2">
      <c r="E77" s="40"/>
    </row>
    <row r="78" spans="1:11" x14ac:dyDescent="0.2">
      <c r="E78" s="40"/>
    </row>
    <row r="79" spans="1:11" x14ac:dyDescent="0.2">
      <c r="E79" s="40"/>
    </row>
    <row r="80" spans="1:11" x14ac:dyDescent="0.2">
      <c r="C80" s="40"/>
      <c r="E80" s="40"/>
    </row>
    <row r="81" spans="3:11" x14ac:dyDescent="0.2">
      <c r="E81" s="41"/>
    </row>
    <row r="82" spans="3:11" x14ac:dyDescent="0.2">
      <c r="E82" s="41"/>
      <c r="K82"/>
    </row>
    <row r="83" spans="3:11" x14ac:dyDescent="0.2">
      <c r="E83" s="41"/>
      <c r="K83"/>
    </row>
    <row r="84" spans="3:11" x14ac:dyDescent="0.2">
      <c r="C84" s="10"/>
      <c r="K84"/>
    </row>
    <row r="85" spans="3:11" x14ac:dyDescent="0.2">
      <c r="K85"/>
    </row>
    <row r="86" spans="3:11" x14ac:dyDescent="0.2">
      <c r="C86" s="1"/>
      <c r="K86"/>
    </row>
    <row r="87" spans="3:11" x14ac:dyDescent="0.2">
      <c r="K87"/>
    </row>
    <row r="88" spans="3:11" x14ac:dyDescent="0.2">
      <c r="K88"/>
    </row>
    <row r="89" spans="3:11" x14ac:dyDescent="0.2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L19" sqref="L19"/>
    </sheetView>
  </sheetViews>
  <sheetFormatPr defaultColWidth="9.140625" defaultRowHeight="12.75" x14ac:dyDescent="0.2"/>
  <cols>
    <col min="1" max="1" width="19.140625" style="11" bestFit="1" customWidth="1"/>
    <col min="2" max="2" width="10.42578125" customWidth="1"/>
    <col min="3" max="3" width="12.5703125" customWidth="1"/>
    <col min="4" max="4" width="11" customWidth="1"/>
    <col min="5" max="5" width="12.42578125" customWidth="1"/>
    <col min="6" max="6" width="11.85546875" customWidth="1"/>
    <col min="7" max="7" width="11.140625" customWidth="1"/>
    <col min="8" max="8" width="15.140625" customWidth="1"/>
    <col min="9" max="9" width="13.5703125" customWidth="1"/>
    <col min="10" max="10" width="8" style="1" customWidth="1"/>
    <col min="12" max="12" width="11.28515625" bestFit="1" customWidth="1"/>
    <col min="13" max="13" width="10.5703125" bestFit="1" customWidth="1"/>
    <col min="14" max="14" width="11.28515625" bestFit="1" customWidth="1"/>
    <col min="15" max="15" width="10" bestFit="1" customWidth="1"/>
  </cols>
  <sheetData>
    <row r="1" spans="1:15" x14ac:dyDescent="0.2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">
      <c r="A4" s="64" t="s">
        <v>1</v>
      </c>
      <c r="B4" s="42">
        <v>7</v>
      </c>
      <c r="C4" s="42">
        <v>12</v>
      </c>
      <c r="D4" s="42">
        <v>5</v>
      </c>
      <c r="E4" s="42">
        <v>11</v>
      </c>
      <c r="F4" s="42">
        <v>66</v>
      </c>
      <c r="G4" s="42">
        <v>89</v>
      </c>
      <c r="H4" s="42">
        <v>70</v>
      </c>
      <c r="I4" s="42">
        <v>99</v>
      </c>
      <c r="J4"/>
      <c r="K4" s="11"/>
      <c r="L4" s="11"/>
      <c r="M4" s="11"/>
      <c r="N4" s="11"/>
      <c r="O4" s="11"/>
    </row>
    <row r="5" spans="1:15" x14ac:dyDescent="0.2">
      <c r="A5" s="64" t="s">
        <v>2</v>
      </c>
      <c r="B5" s="42">
        <v>73</v>
      </c>
      <c r="C5" s="42">
        <v>166</v>
      </c>
      <c r="D5" s="42">
        <v>55</v>
      </c>
      <c r="E5" s="42">
        <v>29</v>
      </c>
      <c r="F5" s="42">
        <v>739</v>
      </c>
      <c r="G5" s="42">
        <v>1198</v>
      </c>
      <c r="H5" s="42">
        <v>787</v>
      </c>
      <c r="I5" s="42">
        <v>358</v>
      </c>
      <c r="J5"/>
      <c r="K5" s="11"/>
      <c r="L5" s="11"/>
      <c r="M5" s="11"/>
      <c r="N5" s="11"/>
      <c r="O5" s="11"/>
    </row>
    <row r="6" spans="1:15" x14ac:dyDescent="0.2">
      <c r="A6" s="64" t="s">
        <v>3</v>
      </c>
      <c r="B6" s="42">
        <v>2</v>
      </c>
      <c r="C6" s="42">
        <v>0</v>
      </c>
      <c r="D6" s="42">
        <v>5</v>
      </c>
      <c r="E6" s="42">
        <v>1</v>
      </c>
      <c r="F6" s="42">
        <v>21</v>
      </c>
      <c r="G6" s="42">
        <v>28</v>
      </c>
      <c r="H6" s="42">
        <v>64</v>
      </c>
      <c r="I6" s="42">
        <v>25</v>
      </c>
      <c r="J6"/>
      <c r="K6" s="11"/>
      <c r="L6" s="11"/>
      <c r="M6" s="11"/>
      <c r="N6" s="11"/>
      <c r="O6" s="11"/>
    </row>
    <row r="7" spans="1:15" x14ac:dyDescent="0.2">
      <c r="A7" s="64" t="s">
        <v>4</v>
      </c>
      <c r="B7" s="42">
        <v>9</v>
      </c>
      <c r="C7" s="42">
        <v>22</v>
      </c>
      <c r="D7" s="42">
        <v>12</v>
      </c>
      <c r="E7" s="42">
        <v>5</v>
      </c>
      <c r="F7" s="42">
        <v>75</v>
      </c>
      <c r="G7" s="42">
        <v>112</v>
      </c>
      <c r="H7" s="42">
        <v>147</v>
      </c>
      <c r="I7" s="42">
        <v>54</v>
      </c>
      <c r="J7"/>
      <c r="K7" s="11"/>
      <c r="L7" s="11"/>
      <c r="M7" s="11"/>
      <c r="N7" s="11"/>
      <c r="O7" s="11"/>
    </row>
    <row r="8" spans="1:15" x14ac:dyDescent="0.2">
      <c r="A8" s="64" t="s">
        <v>5</v>
      </c>
      <c r="B8" s="42">
        <v>4</v>
      </c>
      <c r="C8" s="42">
        <v>2</v>
      </c>
      <c r="D8" s="42">
        <v>2</v>
      </c>
      <c r="E8" s="42">
        <v>1</v>
      </c>
      <c r="F8" s="42">
        <v>13</v>
      </c>
      <c r="G8" s="42">
        <v>13</v>
      </c>
      <c r="H8" s="42">
        <v>21</v>
      </c>
      <c r="I8" s="42">
        <v>15</v>
      </c>
      <c r="J8"/>
      <c r="K8" s="11"/>
      <c r="L8" s="11"/>
      <c r="M8" s="11"/>
      <c r="N8" s="11"/>
      <c r="O8" s="11"/>
    </row>
    <row r="9" spans="1:15" x14ac:dyDescent="0.2">
      <c r="A9" s="64" t="s">
        <v>6</v>
      </c>
      <c r="B9" s="42">
        <v>22</v>
      </c>
      <c r="C9" s="42">
        <v>38</v>
      </c>
      <c r="D9" s="42">
        <v>27</v>
      </c>
      <c r="E9" s="42">
        <v>26</v>
      </c>
      <c r="F9" s="42">
        <v>322</v>
      </c>
      <c r="G9" s="42">
        <v>457</v>
      </c>
      <c r="H9" s="42">
        <v>408</v>
      </c>
      <c r="I9" s="42">
        <v>319</v>
      </c>
      <c r="J9"/>
      <c r="K9" s="11"/>
      <c r="L9" s="11"/>
      <c r="M9" s="11"/>
      <c r="N9" s="11"/>
      <c r="O9" s="11"/>
    </row>
    <row r="10" spans="1:15" x14ac:dyDescent="0.2">
      <c r="A10" s="64" t="s">
        <v>7</v>
      </c>
      <c r="B10" s="42">
        <v>2</v>
      </c>
      <c r="C10" s="42">
        <v>10</v>
      </c>
      <c r="D10" s="42">
        <v>2</v>
      </c>
      <c r="E10" s="42">
        <v>3</v>
      </c>
      <c r="F10" s="42">
        <v>55</v>
      </c>
      <c r="G10" s="42">
        <v>76</v>
      </c>
      <c r="H10" s="42">
        <v>62</v>
      </c>
      <c r="I10" s="42">
        <v>49</v>
      </c>
      <c r="J10"/>
      <c r="K10" s="11"/>
      <c r="L10" s="11"/>
      <c r="M10" s="11"/>
      <c r="N10" s="11"/>
      <c r="O10" s="11"/>
    </row>
    <row r="11" spans="1:15" x14ac:dyDescent="0.2">
      <c r="A11" s="64" t="s">
        <v>8</v>
      </c>
      <c r="B11" s="42">
        <v>2</v>
      </c>
      <c r="C11" s="42">
        <v>2</v>
      </c>
      <c r="D11" s="42">
        <v>1</v>
      </c>
      <c r="E11" s="42">
        <v>5</v>
      </c>
      <c r="F11" s="42">
        <v>31</v>
      </c>
      <c r="G11" s="42">
        <v>25</v>
      </c>
      <c r="H11" s="42">
        <v>39</v>
      </c>
      <c r="I11" s="42">
        <v>43</v>
      </c>
      <c r="J11"/>
      <c r="K11" s="11"/>
      <c r="L11" s="11"/>
      <c r="M11" s="11"/>
      <c r="N11" s="11"/>
      <c r="O11" s="11"/>
    </row>
    <row r="12" spans="1:15" s="21" customFormat="1" x14ac:dyDescent="0.2">
      <c r="A12" s="65" t="s">
        <v>9</v>
      </c>
      <c r="B12" s="42">
        <v>53</v>
      </c>
      <c r="C12" s="42">
        <v>129</v>
      </c>
      <c r="D12" s="42">
        <v>35</v>
      </c>
      <c r="E12" s="42">
        <v>44</v>
      </c>
      <c r="F12" s="42">
        <v>594</v>
      </c>
      <c r="G12" s="42">
        <v>960</v>
      </c>
      <c r="H12" s="42">
        <v>535</v>
      </c>
      <c r="I12" s="42">
        <v>537</v>
      </c>
      <c r="J12"/>
      <c r="K12" s="11"/>
      <c r="L12" s="11"/>
      <c r="M12" s="11"/>
      <c r="N12" s="11"/>
      <c r="O12" s="11"/>
    </row>
    <row r="13" spans="1:15" x14ac:dyDescent="0.2">
      <c r="A13" s="64" t="s">
        <v>10</v>
      </c>
      <c r="B13" s="42">
        <v>12</v>
      </c>
      <c r="C13" s="42">
        <v>22</v>
      </c>
      <c r="D13" s="42">
        <v>5</v>
      </c>
      <c r="E13" s="42">
        <v>7</v>
      </c>
      <c r="F13" s="42">
        <v>128</v>
      </c>
      <c r="G13" s="42">
        <v>165</v>
      </c>
      <c r="H13" s="42">
        <v>101</v>
      </c>
      <c r="I13" s="42">
        <v>108</v>
      </c>
      <c r="J13"/>
      <c r="K13" s="11"/>
      <c r="L13" s="11"/>
      <c r="M13" s="11"/>
      <c r="N13" s="11"/>
      <c r="O13" s="11"/>
    </row>
    <row r="14" spans="1:15" x14ac:dyDescent="0.2">
      <c r="A14" s="64" t="s">
        <v>11</v>
      </c>
      <c r="B14" s="42">
        <v>3</v>
      </c>
      <c r="C14" s="42">
        <v>6</v>
      </c>
      <c r="D14" s="42">
        <v>4</v>
      </c>
      <c r="E14" s="42">
        <v>2</v>
      </c>
      <c r="F14" s="42">
        <v>81</v>
      </c>
      <c r="G14" s="42">
        <v>69</v>
      </c>
      <c r="H14" s="42">
        <v>171</v>
      </c>
      <c r="I14" s="42">
        <v>62</v>
      </c>
      <c r="J14"/>
      <c r="K14" s="11"/>
      <c r="L14" s="11"/>
      <c r="M14" s="11"/>
      <c r="N14" s="11"/>
      <c r="O14" s="11"/>
    </row>
    <row r="15" spans="1:15" s="21" customFormat="1" x14ac:dyDescent="0.2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1</v>
      </c>
      <c r="G15" s="42">
        <v>1</v>
      </c>
      <c r="H15" s="42">
        <v>7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">
      <c r="A16" s="64" t="s">
        <v>13</v>
      </c>
      <c r="B16" s="42">
        <v>0</v>
      </c>
      <c r="C16" s="42">
        <v>10</v>
      </c>
      <c r="D16" s="42">
        <v>1</v>
      </c>
      <c r="E16" s="42">
        <v>3</v>
      </c>
      <c r="F16" s="42">
        <v>29</v>
      </c>
      <c r="G16" s="42">
        <v>59</v>
      </c>
      <c r="H16" s="42">
        <v>50</v>
      </c>
      <c r="I16" s="42">
        <v>38</v>
      </c>
      <c r="J16"/>
      <c r="K16" s="11"/>
      <c r="L16" s="11"/>
      <c r="M16" s="11"/>
      <c r="N16" s="11"/>
      <c r="O16" s="11"/>
    </row>
    <row r="17" spans="1:15" x14ac:dyDescent="0.2">
      <c r="A17" s="64" t="s">
        <v>14</v>
      </c>
      <c r="B17" s="42">
        <v>9</v>
      </c>
      <c r="C17" s="42">
        <v>13</v>
      </c>
      <c r="D17" s="42">
        <v>4</v>
      </c>
      <c r="E17" s="42">
        <v>8</v>
      </c>
      <c r="F17" s="42">
        <v>86</v>
      </c>
      <c r="G17" s="42">
        <v>116</v>
      </c>
      <c r="H17" s="42">
        <v>45</v>
      </c>
      <c r="I17" s="42">
        <v>71</v>
      </c>
      <c r="J17"/>
      <c r="K17" s="11"/>
      <c r="L17" s="11"/>
      <c r="M17" s="11"/>
      <c r="N17" s="11"/>
      <c r="O17" s="11"/>
    </row>
    <row r="18" spans="1:15" s="21" customFormat="1" x14ac:dyDescent="0.2">
      <c r="A18" s="65" t="s">
        <v>15</v>
      </c>
      <c r="B18" s="42">
        <v>49</v>
      </c>
      <c r="C18" s="42">
        <v>89</v>
      </c>
      <c r="D18" s="42">
        <v>24</v>
      </c>
      <c r="E18" s="42">
        <v>33</v>
      </c>
      <c r="F18" s="42">
        <v>548</v>
      </c>
      <c r="G18" s="42">
        <v>893</v>
      </c>
      <c r="H18" s="42">
        <v>304</v>
      </c>
      <c r="I18" s="42">
        <v>473</v>
      </c>
      <c r="J18"/>
      <c r="K18" s="11"/>
      <c r="L18" s="11"/>
      <c r="M18" s="11"/>
      <c r="N18" s="11"/>
      <c r="O18" s="11"/>
    </row>
    <row r="19" spans="1:15" x14ac:dyDescent="0.2">
      <c r="A19" s="64" t="s">
        <v>16</v>
      </c>
      <c r="B19" s="42">
        <v>0</v>
      </c>
      <c r="C19" s="42">
        <v>1</v>
      </c>
      <c r="D19" s="42">
        <v>1</v>
      </c>
      <c r="E19" s="42">
        <v>1</v>
      </c>
      <c r="F19" s="42">
        <v>10</v>
      </c>
      <c r="G19" s="42">
        <v>12</v>
      </c>
      <c r="H19" s="42">
        <v>18</v>
      </c>
      <c r="I19" s="42">
        <v>9</v>
      </c>
      <c r="J19"/>
      <c r="K19" s="11"/>
      <c r="L19" s="11"/>
      <c r="M19" s="11"/>
      <c r="N19" s="11"/>
      <c r="O19" s="11"/>
    </row>
    <row r="20" spans="1:15" x14ac:dyDescent="0.2">
      <c r="A20" s="64" t="s">
        <v>17</v>
      </c>
      <c r="B20" s="42">
        <v>0</v>
      </c>
      <c r="C20" s="42">
        <v>2</v>
      </c>
      <c r="D20" s="42">
        <v>3</v>
      </c>
      <c r="E20" s="42">
        <v>2</v>
      </c>
      <c r="F20" s="42">
        <v>18</v>
      </c>
      <c r="G20" s="42">
        <v>29</v>
      </c>
      <c r="H20" s="42">
        <v>63</v>
      </c>
      <c r="I20" s="42">
        <v>39</v>
      </c>
      <c r="J20"/>
      <c r="K20" s="11"/>
      <c r="L20" s="11"/>
      <c r="M20" s="11"/>
      <c r="N20" s="11"/>
      <c r="O20" s="11"/>
    </row>
    <row r="21" spans="1:15" x14ac:dyDescent="0.2">
      <c r="A21" s="64" t="s">
        <v>18</v>
      </c>
      <c r="B21" s="42">
        <v>0</v>
      </c>
      <c r="C21" s="42">
        <v>2</v>
      </c>
      <c r="D21" s="42">
        <v>1</v>
      </c>
      <c r="E21" s="42">
        <v>1</v>
      </c>
      <c r="F21" s="42">
        <v>14</v>
      </c>
      <c r="G21" s="42">
        <v>27</v>
      </c>
      <c r="H21" s="42">
        <v>20</v>
      </c>
      <c r="I21" s="42">
        <v>20</v>
      </c>
      <c r="J21"/>
      <c r="K21" s="11"/>
      <c r="L21" s="11"/>
      <c r="M21" s="11"/>
      <c r="N21" s="11"/>
      <c r="O21" s="11"/>
    </row>
    <row r="22" spans="1:15" x14ac:dyDescent="0.2">
      <c r="A22" s="64" t="s">
        <v>19</v>
      </c>
      <c r="B22" s="42">
        <v>3</v>
      </c>
      <c r="C22" s="42">
        <v>3</v>
      </c>
      <c r="D22" s="42">
        <v>0</v>
      </c>
      <c r="E22" s="42">
        <v>2</v>
      </c>
      <c r="F22" s="42">
        <v>26</v>
      </c>
      <c r="G22" s="42">
        <v>31</v>
      </c>
      <c r="H22" s="42">
        <v>32</v>
      </c>
      <c r="I22" s="42">
        <v>26</v>
      </c>
      <c r="J22"/>
      <c r="K22" s="11"/>
      <c r="L22" s="11"/>
      <c r="M22" s="11"/>
      <c r="N22" s="11"/>
      <c r="O22" s="11"/>
    </row>
    <row r="23" spans="1:15" x14ac:dyDescent="0.2">
      <c r="A23" s="64" t="s">
        <v>20</v>
      </c>
      <c r="B23" s="42">
        <v>1</v>
      </c>
      <c r="C23" s="42">
        <v>4</v>
      </c>
      <c r="D23" s="42">
        <v>2</v>
      </c>
      <c r="E23" s="42">
        <v>3</v>
      </c>
      <c r="F23" s="42">
        <v>44</v>
      </c>
      <c r="G23" s="42">
        <v>26</v>
      </c>
      <c r="H23" s="42">
        <v>46</v>
      </c>
      <c r="I23" s="42">
        <v>24</v>
      </c>
      <c r="J23"/>
      <c r="K23" s="11"/>
      <c r="L23" s="11"/>
      <c r="M23" s="11"/>
      <c r="N23" s="11"/>
      <c r="O23" s="11"/>
    </row>
    <row r="24" spans="1:15" x14ac:dyDescent="0.2">
      <c r="A24" s="64" t="s">
        <v>21</v>
      </c>
      <c r="B24" s="42">
        <v>31</v>
      </c>
      <c r="C24" s="42">
        <v>47</v>
      </c>
      <c r="D24" s="42">
        <v>10</v>
      </c>
      <c r="E24" s="42">
        <v>19</v>
      </c>
      <c r="F24" s="42">
        <v>252</v>
      </c>
      <c r="G24" s="42">
        <v>362</v>
      </c>
      <c r="H24" s="42">
        <v>167</v>
      </c>
      <c r="I24" s="42">
        <v>262</v>
      </c>
      <c r="J24"/>
      <c r="K24" s="11"/>
      <c r="L24" s="11"/>
      <c r="M24" s="11"/>
      <c r="N24" s="11"/>
      <c r="O24" s="11"/>
    </row>
    <row r="25" spans="1:15" x14ac:dyDescent="0.2">
      <c r="A25" s="64" t="s">
        <v>22</v>
      </c>
      <c r="B25" s="42">
        <v>34</v>
      </c>
      <c r="C25" s="42">
        <v>92</v>
      </c>
      <c r="D25" s="42">
        <v>11</v>
      </c>
      <c r="E25" s="42">
        <v>18</v>
      </c>
      <c r="F25" s="42">
        <v>358</v>
      </c>
      <c r="G25" s="42">
        <v>652</v>
      </c>
      <c r="H25" s="42">
        <v>224</v>
      </c>
      <c r="I25" s="42">
        <v>196</v>
      </c>
      <c r="J25"/>
      <c r="K25" s="11"/>
      <c r="L25" s="11"/>
      <c r="M25" s="11"/>
      <c r="N25" s="11"/>
      <c r="O25" s="11"/>
    </row>
    <row r="26" spans="1:15" x14ac:dyDescent="0.2">
      <c r="A26" s="64" t="s">
        <v>23</v>
      </c>
      <c r="B26" s="42">
        <v>50</v>
      </c>
      <c r="C26" s="42">
        <v>62</v>
      </c>
      <c r="D26" s="42">
        <v>23</v>
      </c>
      <c r="E26" s="42">
        <v>16</v>
      </c>
      <c r="F26" s="42">
        <v>456</v>
      </c>
      <c r="G26" s="42">
        <v>517</v>
      </c>
      <c r="H26" s="42">
        <v>290</v>
      </c>
      <c r="I26" s="42">
        <v>155</v>
      </c>
      <c r="J26"/>
      <c r="K26" s="11"/>
      <c r="L26" s="11"/>
      <c r="M26" s="11"/>
      <c r="N26" s="11"/>
      <c r="O26" s="11"/>
    </row>
    <row r="27" spans="1:15" x14ac:dyDescent="0.2">
      <c r="A27" s="64" t="s">
        <v>24</v>
      </c>
      <c r="B27" s="42">
        <v>3</v>
      </c>
      <c r="C27" s="42">
        <v>1</v>
      </c>
      <c r="D27" s="42">
        <v>1</v>
      </c>
      <c r="E27" s="42">
        <v>1</v>
      </c>
      <c r="F27" s="42">
        <v>18</v>
      </c>
      <c r="G27" s="42">
        <v>10</v>
      </c>
      <c r="H27" s="42">
        <v>31</v>
      </c>
      <c r="I27" s="42">
        <v>8</v>
      </c>
      <c r="J27"/>
      <c r="K27" s="11"/>
      <c r="L27" s="11"/>
      <c r="M27" s="11"/>
      <c r="N27" s="11"/>
      <c r="O27" s="11"/>
    </row>
    <row r="28" spans="1:15" x14ac:dyDescent="0.2">
      <c r="A28" s="64" t="s">
        <v>25</v>
      </c>
      <c r="B28" s="42">
        <v>17</v>
      </c>
      <c r="C28" s="42">
        <v>26</v>
      </c>
      <c r="D28" s="42">
        <v>17</v>
      </c>
      <c r="E28" s="42">
        <v>8</v>
      </c>
      <c r="F28" s="42">
        <v>191</v>
      </c>
      <c r="G28" s="42">
        <v>195</v>
      </c>
      <c r="H28" s="42">
        <v>206</v>
      </c>
      <c r="I28" s="42">
        <v>91</v>
      </c>
      <c r="J28"/>
      <c r="K28" s="11"/>
      <c r="L28" s="11"/>
      <c r="M28" s="11"/>
      <c r="N28" s="11"/>
      <c r="O28" s="11"/>
    </row>
    <row r="29" spans="1:15" x14ac:dyDescent="0.2">
      <c r="A29" s="64" t="s">
        <v>26</v>
      </c>
      <c r="B29" s="42">
        <v>3</v>
      </c>
      <c r="C29" s="42">
        <v>5</v>
      </c>
      <c r="D29" s="42">
        <v>19</v>
      </c>
      <c r="E29" s="42">
        <v>9</v>
      </c>
      <c r="F29" s="42">
        <v>78</v>
      </c>
      <c r="G29" s="42">
        <v>50</v>
      </c>
      <c r="H29" s="42">
        <v>185</v>
      </c>
      <c r="I29" s="42">
        <v>58</v>
      </c>
      <c r="J29"/>
      <c r="K29" s="11"/>
      <c r="L29" s="11"/>
      <c r="M29" s="11"/>
      <c r="N29" s="11"/>
      <c r="O29" s="11"/>
    </row>
    <row r="30" spans="1:15" x14ac:dyDescent="0.2">
      <c r="A30" s="64" t="s">
        <v>27</v>
      </c>
      <c r="B30" s="42">
        <v>1</v>
      </c>
      <c r="C30" s="42">
        <v>0</v>
      </c>
      <c r="D30" s="42">
        <v>0</v>
      </c>
      <c r="E30" s="42">
        <v>1</v>
      </c>
      <c r="F30" s="42">
        <v>2</v>
      </c>
      <c r="G30" s="42">
        <v>0</v>
      </c>
      <c r="H30" s="42">
        <v>3</v>
      </c>
      <c r="I30" s="42">
        <v>1</v>
      </c>
      <c r="J30"/>
      <c r="K30" s="11"/>
      <c r="L30" s="11"/>
      <c r="M30" s="11"/>
      <c r="N30" s="11"/>
      <c r="O30" s="11"/>
    </row>
    <row r="31" spans="1:15" x14ac:dyDescent="0.2">
      <c r="A31" s="64" t="s">
        <v>28</v>
      </c>
      <c r="B31" s="42">
        <v>8</v>
      </c>
      <c r="C31" s="42">
        <v>14</v>
      </c>
      <c r="D31" s="42">
        <v>3</v>
      </c>
      <c r="E31" s="42">
        <v>10</v>
      </c>
      <c r="F31" s="42">
        <v>108</v>
      </c>
      <c r="G31" s="42">
        <v>116</v>
      </c>
      <c r="H31" s="42">
        <v>92</v>
      </c>
      <c r="I31" s="42">
        <v>129</v>
      </c>
      <c r="J31"/>
      <c r="K31" s="11"/>
      <c r="L31" s="11"/>
      <c r="M31" s="11"/>
      <c r="N31" s="11"/>
      <c r="O31" s="11"/>
    </row>
    <row r="32" spans="1:15" x14ac:dyDescent="0.2">
      <c r="A32" s="64" t="s">
        <v>29</v>
      </c>
      <c r="B32" s="42">
        <v>0</v>
      </c>
      <c r="C32" s="42">
        <v>0</v>
      </c>
      <c r="D32" s="42">
        <v>0</v>
      </c>
      <c r="E32" s="42">
        <v>1</v>
      </c>
      <c r="F32" s="42">
        <v>4</v>
      </c>
      <c r="G32" s="42">
        <v>2</v>
      </c>
      <c r="H32" s="42">
        <v>15</v>
      </c>
      <c r="I32" s="42">
        <v>9</v>
      </c>
      <c r="J32"/>
      <c r="K32" s="11"/>
      <c r="L32" s="11"/>
      <c r="M32" s="11"/>
      <c r="N32" s="11"/>
      <c r="O32" s="11"/>
    </row>
    <row r="33" spans="1:15" x14ac:dyDescent="0.2">
      <c r="A33" s="64" t="s">
        <v>30</v>
      </c>
      <c r="B33" s="42">
        <v>0</v>
      </c>
      <c r="C33" s="42">
        <v>1</v>
      </c>
      <c r="D33" s="42">
        <v>2</v>
      </c>
      <c r="E33" s="42">
        <v>0</v>
      </c>
      <c r="F33" s="42">
        <v>11</v>
      </c>
      <c r="G33" s="42">
        <v>9</v>
      </c>
      <c r="H33" s="42">
        <v>73</v>
      </c>
      <c r="I33" s="42">
        <v>30</v>
      </c>
      <c r="J33"/>
      <c r="K33" s="11"/>
      <c r="L33" s="11"/>
      <c r="M33" s="11"/>
      <c r="N33" s="11"/>
      <c r="O33" s="11"/>
    </row>
    <row r="34" spans="1:15" x14ac:dyDescent="0.2">
      <c r="A34" s="64" t="s">
        <v>31</v>
      </c>
      <c r="B34" s="42">
        <v>1</v>
      </c>
      <c r="C34" s="42">
        <v>2</v>
      </c>
      <c r="D34" s="42">
        <v>2</v>
      </c>
      <c r="E34" s="42">
        <v>2</v>
      </c>
      <c r="F34" s="42">
        <v>15</v>
      </c>
      <c r="G34" s="42">
        <v>20</v>
      </c>
      <c r="H34" s="42">
        <v>28</v>
      </c>
      <c r="I34" s="42">
        <v>17</v>
      </c>
      <c r="J34"/>
      <c r="K34" s="11"/>
      <c r="L34" s="11"/>
      <c r="M34" s="11"/>
      <c r="N34" s="11"/>
      <c r="O34" s="11"/>
    </row>
    <row r="35" spans="1:15" x14ac:dyDescent="0.2">
      <c r="A35" s="64" t="s">
        <v>32</v>
      </c>
      <c r="B35" s="42">
        <v>2</v>
      </c>
      <c r="C35" s="42">
        <v>5</v>
      </c>
      <c r="D35" s="42">
        <v>4</v>
      </c>
      <c r="E35" s="42">
        <v>0</v>
      </c>
      <c r="F35" s="42">
        <v>23</v>
      </c>
      <c r="G35" s="42">
        <v>31</v>
      </c>
      <c r="H35" s="42">
        <v>60</v>
      </c>
      <c r="I35" s="42">
        <v>41</v>
      </c>
      <c r="J35"/>
      <c r="K35" s="11"/>
      <c r="L35" s="11"/>
      <c r="M35" s="11"/>
      <c r="N35" s="11"/>
      <c r="O35" s="11"/>
    </row>
    <row r="36" spans="1:15" x14ac:dyDescent="0.2">
      <c r="A36" s="64" t="s">
        <v>33</v>
      </c>
      <c r="B36" s="42">
        <v>1</v>
      </c>
      <c r="C36" s="42">
        <v>3</v>
      </c>
      <c r="D36" s="42">
        <v>2</v>
      </c>
      <c r="E36" s="42">
        <v>4</v>
      </c>
      <c r="F36" s="42">
        <v>15</v>
      </c>
      <c r="G36" s="42">
        <v>22</v>
      </c>
      <c r="H36" s="42">
        <v>11</v>
      </c>
      <c r="I36" s="42">
        <v>13</v>
      </c>
      <c r="J36"/>
      <c r="K36" s="11"/>
      <c r="L36" s="11"/>
      <c r="M36" s="11"/>
      <c r="N36" s="11"/>
      <c r="O36" s="11"/>
    </row>
    <row r="37" spans="1:15" x14ac:dyDescent="0.2">
      <c r="A37" s="64" t="s">
        <v>34</v>
      </c>
      <c r="B37" s="42">
        <v>0</v>
      </c>
      <c r="C37" s="42">
        <v>1</v>
      </c>
      <c r="D37" s="42">
        <v>1</v>
      </c>
      <c r="E37" s="42">
        <v>1</v>
      </c>
      <c r="F37" s="42">
        <v>9</v>
      </c>
      <c r="G37" s="42">
        <v>8</v>
      </c>
      <c r="H37" s="42">
        <v>7</v>
      </c>
      <c r="I37" s="42">
        <v>7</v>
      </c>
      <c r="J37"/>
      <c r="K37" s="11"/>
      <c r="L37" s="11"/>
      <c r="M37" s="11"/>
      <c r="N37" s="11"/>
      <c r="O37" s="11"/>
    </row>
    <row r="38" spans="1:15" x14ac:dyDescent="0.2">
      <c r="A38" s="64" t="s">
        <v>35</v>
      </c>
      <c r="B38" s="42">
        <v>18</v>
      </c>
      <c r="C38" s="42">
        <v>28</v>
      </c>
      <c r="D38" s="42">
        <v>13</v>
      </c>
      <c r="E38" s="42">
        <v>6</v>
      </c>
      <c r="F38" s="42">
        <v>209</v>
      </c>
      <c r="G38" s="42">
        <v>190</v>
      </c>
      <c r="H38" s="42">
        <v>233</v>
      </c>
      <c r="I38" s="42">
        <v>91</v>
      </c>
      <c r="J38"/>
      <c r="K38" s="11"/>
      <c r="L38" s="11"/>
      <c r="M38" s="11"/>
      <c r="N38" s="11"/>
      <c r="O38" s="11"/>
    </row>
    <row r="39" spans="1:15" x14ac:dyDescent="0.2">
      <c r="A39" s="64" t="s">
        <v>36</v>
      </c>
      <c r="B39" s="42">
        <v>37</v>
      </c>
      <c r="C39" s="42">
        <v>83</v>
      </c>
      <c r="D39" s="42">
        <v>13</v>
      </c>
      <c r="E39" s="42">
        <v>45</v>
      </c>
      <c r="F39" s="42">
        <v>472</v>
      </c>
      <c r="G39" s="42">
        <v>632</v>
      </c>
      <c r="H39" s="42">
        <v>337</v>
      </c>
      <c r="I39" s="42">
        <v>434</v>
      </c>
      <c r="J39"/>
      <c r="K39" s="11"/>
      <c r="L39" s="11"/>
      <c r="M39" s="11"/>
      <c r="N39" s="11"/>
      <c r="O39" s="11"/>
    </row>
    <row r="40" spans="1:15" x14ac:dyDescent="0.2">
      <c r="A40" s="64" t="s">
        <v>37</v>
      </c>
      <c r="B40" s="42">
        <v>4</v>
      </c>
      <c r="C40" s="42">
        <v>4</v>
      </c>
      <c r="D40" s="42">
        <v>3</v>
      </c>
      <c r="E40" s="42">
        <v>3</v>
      </c>
      <c r="F40" s="42">
        <v>34</v>
      </c>
      <c r="G40" s="42">
        <v>32</v>
      </c>
      <c r="H40" s="42">
        <v>72</v>
      </c>
      <c r="I40" s="42">
        <v>38</v>
      </c>
      <c r="J40"/>
      <c r="K40" s="11"/>
      <c r="L40" s="11"/>
      <c r="M40" s="11"/>
      <c r="N40" s="11"/>
      <c r="O40" s="11"/>
    </row>
    <row r="41" spans="1:15" x14ac:dyDescent="0.2">
      <c r="A41" s="64" t="s">
        <v>38</v>
      </c>
      <c r="B41" s="42">
        <v>9</v>
      </c>
      <c r="C41" s="42">
        <v>10</v>
      </c>
      <c r="D41" s="42">
        <v>6</v>
      </c>
      <c r="E41" s="42">
        <v>7</v>
      </c>
      <c r="F41" s="42">
        <v>112</v>
      </c>
      <c r="G41" s="42">
        <v>112</v>
      </c>
      <c r="H41" s="42">
        <v>98</v>
      </c>
      <c r="I41" s="42">
        <v>102</v>
      </c>
      <c r="J41"/>
      <c r="K41" s="11"/>
      <c r="L41" s="11"/>
      <c r="M41" s="11"/>
      <c r="N41" s="11"/>
      <c r="O41" s="11"/>
    </row>
    <row r="42" spans="1:15" x14ac:dyDescent="0.2">
      <c r="A42" s="64" t="s">
        <v>39</v>
      </c>
      <c r="B42" s="42">
        <v>42</v>
      </c>
      <c r="C42" s="42">
        <v>55</v>
      </c>
      <c r="D42" s="42">
        <v>14</v>
      </c>
      <c r="E42" s="42">
        <v>23</v>
      </c>
      <c r="F42" s="42">
        <v>376</v>
      </c>
      <c r="G42" s="42">
        <v>522</v>
      </c>
      <c r="H42" s="42">
        <v>232</v>
      </c>
      <c r="I42" s="42">
        <v>184</v>
      </c>
      <c r="J42"/>
      <c r="K42" s="11"/>
      <c r="L42" s="11"/>
      <c r="M42" s="11"/>
      <c r="N42" s="11"/>
      <c r="O42" s="11"/>
    </row>
    <row r="43" spans="1:15" x14ac:dyDescent="0.2">
      <c r="A43" s="64" t="s">
        <v>40</v>
      </c>
      <c r="B43" s="42">
        <v>10</v>
      </c>
      <c r="C43" s="42">
        <v>21</v>
      </c>
      <c r="D43" s="42">
        <v>22</v>
      </c>
      <c r="E43" s="42">
        <v>20</v>
      </c>
      <c r="F43" s="42">
        <v>209</v>
      </c>
      <c r="G43" s="42">
        <v>193</v>
      </c>
      <c r="H43" s="42">
        <v>352</v>
      </c>
      <c r="I43" s="42">
        <v>144</v>
      </c>
      <c r="J43"/>
      <c r="K43" s="11"/>
      <c r="L43" s="11"/>
      <c r="M43" s="11"/>
      <c r="N43" s="11"/>
      <c r="O43" s="11"/>
    </row>
    <row r="44" spans="1:15" x14ac:dyDescent="0.2">
      <c r="A44" s="64" t="s">
        <v>41</v>
      </c>
      <c r="B44" s="42">
        <v>7</v>
      </c>
      <c r="C44" s="42">
        <v>8</v>
      </c>
      <c r="D44" s="42">
        <v>3</v>
      </c>
      <c r="E44" s="42">
        <v>2</v>
      </c>
      <c r="F44" s="42">
        <v>70</v>
      </c>
      <c r="G44" s="42">
        <v>71</v>
      </c>
      <c r="H44" s="42">
        <v>77</v>
      </c>
      <c r="I44" s="42">
        <v>80</v>
      </c>
      <c r="J44"/>
      <c r="K44" s="11"/>
      <c r="L44" s="11"/>
      <c r="M44" s="11"/>
      <c r="N44" s="11"/>
      <c r="O44" s="11"/>
    </row>
    <row r="45" spans="1:15" x14ac:dyDescent="0.2">
      <c r="A45" s="64" t="s">
        <v>91</v>
      </c>
      <c r="B45" s="42">
        <v>1</v>
      </c>
      <c r="C45" s="42">
        <v>1</v>
      </c>
      <c r="D45" s="42">
        <v>0</v>
      </c>
      <c r="E45" s="42">
        <v>0</v>
      </c>
      <c r="F45" s="42">
        <v>14</v>
      </c>
      <c r="G45" s="42">
        <v>9</v>
      </c>
      <c r="H45" s="42">
        <v>4</v>
      </c>
      <c r="I45" s="42">
        <v>6</v>
      </c>
      <c r="J45"/>
      <c r="K45" s="11"/>
      <c r="L45" s="11"/>
      <c r="M45" s="11"/>
      <c r="N45" s="11"/>
      <c r="O45" s="11"/>
    </row>
    <row r="46" spans="1:15" x14ac:dyDescent="0.2">
      <c r="A46" s="64" t="s">
        <v>43</v>
      </c>
      <c r="B46" s="42">
        <v>6</v>
      </c>
      <c r="C46" s="42">
        <v>12</v>
      </c>
      <c r="D46" s="42">
        <v>4</v>
      </c>
      <c r="E46" s="42">
        <v>1</v>
      </c>
      <c r="F46" s="42">
        <v>54</v>
      </c>
      <c r="G46" s="42">
        <v>67</v>
      </c>
      <c r="H46" s="42">
        <v>68</v>
      </c>
      <c r="I46" s="42">
        <v>41</v>
      </c>
      <c r="J46"/>
      <c r="K46" s="11"/>
      <c r="L46" s="11"/>
      <c r="M46" s="11"/>
      <c r="N46" s="11"/>
      <c r="O46" s="11"/>
    </row>
    <row r="47" spans="1:15" x14ac:dyDescent="0.2">
      <c r="A47" s="64" t="s">
        <v>44</v>
      </c>
      <c r="B47" s="42">
        <v>1</v>
      </c>
      <c r="C47" s="42">
        <v>2</v>
      </c>
      <c r="D47" s="42">
        <v>2</v>
      </c>
      <c r="E47" s="42">
        <v>0</v>
      </c>
      <c r="F47" s="42">
        <v>22</v>
      </c>
      <c r="G47" s="42">
        <v>24</v>
      </c>
      <c r="H47" s="42">
        <v>19</v>
      </c>
      <c r="I47" s="42">
        <v>14</v>
      </c>
      <c r="J47"/>
      <c r="K47" s="11"/>
      <c r="L47" s="11"/>
      <c r="M47" s="11"/>
      <c r="N47" s="11"/>
      <c r="O47" s="11"/>
    </row>
    <row r="48" spans="1:15" x14ac:dyDescent="0.2">
      <c r="A48" s="64" t="s">
        <v>45</v>
      </c>
      <c r="B48" s="42">
        <v>8</v>
      </c>
      <c r="C48" s="42">
        <v>17</v>
      </c>
      <c r="D48" s="42">
        <v>4</v>
      </c>
      <c r="E48" s="42">
        <v>8</v>
      </c>
      <c r="F48" s="42">
        <v>81</v>
      </c>
      <c r="G48" s="42">
        <v>166</v>
      </c>
      <c r="H48" s="42">
        <v>116</v>
      </c>
      <c r="I48" s="42">
        <v>138</v>
      </c>
      <c r="J48"/>
      <c r="K48" s="11"/>
      <c r="L48" s="11"/>
      <c r="M48" s="11"/>
      <c r="N48" s="11"/>
      <c r="O48" s="11"/>
    </row>
    <row r="49" spans="1:15" x14ac:dyDescent="0.2">
      <c r="A49" s="64" t="s">
        <v>46</v>
      </c>
      <c r="B49" s="42">
        <v>82</v>
      </c>
      <c r="C49" s="42">
        <v>140</v>
      </c>
      <c r="D49" s="42">
        <v>49</v>
      </c>
      <c r="E49" s="42">
        <v>28</v>
      </c>
      <c r="F49" s="42">
        <v>818</v>
      </c>
      <c r="G49" s="42">
        <v>1126</v>
      </c>
      <c r="H49" s="42">
        <v>583</v>
      </c>
      <c r="I49" s="42">
        <v>483</v>
      </c>
      <c r="J49"/>
      <c r="K49" s="11"/>
      <c r="L49" s="11"/>
      <c r="M49" s="11"/>
      <c r="N49" s="11"/>
      <c r="O49" s="11"/>
    </row>
    <row r="50" spans="1:15" x14ac:dyDescent="0.2">
      <c r="A50" s="64" t="s">
        <v>47</v>
      </c>
      <c r="B50" s="42">
        <v>2</v>
      </c>
      <c r="C50" s="42">
        <v>0</v>
      </c>
      <c r="D50" s="42">
        <v>0</v>
      </c>
      <c r="E50" s="42">
        <v>0</v>
      </c>
      <c r="F50" s="42">
        <v>8</v>
      </c>
      <c r="G50" s="42">
        <v>5</v>
      </c>
      <c r="H50" s="42">
        <v>7</v>
      </c>
      <c r="I50" s="42">
        <v>4</v>
      </c>
      <c r="J50"/>
      <c r="K50" s="11"/>
      <c r="L50" s="11"/>
      <c r="M50" s="11"/>
      <c r="N50" s="11"/>
      <c r="O50" s="11"/>
    </row>
    <row r="51" spans="1:15" x14ac:dyDescent="0.2">
      <c r="A51" s="64" t="s">
        <v>48</v>
      </c>
      <c r="B51" s="42">
        <v>26</v>
      </c>
      <c r="C51" s="42">
        <v>70</v>
      </c>
      <c r="D51" s="42">
        <v>20</v>
      </c>
      <c r="E51" s="42">
        <v>26</v>
      </c>
      <c r="F51" s="42">
        <v>272</v>
      </c>
      <c r="G51" s="42">
        <v>475</v>
      </c>
      <c r="H51" s="42">
        <v>286</v>
      </c>
      <c r="I51" s="42">
        <v>260</v>
      </c>
      <c r="J51"/>
      <c r="K51" s="11"/>
      <c r="L51" s="11"/>
      <c r="M51" s="11"/>
      <c r="N51" s="11"/>
      <c r="O51" s="11"/>
    </row>
    <row r="52" spans="1:15" x14ac:dyDescent="0.2">
      <c r="A52" s="64" t="s">
        <v>49</v>
      </c>
      <c r="B52" s="42">
        <v>4</v>
      </c>
      <c r="C52" s="42">
        <v>8</v>
      </c>
      <c r="D52" s="42">
        <v>5</v>
      </c>
      <c r="E52" s="42">
        <v>4</v>
      </c>
      <c r="F52" s="42">
        <v>52</v>
      </c>
      <c r="G52" s="42">
        <v>45</v>
      </c>
      <c r="H52" s="42">
        <v>56</v>
      </c>
      <c r="I52" s="42">
        <v>29</v>
      </c>
      <c r="J52"/>
      <c r="K52" s="11"/>
      <c r="L52" s="11"/>
      <c r="M52" s="11"/>
      <c r="N52" s="11"/>
      <c r="O52" s="11"/>
    </row>
    <row r="53" spans="1:15" x14ac:dyDescent="0.2">
      <c r="A53" s="64" t="s">
        <v>50</v>
      </c>
      <c r="B53" s="42">
        <v>1</v>
      </c>
      <c r="C53" s="42">
        <v>3</v>
      </c>
      <c r="D53" s="42">
        <v>0</v>
      </c>
      <c r="E53" s="42">
        <v>1</v>
      </c>
      <c r="F53" s="42">
        <v>24</v>
      </c>
      <c r="G53" s="42">
        <v>36</v>
      </c>
      <c r="H53" s="42">
        <v>27</v>
      </c>
      <c r="I53" s="42">
        <v>34</v>
      </c>
      <c r="J53"/>
      <c r="K53" s="11"/>
      <c r="L53" s="11"/>
      <c r="M53" s="11"/>
      <c r="N53" s="11"/>
      <c r="O53" s="11"/>
    </row>
    <row r="54" spans="1:15" x14ac:dyDescent="0.2">
      <c r="A54" s="64" t="s">
        <v>51</v>
      </c>
      <c r="B54" s="42">
        <v>113</v>
      </c>
      <c r="C54" s="42">
        <v>546</v>
      </c>
      <c r="D54" s="42">
        <v>109</v>
      </c>
      <c r="E54" s="42">
        <v>51</v>
      </c>
      <c r="F54" s="42">
        <v>1016</v>
      </c>
      <c r="G54" s="42">
        <v>2850</v>
      </c>
      <c r="H54" s="42">
        <v>1107</v>
      </c>
      <c r="I54" s="42">
        <v>460</v>
      </c>
      <c r="J54"/>
      <c r="K54" s="11"/>
      <c r="L54" s="11"/>
      <c r="M54" s="11"/>
      <c r="N54" s="11"/>
      <c r="O54" s="11"/>
    </row>
    <row r="55" spans="1:15" x14ac:dyDescent="0.2">
      <c r="A55" s="64" t="s">
        <v>52</v>
      </c>
      <c r="B55" s="42">
        <v>4</v>
      </c>
      <c r="C55" s="42">
        <v>9</v>
      </c>
      <c r="D55" s="42">
        <v>3</v>
      </c>
      <c r="E55" s="42">
        <v>11</v>
      </c>
      <c r="F55" s="42">
        <v>35</v>
      </c>
      <c r="G55" s="42">
        <v>55</v>
      </c>
      <c r="H55" s="42">
        <v>41</v>
      </c>
      <c r="I55" s="42">
        <v>64</v>
      </c>
      <c r="J55"/>
      <c r="K55" s="11"/>
      <c r="L55" s="11"/>
      <c r="M55" s="11"/>
      <c r="N55" s="11"/>
      <c r="O55" s="11"/>
    </row>
    <row r="56" spans="1:15" x14ac:dyDescent="0.2">
      <c r="A56" s="64" t="s">
        <v>53</v>
      </c>
      <c r="B56" s="42">
        <v>1</v>
      </c>
      <c r="C56" s="42">
        <v>0</v>
      </c>
      <c r="D56" s="42">
        <v>0</v>
      </c>
      <c r="E56" s="42">
        <v>0</v>
      </c>
      <c r="F56" s="42">
        <v>3</v>
      </c>
      <c r="G56" s="42">
        <v>2</v>
      </c>
      <c r="H56" s="42">
        <v>7</v>
      </c>
      <c r="I56" s="42">
        <v>6</v>
      </c>
      <c r="J56"/>
      <c r="K56" s="11"/>
      <c r="L56" s="11"/>
      <c r="M56" s="11"/>
      <c r="N56" s="11"/>
      <c r="O56" s="11"/>
    </row>
    <row r="57" spans="1:15" x14ac:dyDescent="0.2">
      <c r="A57" s="64" t="s">
        <v>54</v>
      </c>
      <c r="B57" s="42">
        <v>7</v>
      </c>
      <c r="C57" s="42">
        <v>5</v>
      </c>
      <c r="D57" s="42">
        <v>5</v>
      </c>
      <c r="E57" s="42">
        <v>5</v>
      </c>
      <c r="F57" s="42">
        <v>83</v>
      </c>
      <c r="G57" s="42">
        <v>77</v>
      </c>
      <c r="H57" s="42">
        <v>130</v>
      </c>
      <c r="I57" s="42">
        <v>76</v>
      </c>
      <c r="J57"/>
      <c r="K57" s="11"/>
      <c r="L57" s="11"/>
      <c r="M57" s="11"/>
      <c r="N57" s="11"/>
      <c r="O57" s="11"/>
    </row>
    <row r="58" spans="1:15" x14ac:dyDescent="0.2">
      <c r="A58" s="64" t="s">
        <v>55</v>
      </c>
      <c r="B58" s="42">
        <v>1</v>
      </c>
      <c r="C58" s="42">
        <v>5</v>
      </c>
      <c r="D58" s="42">
        <v>0</v>
      </c>
      <c r="E58" s="42">
        <v>1</v>
      </c>
      <c r="F58" s="42">
        <v>12</v>
      </c>
      <c r="G58" s="42">
        <v>14</v>
      </c>
      <c r="H58" s="42">
        <v>5</v>
      </c>
      <c r="I58" s="42">
        <v>17</v>
      </c>
      <c r="J58"/>
      <c r="K58" s="11"/>
      <c r="L58" s="11"/>
      <c r="M58" s="11"/>
      <c r="N58" s="11"/>
      <c r="O58" s="11"/>
    </row>
    <row r="59" spans="1:15" x14ac:dyDescent="0.2">
      <c r="A59" s="64" t="s">
        <v>56</v>
      </c>
      <c r="B59" s="42">
        <v>0</v>
      </c>
      <c r="C59" s="42">
        <v>3</v>
      </c>
      <c r="D59" s="42">
        <v>3</v>
      </c>
      <c r="E59" s="42">
        <v>2</v>
      </c>
      <c r="F59" s="42">
        <v>39</v>
      </c>
      <c r="G59" s="42">
        <v>34</v>
      </c>
      <c r="H59" s="42">
        <v>97</v>
      </c>
      <c r="I59" s="42">
        <v>69</v>
      </c>
      <c r="J59"/>
      <c r="K59" s="11"/>
      <c r="L59" s="11"/>
      <c r="M59" s="11"/>
      <c r="N59" s="11"/>
      <c r="O59" s="11"/>
    </row>
    <row r="60" spans="1:15" x14ac:dyDescent="0.2">
      <c r="A60" s="64" t="s">
        <v>57</v>
      </c>
      <c r="B60" s="42">
        <v>1</v>
      </c>
      <c r="C60" s="42">
        <v>0</v>
      </c>
      <c r="D60" s="42">
        <v>0</v>
      </c>
      <c r="E60" s="42">
        <v>2</v>
      </c>
      <c r="F60" s="42">
        <v>6</v>
      </c>
      <c r="G60" s="42">
        <v>2</v>
      </c>
      <c r="H60" s="42">
        <v>4</v>
      </c>
      <c r="I60" s="42">
        <v>5</v>
      </c>
      <c r="J60"/>
      <c r="K60" s="11"/>
      <c r="L60" s="11"/>
      <c r="M60" s="11"/>
      <c r="N60" s="11"/>
      <c r="O60" s="11"/>
    </row>
    <row r="61" spans="1:15" x14ac:dyDescent="0.2">
      <c r="A61" s="64" t="s">
        <v>58</v>
      </c>
      <c r="B61" s="42">
        <v>0</v>
      </c>
      <c r="C61" s="42">
        <v>2</v>
      </c>
      <c r="D61" s="42">
        <v>0</v>
      </c>
      <c r="E61" s="42">
        <v>4</v>
      </c>
      <c r="F61" s="42">
        <v>23</v>
      </c>
      <c r="G61" s="42">
        <v>19</v>
      </c>
      <c r="H61" s="42">
        <v>20</v>
      </c>
      <c r="I61" s="42">
        <v>20</v>
      </c>
      <c r="J61"/>
      <c r="K61" s="11"/>
      <c r="L61" s="11"/>
      <c r="M61" s="11"/>
      <c r="N61" s="11"/>
      <c r="O61" s="11"/>
    </row>
    <row r="62" spans="1:15" x14ac:dyDescent="0.2">
      <c r="A62" s="64" t="s">
        <v>59</v>
      </c>
      <c r="B62" s="42">
        <v>2</v>
      </c>
      <c r="C62" s="42">
        <v>4</v>
      </c>
      <c r="D62" s="42">
        <v>3</v>
      </c>
      <c r="E62" s="42">
        <v>3</v>
      </c>
      <c r="F62" s="42">
        <v>23</v>
      </c>
      <c r="G62" s="42">
        <v>24</v>
      </c>
      <c r="H62" s="42">
        <v>28</v>
      </c>
      <c r="I62" s="42">
        <v>32</v>
      </c>
      <c r="J62"/>
      <c r="K62" s="11"/>
      <c r="L62" s="11"/>
      <c r="M62" s="11"/>
      <c r="N62" s="11"/>
      <c r="O62" s="11"/>
    </row>
    <row r="63" spans="1:15" x14ac:dyDescent="0.2">
      <c r="A63" s="64" t="s">
        <v>60</v>
      </c>
      <c r="B63" s="42">
        <v>2</v>
      </c>
      <c r="C63" s="42">
        <v>3</v>
      </c>
      <c r="D63" s="42">
        <v>2</v>
      </c>
      <c r="E63" s="42">
        <v>0</v>
      </c>
      <c r="F63" s="42">
        <v>9</v>
      </c>
      <c r="G63" s="42">
        <v>26</v>
      </c>
      <c r="H63" s="42">
        <v>17</v>
      </c>
      <c r="I63" s="42">
        <v>13</v>
      </c>
      <c r="J63"/>
      <c r="K63" s="11"/>
      <c r="L63" s="11"/>
      <c r="M63" s="11"/>
      <c r="N63" s="11"/>
      <c r="O63" s="11"/>
    </row>
    <row r="64" spans="1:15" x14ac:dyDescent="0.2">
      <c r="A64" s="64" t="s">
        <v>61</v>
      </c>
      <c r="B64" s="42">
        <v>3</v>
      </c>
      <c r="C64" s="42">
        <v>2</v>
      </c>
      <c r="D64" s="42">
        <v>2</v>
      </c>
      <c r="E64" s="42">
        <v>2</v>
      </c>
      <c r="F64" s="42">
        <v>26</v>
      </c>
      <c r="G64" s="42">
        <v>33</v>
      </c>
      <c r="H64" s="42">
        <v>30</v>
      </c>
      <c r="I64" s="42">
        <v>27</v>
      </c>
      <c r="J64"/>
      <c r="K64" s="11"/>
      <c r="L64" s="11"/>
      <c r="M64" s="11"/>
      <c r="N64" s="11"/>
      <c r="O64" s="11"/>
    </row>
    <row r="65" spans="1:15" x14ac:dyDescent="0.2">
      <c r="A65" s="64" t="s">
        <v>62</v>
      </c>
      <c r="B65" s="42">
        <v>2</v>
      </c>
      <c r="C65" s="42">
        <v>2</v>
      </c>
      <c r="D65" s="42">
        <v>0</v>
      </c>
      <c r="E65" s="42">
        <v>2</v>
      </c>
      <c r="F65" s="42">
        <v>24</v>
      </c>
      <c r="G65" s="42">
        <v>32</v>
      </c>
      <c r="H65" s="42">
        <v>14</v>
      </c>
      <c r="I65" s="42">
        <v>23</v>
      </c>
      <c r="J65"/>
      <c r="K65" s="11"/>
      <c r="L65" s="11"/>
      <c r="M65" s="11"/>
      <c r="N65" s="11"/>
      <c r="O65" s="11"/>
    </row>
    <row r="66" spans="1:15" x14ac:dyDescent="0.2">
      <c r="A66" s="64" t="s">
        <v>63</v>
      </c>
      <c r="B66" s="42">
        <v>11</v>
      </c>
      <c r="C66" s="42">
        <v>22</v>
      </c>
      <c r="D66" s="42">
        <v>17</v>
      </c>
      <c r="E66" s="42">
        <v>13</v>
      </c>
      <c r="F66" s="42">
        <v>107</v>
      </c>
      <c r="G66" s="42">
        <v>135</v>
      </c>
      <c r="H66" s="42">
        <v>181</v>
      </c>
      <c r="I66" s="42">
        <v>108</v>
      </c>
      <c r="J66"/>
      <c r="K66" s="11"/>
      <c r="L66" s="11"/>
      <c r="M66" s="11"/>
      <c r="N66" s="11"/>
      <c r="O66" s="11"/>
    </row>
    <row r="67" spans="1:15" x14ac:dyDescent="0.2">
      <c r="A67" s="64" t="s">
        <v>64</v>
      </c>
      <c r="B67" s="42">
        <v>1</v>
      </c>
      <c r="C67" s="42">
        <v>4</v>
      </c>
      <c r="D67" s="42">
        <v>7</v>
      </c>
      <c r="E67" s="42">
        <v>4</v>
      </c>
      <c r="F67" s="42">
        <v>21</v>
      </c>
      <c r="G67" s="42">
        <v>34</v>
      </c>
      <c r="H67" s="42">
        <v>38</v>
      </c>
      <c r="I67" s="42">
        <v>37</v>
      </c>
      <c r="J67"/>
      <c r="K67" s="11"/>
      <c r="L67" s="11"/>
      <c r="M67" s="11"/>
      <c r="N67" s="11"/>
      <c r="O67" s="11"/>
    </row>
    <row r="68" spans="1:15" x14ac:dyDescent="0.2">
      <c r="A68" s="64" t="s">
        <v>65</v>
      </c>
      <c r="B68" s="42">
        <v>17</v>
      </c>
      <c r="C68" s="42">
        <v>31</v>
      </c>
      <c r="D68" s="42">
        <v>18</v>
      </c>
      <c r="E68" s="42">
        <v>18</v>
      </c>
      <c r="F68" s="42">
        <v>203</v>
      </c>
      <c r="G68" s="42">
        <v>218</v>
      </c>
      <c r="H68" s="42">
        <v>290</v>
      </c>
      <c r="I68" s="42">
        <v>160</v>
      </c>
      <c r="J68"/>
      <c r="K68" s="11"/>
      <c r="L68" s="11"/>
      <c r="M68" s="11"/>
      <c r="N68" s="11"/>
      <c r="O68" s="11"/>
    </row>
    <row r="69" spans="1:15" x14ac:dyDescent="0.2">
      <c r="A69" s="64" t="s">
        <v>66</v>
      </c>
      <c r="B69" s="42">
        <v>2</v>
      </c>
      <c r="C69" s="42">
        <v>6</v>
      </c>
      <c r="D69" s="42">
        <v>2</v>
      </c>
      <c r="E69" s="42">
        <v>3</v>
      </c>
      <c r="F69" s="42">
        <v>22</v>
      </c>
      <c r="G69" s="42">
        <v>20</v>
      </c>
      <c r="H69" s="42">
        <v>24</v>
      </c>
      <c r="I69" s="42">
        <v>17</v>
      </c>
      <c r="J69"/>
      <c r="K69" s="11"/>
      <c r="L69" s="11"/>
      <c r="M69" s="11"/>
      <c r="N69" s="11"/>
      <c r="O69" s="11"/>
    </row>
    <row r="70" spans="1:15" x14ac:dyDescent="0.2">
      <c r="A70" s="64" t="s">
        <v>67</v>
      </c>
      <c r="B70" s="42">
        <v>32</v>
      </c>
      <c r="C70" s="42">
        <v>77</v>
      </c>
      <c r="D70" s="42">
        <v>21</v>
      </c>
      <c r="E70" s="42">
        <v>31</v>
      </c>
      <c r="F70" s="42">
        <v>391</v>
      </c>
      <c r="G70" s="42">
        <v>596</v>
      </c>
      <c r="H70" s="42">
        <v>315</v>
      </c>
      <c r="I70" s="42">
        <v>371</v>
      </c>
      <c r="J70"/>
      <c r="K70" s="11"/>
      <c r="L70" s="11"/>
      <c r="M70" s="11"/>
      <c r="N70" s="11"/>
      <c r="O70" s="11"/>
    </row>
    <row r="71" spans="1:15" x14ac:dyDescent="0.2">
      <c r="A71" s="39" t="s">
        <v>68</v>
      </c>
      <c r="B71" s="67">
        <f>SUM(B4:B70)</f>
        <v>859</v>
      </c>
      <c r="C71" s="67">
        <f>SUM(C4:C70)</f>
        <v>1975</v>
      </c>
      <c r="D71" s="67">
        <f>SUM(D4:D70)</f>
        <v>634</v>
      </c>
      <c r="E71" s="67">
        <f>SUM(E4:E70)</f>
        <v>603</v>
      </c>
      <c r="F71" s="67">
        <f t="shared" ref="F71:I71" si="0">SUM(F4:F70)</f>
        <v>9311</v>
      </c>
      <c r="G71" s="67">
        <f t="shared" si="0"/>
        <v>14256</v>
      </c>
      <c r="H71" s="67">
        <f t="shared" si="0"/>
        <v>9297</v>
      </c>
      <c r="I71" s="67">
        <f t="shared" si="0"/>
        <v>6973</v>
      </c>
      <c r="J71"/>
    </row>
    <row r="73" spans="1:15" x14ac:dyDescent="0.2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40625" defaultRowHeight="12.75" x14ac:dyDescent="0.2"/>
  <cols>
    <col min="1" max="1" width="19.140625" style="11" bestFit="1" customWidth="1"/>
    <col min="2" max="5" width="8.28515625" style="10" customWidth="1"/>
    <col min="6" max="14" width="7.7109375" style="11" customWidth="1"/>
    <col min="15" max="15" width="7.28515625" style="10" customWidth="1"/>
    <col min="16" max="16" width="6.140625" style="10" customWidth="1"/>
    <col min="17" max="17" width="6.7109375" style="10" bestFit="1" customWidth="1"/>
    <col min="18" max="18" width="7.140625" style="10" customWidth="1"/>
    <col min="19" max="19" width="6.140625" style="10" customWidth="1"/>
    <col min="20" max="20" width="8" style="10" customWidth="1"/>
    <col min="21" max="23" width="6.28515625" style="11" customWidth="1"/>
    <col min="24" max="27" width="6.7109375" style="35" bestFit="1" customWidth="1"/>
    <col min="28" max="29" width="6.7109375" style="35" customWidth="1"/>
    <col min="30" max="30" width="7.7109375" style="35" bestFit="1" customWidth="1"/>
    <col min="31" max="31" width="6.7109375" style="35" customWidth="1"/>
    <col min="32" max="35" width="6.7109375" style="35" bestFit="1" customWidth="1"/>
    <col min="36" max="59" width="6.7109375" style="35" customWidth="1"/>
    <col min="60" max="60" width="8.42578125" style="10" customWidth="1"/>
    <col min="61" max="61" width="6.7109375" style="10" bestFit="1" customWidth="1"/>
    <col min="62" max="62" width="7.7109375" style="10" bestFit="1" customWidth="1"/>
    <col min="63" max="63" width="8.28515625" style="10" customWidth="1"/>
    <col min="64" max="16384" width="9.140625" style="11"/>
  </cols>
  <sheetData>
    <row r="1" spans="1:76" x14ac:dyDescent="0.2">
      <c r="A1" s="42"/>
      <c r="B1" s="80" t="s">
        <v>97</v>
      </c>
      <c r="C1" s="81"/>
      <c r="D1" s="81"/>
      <c r="E1" s="81"/>
      <c r="F1" s="82" t="s">
        <v>99</v>
      </c>
      <c r="G1" s="82"/>
      <c r="H1" s="82"/>
      <c r="I1" s="82"/>
      <c r="J1" s="82"/>
      <c r="K1" s="82"/>
      <c r="L1" s="88" t="s">
        <v>94</v>
      </c>
      <c r="M1" s="88"/>
      <c r="N1" s="88"/>
      <c r="O1" s="80" t="s">
        <v>100</v>
      </c>
      <c r="P1" s="80"/>
      <c r="Q1" s="80"/>
      <c r="R1" s="80"/>
      <c r="S1" s="80"/>
      <c r="T1" s="80"/>
      <c r="U1" s="80"/>
      <c r="V1" s="80"/>
      <c r="W1" s="80"/>
      <c r="X1" s="82" t="s">
        <v>101</v>
      </c>
      <c r="Y1" s="82"/>
      <c r="Z1" s="82"/>
      <c r="AA1" s="82"/>
      <c r="AB1" s="42"/>
      <c r="AC1" s="42" t="s">
        <v>105</v>
      </c>
      <c r="AD1" s="42"/>
      <c r="AE1" s="42"/>
      <c r="AF1" s="82" t="s">
        <v>106</v>
      </c>
      <c r="AG1" s="82"/>
      <c r="AH1" s="82"/>
      <c r="AI1" s="82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6" t="s">
        <v>117</v>
      </c>
      <c r="BA1" s="86"/>
      <c r="BB1" s="86"/>
      <c r="BC1" s="86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4" t="s">
        <v>127</v>
      </c>
      <c r="BQ1" s="84"/>
      <c r="BR1" s="84"/>
      <c r="BS1" s="84"/>
      <c r="BT1" s="84"/>
      <c r="BU1" s="84"/>
      <c r="BV1" s="84"/>
      <c r="BW1" s="84"/>
      <c r="BX1" s="84"/>
    </row>
    <row r="2" spans="1:76" x14ac:dyDescent="0.2">
      <c r="A2" s="42"/>
      <c r="B2" s="81" t="s">
        <v>86</v>
      </c>
      <c r="C2" s="81"/>
      <c r="D2" s="81" t="s">
        <v>87</v>
      </c>
      <c r="E2" s="81"/>
      <c r="F2" s="83" t="s">
        <v>86</v>
      </c>
      <c r="G2" s="83"/>
      <c r="H2" s="83"/>
      <c r="I2" s="83" t="s">
        <v>87</v>
      </c>
      <c r="J2" s="83"/>
      <c r="K2" s="83"/>
      <c r="L2" s="83" t="s">
        <v>93</v>
      </c>
      <c r="M2" s="83"/>
      <c r="N2" s="83"/>
      <c r="O2" s="81" t="s">
        <v>86</v>
      </c>
      <c r="P2" s="81"/>
      <c r="Q2" s="81"/>
      <c r="R2" s="81" t="s">
        <v>87</v>
      </c>
      <c r="S2" s="81"/>
      <c r="T2" s="81"/>
      <c r="U2" s="81" t="s">
        <v>93</v>
      </c>
      <c r="V2" s="81"/>
      <c r="W2" s="81"/>
      <c r="X2" s="82" t="s">
        <v>86</v>
      </c>
      <c r="Y2" s="83"/>
      <c r="Z2" s="83" t="s">
        <v>87</v>
      </c>
      <c r="AA2" s="83"/>
      <c r="AB2" s="81" t="s">
        <v>86</v>
      </c>
      <c r="AC2" s="81"/>
      <c r="AD2" s="81" t="s">
        <v>87</v>
      </c>
      <c r="AE2" s="81"/>
      <c r="AF2" s="82" t="s">
        <v>86</v>
      </c>
      <c r="AG2" s="83"/>
      <c r="AH2" s="83" t="s">
        <v>87</v>
      </c>
      <c r="AI2" s="83"/>
      <c r="AJ2" s="81" t="s">
        <v>86</v>
      </c>
      <c r="AK2" s="81"/>
      <c r="AL2" s="81" t="s">
        <v>87</v>
      </c>
      <c r="AM2" s="81"/>
      <c r="AN2" s="81" t="s">
        <v>86</v>
      </c>
      <c r="AO2" s="81"/>
      <c r="AP2" s="81" t="s">
        <v>87</v>
      </c>
      <c r="AQ2" s="81"/>
      <c r="AR2" s="81" t="s">
        <v>86</v>
      </c>
      <c r="AS2" s="81"/>
      <c r="AT2" s="81" t="s">
        <v>87</v>
      </c>
      <c r="AU2" s="81"/>
      <c r="AV2" s="81" t="s">
        <v>86</v>
      </c>
      <c r="AW2" s="81"/>
      <c r="AX2" s="81" t="s">
        <v>87</v>
      </c>
      <c r="AY2" s="81"/>
      <c r="AZ2" s="87" t="s">
        <v>86</v>
      </c>
      <c r="BA2" s="87"/>
      <c r="BB2" s="87" t="s">
        <v>87</v>
      </c>
      <c r="BC2" s="87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4" t="s">
        <v>86</v>
      </c>
      <c r="BQ2" s="85"/>
      <c r="BR2" s="85"/>
      <c r="BS2" s="84" t="s">
        <v>87</v>
      </c>
      <c r="BT2" s="85"/>
      <c r="BU2" s="85"/>
      <c r="BV2" s="85" t="s">
        <v>93</v>
      </c>
      <c r="BW2" s="85"/>
      <c r="BX2" s="85"/>
    </row>
    <row r="3" spans="1:76" x14ac:dyDescent="0.2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I24" sqref="I24"/>
    </sheetView>
  </sheetViews>
  <sheetFormatPr defaultColWidth="9.140625" defaultRowHeight="12.75" x14ac:dyDescent="0.2"/>
  <cols>
    <col min="1" max="1" width="19.140625" style="11" bestFit="1" customWidth="1"/>
    <col min="2" max="2" width="22.140625" style="21" customWidth="1"/>
    <col min="3" max="3" width="20" style="21" customWidth="1"/>
    <col min="4" max="4" width="18.5703125" style="30" customWidth="1"/>
    <col min="5" max="5" width="18" style="22" customWidth="1"/>
    <col min="6" max="6" width="5.5703125" style="21" bestFit="1" customWidth="1"/>
    <col min="7" max="16384" width="9.140625" style="21"/>
  </cols>
  <sheetData>
    <row r="1" spans="1:5" x14ac:dyDescent="0.2">
      <c r="A1" s="42"/>
      <c r="B1" s="91" t="s">
        <v>130</v>
      </c>
      <c r="C1" s="92"/>
      <c r="D1" s="93" t="s">
        <v>126</v>
      </c>
      <c r="E1" s="94"/>
    </row>
    <row r="2" spans="1:5" x14ac:dyDescent="0.2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">
      <c r="A3" s="42" t="s">
        <v>1</v>
      </c>
      <c r="B3" s="53">
        <v>6</v>
      </c>
      <c r="C3" s="53">
        <v>4</v>
      </c>
      <c r="D3" s="53">
        <v>66</v>
      </c>
      <c r="E3" s="53">
        <v>113</v>
      </c>
    </row>
    <row r="4" spans="1:5" x14ac:dyDescent="0.2">
      <c r="A4" s="42" t="s">
        <v>2</v>
      </c>
      <c r="B4" s="53">
        <v>46</v>
      </c>
      <c r="C4" s="53">
        <v>35</v>
      </c>
      <c r="D4" s="53">
        <v>787</v>
      </c>
      <c r="E4" s="53">
        <v>575</v>
      </c>
    </row>
    <row r="5" spans="1:5" x14ac:dyDescent="0.2">
      <c r="A5" s="42" t="s">
        <v>3</v>
      </c>
      <c r="B5" s="53">
        <v>0</v>
      </c>
      <c r="C5" s="53">
        <v>2</v>
      </c>
      <c r="D5" s="53">
        <v>15</v>
      </c>
      <c r="E5" s="53">
        <v>28</v>
      </c>
    </row>
    <row r="6" spans="1:5" x14ac:dyDescent="0.2">
      <c r="A6" s="42" t="s">
        <v>4</v>
      </c>
      <c r="B6" s="53">
        <v>5</v>
      </c>
      <c r="C6" s="53">
        <v>6</v>
      </c>
      <c r="D6" s="53">
        <v>41</v>
      </c>
      <c r="E6" s="53">
        <v>66</v>
      </c>
    </row>
    <row r="7" spans="1:5" x14ac:dyDescent="0.2">
      <c r="A7" s="42" t="s">
        <v>5</v>
      </c>
      <c r="B7" s="53">
        <v>1</v>
      </c>
      <c r="C7" s="53">
        <v>2</v>
      </c>
      <c r="D7" s="53">
        <v>4</v>
      </c>
      <c r="E7" s="53">
        <v>8</v>
      </c>
    </row>
    <row r="8" spans="1:5" x14ac:dyDescent="0.2">
      <c r="A8" s="42" t="s">
        <v>6</v>
      </c>
      <c r="B8" s="53">
        <v>29</v>
      </c>
      <c r="C8" s="53">
        <v>25</v>
      </c>
      <c r="D8" s="53">
        <v>539</v>
      </c>
      <c r="E8" s="53">
        <v>434</v>
      </c>
    </row>
    <row r="9" spans="1:5" x14ac:dyDescent="0.2">
      <c r="A9" s="42" t="s">
        <v>7</v>
      </c>
      <c r="B9" s="53">
        <v>2</v>
      </c>
      <c r="C9" s="53">
        <v>3</v>
      </c>
      <c r="D9" s="53">
        <v>40</v>
      </c>
      <c r="E9" s="53">
        <v>62</v>
      </c>
    </row>
    <row r="10" spans="1:5" x14ac:dyDescent="0.2">
      <c r="A10" s="42" t="s">
        <v>8</v>
      </c>
      <c r="B10" s="53">
        <v>1</v>
      </c>
      <c r="C10" s="53">
        <v>2</v>
      </c>
      <c r="D10" s="53">
        <v>24</v>
      </c>
      <c r="E10" s="53">
        <v>30</v>
      </c>
    </row>
    <row r="11" spans="1:5" x14ac:dyDescent="0.2">
      <c r="A11" s="42" t="s">
        <v>9</v>
      </c>
      <c r="B11" s="53">
        <v>35</v>
      </c>
      <c r="C11" s="53">
        <v>31</v>
      </c>
      <c r="D11" s="53">
        <v>593</v>
      </c>
      <c r="E11" s="53">
        <v>689</v>
      </c>
    </row>
    <row r="12" spans="1:5" x14ac:dyDescent="0.2">
      <c r="A12" s="42" t="s">
        <v>10</v>
      </c>
      <c r="B12" s="53">
        <v>3</v>
      </c>
      <c r="C12" s="53">
        <v>5</v>
      </c>
      <c r="D12" s="53">
        <v>68</v>
      </c>
      <c r="E12" s="53">
        <v>125</v>
      </c>
    </row>
    <row r="13" spans="1:5" x14ac:dyDescent="0.2">
      <c r="A13" s="42" t="s">
        <v>11</v>
      </c>
      <c r="B13" s="53">
        <v>3</v>
      </c>
      <c r="C13" s="53">
        <v>2</v>
      </c>
      <c r="D13" s="53">
        <v>60</v>
      </c>
      <c r="E13" s="53">
        <v>61</v>
      </c>
    </row>
    <row r="14" spans="1:5" x14ac:dyDescent="0.2">
      <c r="A14" s="42" t="s">
        <v>12</v>
      </c>
      <c r="B14" s="53">
        <v>0</v>
      </c>
      <c r="C14" s="53">
        <v>0</v>
      </c>
      <c r="D14" s="53">
        <v>1</v>
      </c>
      <c r="E14" s="53">
        <v>2</v>
      </c>
    </row>
    <row r="15" spans="1:5" x14ac:dyDescent="0.2">
      <c r="A15" s="42" t="s">
        <v>13</v>
      </c>
      <c r="B15" s="53">
        <v>2</v>
      </c>
      <c r="C15" s="53">
        <v>1</v>
      </c>
      <c r="D15" s="53">
        <v>28</v>
      </c>
      <c r="E15" s="53">
        <v>36</v>
      </c>
    </row>
    <row r="16" spans="1:5" x14ac:dyDescent="0.2">
      <c r="A16" s="42" t="s">
        <v>14</v>
      </c>
      <c r="B16" s="53">
        <v>4</v>
      </c>
      <c r="C16" s="53">
        <v>6</v>
      </c>
      <c r="D16" s="53">
        <v>80</v>
      </c>
      <c r="E16" s="53">
        <v>74</v>
      </c>
    </row>
    <row r="17" spans="1:5" x14ac:dyDescent="0.2">
      <c r="A17" s="42" t="s">
        <v>15</v>
      </c>
      <c r="B17" s="53">
        <v>20</v>
      </c>
      <c r="C17" s="53">
        <v>13</v>
      </c>
      <c r="D17" s="53">
        <v>567</v>
      </c>
      <c r="E17" s="53">
        <v>586</v>
      </c>
    </row>
    <row r="18" spans="1:5" x14ac:dyDescent="0.2">
      <c r="A18" s="42" t="s">
        <v>16</v>
      </c>
      <c r="B18" s="53">
        <v>2</v>
      </c>
      <c r="C18" s="53">
        <v>0</v>
      </c>
      <c r="D18" s="53">
        <v>11</v>
      </c>
      <c r="E18" s="53">
        <v>14</v>
      </c>
    </row>
    <row r="19" spans="1:5" x14ac:dyDescent="0.2">
      <c r="A19" s="42" t="s">
        <v>17</v>
      </c>
      <c r="B19" s="53">
        <v>4</v>
      </c>
      <c r="C19" s="53">
        <v>3</v>
      </c>
      <c r="D19" s="53">
        <v>23</v>
      </c>
      <c r="E19" s="53">
        <v>31</v>
      </c>
    </row>
    <row r="20" spans="1:5" x14ac:dyDescent="0.2">
      <c r="A20" s="42" t="s">
        <v>18</v>
      </c>
      <c r="B20" s="53">
        <v>1</v>
      </c>
      <c r="C20" s="53">
        <v>0</v>
      </c>
      <c r="D20" s="53">
        <v>23</v>
      </c>
      <c r="E20" s="53">
        <v>22</v>
      </c>
    </row>
    <row r="21" spans="1:5" x14ac:dyDescent="0.2">
      <c r="A21" s="42" t="s">
        <v>19</v>
      </c>
      <c r="B21" s="53">
        <v>1</v>
      </c>
      <c r="C21" s="53">
        <v>2</v>
      </c>
      <c r="D21" s="53">
        <v>18</v>
      </c>
      <c r="E21" s="53">
        <v>35</v>
      </c>
    </row>
    <row r="22" spans="1:5" x14ac:dyDescent="0.2">
      <c r="A22" s="42" t="s">
        <v>20</v>
      </c>
      <c r="B22" s="53">
        <v>2</v>
      </c>
      <c r="C22" s="53">
        <v>0</v>
      </c>
      <c r="D22" s="53">
        <v>30</v>
      </c>
      <c r="E22" s="53">
        <v>39</v>
      </c>
    </row>
    <row r="23" spans="1:5" x14ac:dyDescent="0.2">
      <c r="A23" s="42" t="s">
        <v>21</v>
      </c>
      <c r="B23" s="53">
        <v>17</v>
      </c>
      <c r="C23" s="53">
        <v>17</v>
      </c>
      <c r="D23" s="53">
        <v>246</v>
      </c>
      <c r="E23" s="53">
        <v>282</v>
      </c>
    </row>
    <row r="24" spans="1:5" x14ac:dyDescent="0.2">
      <c r="A24" s="42" t="s">
        <v>22</v>
      </c>
      <c r="B24" s="53">
        <v>34</v>
      </c>
      <c r="C24" s="53">
        <v>13</v>
      </c>
      <c r="D24" s="53">
        <v>453</v>
      </c>
      <c r="E24" s="53">
        <v>301</v>
      </c>
    </row>
    <row r="25" spans="1:5" x14ac:dyDescent="0.2">
      <c r="A25" s="42" t="s">
        <v>23</v>
      </c>
      <c r="B25" s="53">
        <v>23</v>
      </c>
      <c r="C25" s="53">
        <v>11</v>
      </c>
      <c r="D25" s="53">
        <v>388</v>
      </c>
      <c r="E25" s="53">
        <v>281</v>
      </c>
    </row>
    <row r="26" spans="1:5" x14ac:dyDescent="0.2">
      <c r="A26" s="42" t="s">
        <v>24</v>
      </c>
      <c r="B26" s="53">
        <v>0</v>
      </c>
      <c r="C26" s="53">
        <v>1</v>
      </c>
      <c r="D26" s="53">
        <v>4</v>
      </c>
      <c r="E26" s="53">
        <v>15</v>
      </c>
    </row>
    <row r="27" spans="1:5" x14ac:dyDescent="0.2">
      <c r="A27" s="42" t="s">
        <v>25</v>
      </c>
      <c r="B27" s="53">
        <v>7</v>
      </c>
      <c r="C27" s="53">
        <v>4</v>
      </c>
      <c r="D27" s="53">
        <v>133</v>
      </c>
      <c r="E27" s="53">
        <v>121</v>
      </c>
    </row>
    <row r="28" spans="1:5" x14ac:dyDescent="0.2">
      <c r="A28" s="42" t="s">
        <v>26</v>
      </c>
      <c r="B28" s="53">
        <v>3</v>
      </c>
      <c r="C28" s="53">
        <v>6</v>
      </c>
      <c r="D28" s="53">
        <v>48</v>
      </c>
      <c r="E28" s="53">
        <v>58</v>
      </c>
    </row>
    <row r="29" spans="1:5" x14ac:dyDescent="0.2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">
      <c r="A30" s="42" t="s">
        <v>28</v>
      </c>
      <c r="B30" s="53">
        <v>2</v>
      </c>
      <c r="C30" s="53">
        <v>7</v>
      </c>
      <c r="D30" s="53">
        <v>100</v>
      </c>
      <c r="E30" s="53">
        <v>186</v>
      </c>
    </row>
    <row r="31" spans="1:5" x14ac:dyDescent="0.2">
      <c r="A31" s="42" t="s">
        <v>29</v>
      </c>
      <c r="B31" s="53">
        <v>0</v>
      </c>
      <c r="C31" s="53">
        <v>0</v>
      </c>
      <c r="D31" s="53">
        <v>7</v>
      </c>
      <c r="E31" s="53">
        <v>8</v>
      </c>
    </row>
    <row r="32" spans="1:5" x14ac:dyDescent="0.2">
      <c r="A32" s="42" t="s">
        <v>30</v>
      </c>
      <c r="B32" s="53">
        <v>0</v>
      </c>
      <c r="C32" s="53">
        <v>2</v>
      </c>
      <c r="D32" s="53">
        <v>13</v>
      </c>
      <c r="E32" s="53">
        <v>14</v>
      </c>
    </row>
    <row r="33" spans="1:5" x14ac:dyDescent="0.2">
      <c r="A33" s="42" t="s">
        <v>31</v>
      </c>
      <c r="B33" s="53">
        <v>1</v>
      </c>
      <c r="C33" s="53">
        <v>1</v>
      </c>
      <c r="D33" s="53">
        <v>10</v>
      </c>
      <c r="E33" s="53">
        <v>11</v>
      </c>
    </row>
    <row r="34" spans="1:5" x14ac:dyDescent="0.2">
      <c r="A34" s="42" t="s">
        <v>32</v>
      </c>
      <c r="B34" s="53">
        <v>4</v>
      </c>
      <c r="C34" s="53">
        <v>1</v>
      </c>
      <c r="D34" s="53">
        <v>26</v>
      </c>
      <c r="E34" s="53">
        <v>21</v>
      </c>
    </row>
    <row r="35" spans="1:5" x14ac:dyDescent="0.2">
      <c r="A35" s="42" t="s">
        <v>33</v>
      </c>
      <c r="B35" s="53">
        <v>0</v>
      </c>
      <c r="C35" s="53">
        <v>0</v>
      </c>
      <c r="D35" s="53">
        <v>6</v>
      </c>
      <c r="E35" s="53">
        <v>10</v>
      </c>
    </row>
    <row r="36" spans="1:5" x14ac:dyDescent="0.2">
      <c r="A36" s="42" t="s">
        <v>34</v>
      </c>
      <c r="B36" s="53">
        <v>0</v>
      </c>
      <c r="C36" s="53">
        <v>0</v>
      </c>
      <c r="D36" s="53">
        <v>12</v>
      </c>
      <c r="E36" s="53">
        <v>4</v>
      </c>
    </row>
    <row r="37" spans="1:5" x14ac:dyDescent="0.2">
      <c r="A37" s="42" t="s">
        <v>35</v>
      </c>
      <c r="B37" s="53">
        <v>7</v>
      </c>
      <c r="C37" s="53">
        <v>7</v>
      </c>
      <c r="D37" s="53">
        <v>177</v>
      </c>
      <c r="E37" s="53">
        <v>146</v>
      </c>
    </row>
    <row r="38" spans="1:5" x14ac:dyDescent="0.2">
      <c r="A38" s="42" t="s">
        <v>36</v>
      </c>
      <c r="B38" s="53">
        <v>27</v>
      </c>
      <c r="C38" s="53">
        <v>35</v>
      </c>
      <c r="D38" s="53">
        <v>528</v>
      </c>
      <c r="E38" s="53">
        <v>592</v>
      </c>
    </row>
    <row r="39" spans="1:5" x14ac:dyDescent="0.2">
      <c r="A39" s="42" t="s">
        <v>37</v>
      </c>
      <c r="B39" s="53">
        <v>1</v>
      </c>
      <c r="C39" s="53">
        <v>2</v>
      </c>
      <c r="D39" s="53">
        <v>26</v>
      </c>
      <c r="E39" s="53">
        <v>34</v>
      </c>
    </row>
    <row r="40" spans="1:5" x14ac:dyDescent="0.2">
      <c r="A40" s="42" t="s">
        <v>38</v>
      </c>
      <c r="B40" s="53">
        <v>2</v>
      </c>
      <c r="C40" s="53">
        <v>2</v>
      </c>
      <c r="D40" s="53">
        <v>77</v>
      </c>
      <c r="E40" s="53">
        <v>77</v>
      </c>
    </row>
    <row r="41" spans="1:5" x14ac:dyDescent="0.2">
      <c r="A41" s="42" t="s">
        <v>39</v>
      </c>
      <c r="B41" s="53">
        <v>17</v>
      </c>
      <c r="C41" s="53">
        <v>13</v>
      </c>
      <c r="D41" s="53">
        <v>334</v>
      </c>
      <c r="E41" s="53">
        <v>262</v>
      </c>
    </row>
    <row r="42" spans="1:5" x14ac:dyDescent="0.2">
      <c r="A42" s="42" t="s">
        <v>40</v>
      </c>
      <c r="B42" s="53">
        <v>4</v>
      </c>
      <c r="C42" s="53">
        <v>4</v>
      </c>
      <c r="D42" s="53">
        <v>200</v>
      </c>
      <c r="E42" s="53">
        <v>156</v>
      </c>
    </row>
    <row r="43" spans="1:5" x14ac:dyDescent="0.2">
      <c r="A43" s="42" t="s">
        <v>41</v>
      </c>
      <c r="B43" s="53">
        <v>1</v>
      </c>
      <c r="C43" s="53">
        <v>3</v>
      </c>
      <c r="D43" s="53">
        <v>53</v>
      </c>
      <c r="E43" s="53">
        <v>84</v>
      </c>
    </row>
    <row r="44" spans="1:5" x14ac:dyDescent="0.2">
      <c r="A44" s="42" t="s">
        <v>42</v>
      </c>
      <c r="B44" s="53">
        <v>0</v>
      </c>
      <c r="C44" s="53">
        <v>0</v>
      </c>
      <c r="D44" s="53">
        <v>10</v>
      </c>
      <c r="E44" s="53">
        <v>7</v>
      </c>
    </row>
    <row r="45" spans="1:5" x14ac:dyDescent="0.2">
      <c r="A45" s="42" t="s">
        <v>43</v>
      </c>
      <c r="B45" s="53">
        <v>3</v>
      </c>
      <c r="C45" s="53">
        <v>2</v>
      </c>
      <c r="D45" s="53">
        <v>47</v>
      </c>
      <c r="E45" s="53">
        <v>46</v>
      </c>
    </row>
    <row r="46" spans="1:5" x14ac:dyDescent="0.2">
      <c r="A46" s="42" t="s">
        <v>44</v>
      </c>
      <c r="B46" s="53">
        <v>1</v>
      </c>
      <c r="C46" s="53">
        <v>0</v>
      </c>
      <c r="D46" s="53">
        <v>4</v>
      </c>
      <c r="E46" s="53">
        <v>17</v>
      </c>
    </row>
    <row r="47" spans="1:5" x14ac:dyDescent="0.2">
      <c r="A47" s="42" t="s">
        <v>45</v>
      </c>
      <c r="B47" s="53">
        <v>7</v>
      </c>
      <c r="C47" s="53">
        <v>4</v>
      </c>
      <c r="D47" s="53">
        <v>170</v>
      </c>
      <c r="E47" s="53">
        <v>127</v>
      </c>
    </row>
    <row r="48" spans="1:5" x14ac:dyDescent="0.2">
      <c r="A48" s="42" t="s">
        <v>46</v>
      </c>
      <c r="B48" s="53">
        <v>59</v>
      </c>
      <c r="C48" s="53">
        <v>46</v>
      </c>
      <c r="D48" s="53">
        <v>894</v>
      </c>
      <c r="E48" s="53">
        <v>757</v>
      </c>
    </row>
    <row r="49" spans="1:5" x14ac:dyDescent="0.2">
      <c r="A49" s="42" t="s">
        <v>47</v>
      </c>
      <c r="B49" s="53">
        <v>0</v>
      </c>
      <c r="C49" s="53">
        <v>2</v>
      </c>
      <c r="D49" s="53">
        <v>4</v>
      </c>
      <c r="E49" s="53">
        <v>7</v>
      </c>
    </row>
    <row r="50" spans="1:5" x14ac:dyDescent="0.2">
      <c r="A50" s="42" t="s">
        <v>48</v>
      </c>
      <c r="B50" s="53">
        <v>19</v>
      </c>
      <c r="C50" s="53">
        <v>16</v>
      </c>
      <c r="D50" s="53">
        <v>356</v>
      </c>
      <c r="E50" s="53">
        <v>279</v>
      </c>
    </row>
    <row r="51" spans="1:5" x14ac:dyDescent="0.2">
      <c r="A51" s="42" t="s">
        <v>49</v>
      </c>
      <c r="B51" s="53">
        <v>0</v>
      </c>
      <c r="C51" s="53">
        <v>1</v>
      </c>
      <c r="D51" s="53">
        <v>36</v>
      </c>
      <c r="E51" s="53">
        <v>41</v>
      </c>
    </row>
    <row r="52" spans="1:5" x14ac:dyDescent="0.2">
      <c r="A52" s="42" t="s">
        <v>50</v>
      </c>
      <c r="B52" s="53">
        <v>1</v>
      </c>
      <c r="C52" s="53">
        <v>1</v>
      </c>
      <c r="D52" s="53">
        <v>30</v>
      </c>
      <c r="E52" s="53">
        <v>51</v>
      </c>
    </row>
    <row r="53" spans="1:5" x14ac:dyDescent="0.2">
      <c r="A53" s="42" t="s">
        <v>51</v>
      </c>
      <c r="B53" s="53">
        <v>223</v>
      </c>
      <c r="C53" s="53">
        <v>58</v>
      </c>
      <c r="D53" s="53">
        <v>2005</v>
      </c>
      <c r="E53" s="53">
        <v>605</v>
      </c>
    </row>
    <row r="54" spans="1:5" x14ac:dyDescent="0.2">
      <c r="A54" s="42" t="s">
        <v>52</v>
      </c>
      <c r="B54" s="53">
        <v>2</v>
      </c>
      <c r="C54" s="53">
        <v>6</v>
      </c>
      <c r="D54" s="53">
        <v>39</v>
      </c>
      <c r="E54" s="53">
        <v>52</v>
      </c>
    </row>
    <row r="55" spans="1:5" x14ac:dyDescent="0.2">
      <c r="A55" s="42" t="s">
        <v>53</v>
      </c>
      <c r="B55" s="53">
        <v>1</v>
      </c>
      <c r="C55" s="53">
        <v>1</v>
      </c>
      <c r="D55" s="53">
        <v>4</v>
      </c>
      <c r="E55" s="53">
        <v>9</v>
      </c>
    </row>
    <row r="56" spans="1:5" x14ac:dyDescent="0.2">
      <c r="A56" s="42" t="s">
        <v>54</v>
      </c>
      <c r="B56" s="53">
        <v>1</v>
      </c>
      <c r="C56" s="53">
        <v>5</v>
      </c>
      <c r="D56" s="53">
        <v>73</v>
      </c>
      <c r="E56" s="53">
        <v>84</v>
      </c>
    </row>
    <row r="57" spans="1:5" x14ac:dyDescent="0.2">
      <c r="A57" s="42" t="s">
        <v>55</v>
      </c>
      <c r="B57" s="53">
        <v>0</v>
      </c>
      <c r="C57" s="53">
        <v>0</v>
      </c>
      <c r="D57" s="53">
        <v>4</v>
      </c>
      <c r="E57" s="53">
        <v>5</v>
      </c>
    </row>
    <row r="58" spans="1:5" x14ac:dyDescent="0.2">
      <c r="A58" s="42" t="s">
        <v>56</v>
      </c>
      <c r="B58" s="53">
        <v>2</v>
      </c>
      <c r="C58" s="53">
        <v>5</v>
      </c>
      <c r="D58" s="53">
        <v>42</v>
      </c>
      <c r="E58" s="53">
        <v>51</v>
      </c>
    </row>
    <row r="59" spans="1:5" x14ac:dyDescent="0.2">
      <c r="A59" s="42" t="s">
        <v>57</v>
      </c>
      <c r="B59" s="53">
        <v>0</v>
      </c>
      <c r="C59" s="53">
        <v>0</v>
      </c>
      <c r="D59" s="53">
        <v>1</v>
      </c>
      <c r="E59" s="53">
        <v>3</v>
      </c>
    </row>
    <row r="60" spans="1:5" x14ac:dyDescent="0.2">
      <c r="A60" s="42" t="s">
        <v>58</v>
      </c>
      <c r="B60" s="53">
        <v>0</v>
      </c>
      <c r="C60" s="53">
        <v>1</v>
      </c>
      <c r="D60" s="53">
        <v>12</v>
      </c>
      <c r="E60" s="53">
        <v>16</v>
      </c>
    </row>
    <row r="61" spans="1:5" x14ac:dyDescent="0.2">
      <c r="A61" s="42" t="s">
        <v>59</v>
      </c>
      <c r="B61" s="53">
        <v>1</v>
      </c>
      <c r="C61" s="53">
        <v>2</v>
      </c>
      <c r="D61" s="53">
        <v>17</v>
      </c>
      <c r="E61" s="53">
        <v>18</v>
      </c>
    </row>
    <row r="62" spans="1:5" x14ac:dyDescent="0.2">
      <c r="A62" s="42" t="s">
        <v>60</v>
      </c>
      <c r="B62" s="53">
        <v>0</v>
      </c>
      <c r="C62" s="53">
        <v>0</v>
      </c>
      <c r="D62" s="53">
        <v>6</v>
      </c>
      <c r="E62" s="53">
        <v>16</v>
      </c>
    </row>
    <row r="63" spans="1:5" x14ac:dyDescent="0.2">
      <c r="A63" s="42" t="s">
        <v>61</v>
      </c>
      <c r="B63" s="53">
        <v>3</v>
      </c>
      <c r="C63" s="53">
        <v>1</v>
      </c>
      <c r="D63" s="53">
        <v>22</v>
      </c>
      <c r="E63" s="53">
        <v>36</v>
      </c>
    </row>
    <row r="64" spans="1:5" x14ac:dyDescent="0.2">
      <c r="A64" s="42" t="s">
        <v>62</v>
      </c>
      <c r="B64" s="53">
        <v>0</v>
      </c>
      <c r="C64" s="53">
        <v>2</v>
      </c>
      <c r="D64" s="53">
        <v>16</v>
      </c>
      <c r="E64" s="53">
        <v>23</v>
      </c>
    </row>
    <row r="65" spans="1:5" x14ac:dyDescent="0.2">
      <c r="A65" s="42" t="s">
        <v>63</v>
      </c>
      <c r="B65" s="53">
        <v>4</v>
      </c>
      <c r="C65" s="53">
        <v>5</v>
      </c>
      <c r="D65" s="53">
        <v>101</v>
      </c>
      <c r="E65" s="53">
        <v>106</v>
      </c>
    </row>
    <row r="66" spans="1:5" x14ac:dyDescent="0.2">
      <c r="A66" s="42" t="s">
        <v>64</v>
      </c>
      <c r="B66" s="53">
        <v>2</v>
      </c>
      <c r="C66" s="53">
        <v>1</v>
      </c>
      <c r="D66" s="53">
        <v>28</v>
      </c>
      <c r="E66" s="53">
        <v>20</v>
      </c>
    </row>
    <row r="67" spans="1:5" x14ac:dyDescent="0.2">
      <c r="A67" s="42" t="s">
        <v>65</v>
      </c>
      <c r="B67" s="53">
        <v>13</v>
      </c>
      <c r="C67" s="53">
        <v>18</v>
      </c>
      <c r="D67" s="53">
        <v>159</v>
      </c>
      <c r="E67" s="53">
        <v>153</v>
      </c>
    </row>
    <row r="68" spans="1:5" x14ac:dyDescent="0.2">
      <c r="A68" s="42" t="s">
        <v>66</v>
      </c>
      <c r="B68" s="53">
        <v>0</v>
      </c>
      <c r="C68" s="53">
        <v>4</v>
      </c>
      <c r="D68" s="53">
        <v>20</v>
      </c>
      <c r="E68" s="53">
        <v>28</v>
      </c>
    </row>
    <row r="69" spans="1:5" x14ac:dyDescent="0.2">
      <c r="A69" s="42" t="s">
        <v>67</v>
      </c>
      <c r="B69" s="53">
        <v>27</v>
      </c>
      <c r="C69" s="53">
        <v>32</v>
      </c>
      <c r="D69" s="53">
        <v>417</v>
      </c>
      <c r="E69" s="53">
        <v>472</v>
      </c>
    </row>
    <row r="70" spans="1:5" x14ac:dyDescent="0.2">
      <c r="A70" s="39" t="s">
        <v>68</v>
      </c>
      <c r="B70" s="43">
        <f>SUM(B3:B69)</f>
        <v>686</v>
      </c>
      <c r="C70" s="43">
        <f>SUM(C3:C69)</f>
        <v>484</v>
      </c>
      <c r="D70" s="43">
        <f t="shared" ref="D70:E70" si="0">SUM(D3:D69)</f>
        <v>10376</v>
      </c>
      <c r="E70" s="43">
        <f t="shared" si="0"/>
        <v>8723</v>
      </c>
    </row>
    <row r="71" spans="1:5" x14ac:dyDescent="0.2">
      <c r="D71" s="89"/>
      <c r="E71" s="89"/>
    </row>
    <row r="72" spans="1:5" x14ac:dyDescent="0.2">
      <c r="B72" s="29"/>
      <c r="C72" s="29"/>
      <c r="D72" s="29"/>
      <c r="E72" s="29"/>
    </row>
    <row r="73" spans="1:5" x14ac:dyDescent="0.2">
      <c r="D73" s="89"/>
      <c r="E73" s="89"/>
    </row>
    <row r="74" spans="1:5" x14ac:dyDescent="0.2">
      <c r="D74" s="89"/>
      <c r="E74" s="89"/>
    </row>
    <row r="75" spans="1:5" x14ac:dyDescent="0.2">
      <c r="B75" s="29"/>
      <c r="D75" s="89"/>
      <c r="E75" s="89"/>
    </row>
    <row r="76" spans="1:5" x14ac:dyDescent="0.2">
      <c r="B76" s="29"/>
      <c r="D76" s="89"/>
      <c r="E76" s="89"/>
    </row>
    <row r="77" spans="1:5" x14ac:dyDescent="0.2">
      <c r="B77" s="29"/>
      <c r="D77" s="89"/>
      <c r="E77" s="89"/>
    </row>
    <row r="78" spans="1:5" x14ac:dyDescent="0.2">
      <c r="B78" s="29"/>
      <c r="D78" s="89"/>
      <c r="E78" s="89"/>
    </row>
    <row r="79" spans="1:5" x14ac:dyDescent="0.2">
      <c r="D79" s="89"/>
      <c r="E79" s="89"/>
    </row>
    <row r="80" spans="1:5" x14ac:dyDescent="0.2">
      <c r="D80" s="89"/>
      <c r="E80" s="89"/>
    </row>
    <row r="81" spans="4:5" x14ac:dyDescent="0.2">
      <c r="D81" s="89"/>
      <c r="E81" s="89"/>
    </row>
    <row r="82" spans="4:5" x14ac:dyDescent="0.2">
      <c r="D82" s="89"/>
      <c r="E82" s="89"/>
    </row>
    <row r="83" spans="4:5" x14ac:dyDescent="0.2">
      <c r="D83" s="89"/>
      <c r="E83" s="89"/>
    </row>
    <row r="84" spans="4:5" x14ac:dyDescent="0.2">
      <c r="D84" s="89"/>
      <c r="E84" s="89"/>
    </row>
    <row r="85" spans="4:5" x14ac:dyDescent="0.2">
      <c r="D85" s="89"/>
      <c r="E85" s="89"/>
    </row>
    <row r="86" spans="4:5" x14ac:dyDescent="0.2">
      <c r="D86" s="89"/>
      <c r="E86" s="89"/>
    </row>
    <row r="87" spans="4:5" x14ac:dyDescent="0.2">
      <c r="D87" s="89"/>
      <c r="E87" s="89"/>
    </row>
    <row r="88" spans="4:5" x14ac:dyDescent="0.2">
      <c r="D88" s="89"/>
      <c r="E88" s="89"/>
    </row>
    <row r="89" spans="4:5" x14ac:dyDescent="0.2">
      <c r="D89" s="89"/>
      <c r="E89" s="89"/>
    </row>
    <row r="90" spans="4:5" x14ac:dyDescent="0.2">
      <c r="D90" s="89"/>
      <c r="E90" s="89"/>
    </row>
    <row r="91" spans="4:5" x14ac:dyDescent="0.2">
      <c r="D91" s="89"/>
      <c r="E91" s="89"/>
    </row>
    <row r="92" spans="4:5" x14ac:dyDescent="0.2">
      <c r="D92" s="89"/>
      <c r="E92" s="89"/>
    </row>
    <row r="93" spans="4:5" x14ac:dyDescent="0.2">
      <c r="D93" s="89"/>
      <c r="E93" s="89"/>
    </row>
    <row r="94" spans="4:5" x14ac:dyDescent="0.2">
      <c r="D94" s="89"/>
      <c r="E94" s="89"/>
    </row>
    <row r="95" spans="4:5" x14ac:dyDescent="0.2">
      <c r="D95" s="89"/>
      <c r="E95" s="89"/>
    </row>
    <row r="96" spans="4:5" x14ac:dyDescent="0.2">
      <c r="D96" s="89"/>
      <c r="E96" s="89"/>
    </row>
    <row r="97" spans="4:5" x14ac:dyDescent="0.2">
      <c r="D97" s="89"/>
      <c r="E97" s="89"/>
    </row>
    <row r="98" spans="4:5" x14ac:dyDescent="0.2">
      <c r="D98" s="89"/>
      <c r="E98" s="89"/>
    </row>
    <row r="99" spans="4:5" x14ac:dyDescent="0.2">
      <c r="D99" s="89"/>
      <c r="E99" s="89"/>
    </row>
    <row r="100" spans="4:5" x14ac:dyDescent="0.2">
      <c r="D100" s="89"/>
      <c r="E100" s="89"/>
    </row>
    <row r="101" spans="4:5" x14ac:dyDescent="0.2">
      <c r="D101" s="89"/>
      <c r="E101" s="89"/>
    </row>
    <row r="102" spans="4:5" x14ac:dyDescent="0.2">
      <c r="D102" s="89"/>
      <c r="E102" s="89"/>
    </row>
    <row r="103" spans="4:5" x14ac:dyDescent="0.2">
      <c r="D103" s="89"/>
      <c r="E103" s="89"/>
    </row>
    <row r="104" spans="4:5" x14ac:dyDescent="0.2">
      <c r="D104" s="89"/>
      <c r="E104" s="89"/>
    </row>
    <row r="105" spans="4:5" x14ac:dyDescent="0.2">
      <c r="D105" s="89"/>
      <c r="E105" s="89"/>
    </row>
    <row r="106" spans="4:5" x14ac:dyDescent="0.2">
      <c r="D106" s="89"/>
      <c r="E106" s="89"/>
    </row>
    <row r="107" spans="4:5" x14ac:dyDescent="0.2">
      <c r="D107" s="89"/>
      <c r="E107" s="89"/>
    </row>
    <row r="108" spans="4:5" x14ac:dyDescent="0.2">
      <c r="D108" s="89"/>
      <c r="E108" s="89"/>
    </row>
    <row r="109" spans="4:5" x14ac:dyDescent="0.2">
      <c r="D109" s="89"/>
      <c r="E109" s="89"/>
    </row>
    <row r="110" spans="4:5" x14ac:dyDescent="0.2">
      <c r="D110" s="89"/>
      <c r="E110" s="89"/>
    </row>
    <row r="111" spans="4:5" x14ac:dyDescent="0.2">
      <c r="D111" s="89"/>
      <c r="E111" s="89"/>
    </row>
    <row r="112" spans="4:5" x14ac:dyDescent="0.2">
      <c r="D112" s="89"/>
      <c r="E112" s="89"/>
    </row>
    <row r="113" spans="4:5" x14ac:dyDescent="0.2">
      <c r="D113" s="89"/>
      <c r="E113" s="89"/>
    </row>
    <row r="114" spans="4:5" x14ac:dyDescent="0.2">
      <c r="D114" s="89"/>
      <c r="E114" s="89"/>
    </row>
    <row r="115" spans="4:5" x14ac:dyDescent="0.2">
      <c r="D115" s="89"/>
      <c r="E115" s="89"/>
    </row>
    <row r="116" spans="4:5" x14ac:dyDescent="0.2">
      <c r="D116" s="89"/>
      <c r="E116" s="89"/>
    </row>
    <row r="117" spans="4:5" x14ac:dyDescent="0.2">
      <c r="D117" s="89"/>
      <c r="E117" s="89"/>
    </row>
    <row r="118" spans="4:5" x14ac:dyDescent="0.2">
      <c r="D118" s="89"/>
      <c r="E118" s="89"/>
    </row>
    <row r="119" spans="4:5" x14ac:dyDescent="0.2">
      <c r="D119" s="89"/>
      <c r="E119" s="89"/>
    </row>
    <row r="120" spans="4:5" x14ac:dyDescent="0.2">
      <c r="D120" s="89"/>
      <c r="E120" s="89"/>
    </row>
    <row r="121" spans="4:5" x14ac:dyDescent="0.2">
      <c r="D121" s="89"/>
      <c r="E121" s="89"/>
    </row>
    <row r="122" spans="4:5" x14ac:dyDescent="0.2">
      <c r="D122" s="89"/>
      <c r="E122" s="89"/>
    </row>
    <row r="123" spans="4:5" x14ac:dyDescent="0.2">
      <c r="D123" s="89"/>
      <c r="E123" s="89"/>
    </row>
    <row r="124" spans="4:5" x14ac:dyDescent="0.2">
      <c r="D124" s="89"/>
      <c r="E124" s="89"/>
    </row>
    <row r="125" spans="4:5" x14ac:dyDescent="0.2">
      <c r="D125" s="89"/>
      <c r="E125" s="89"/>
    </row>
    <row r="126" spans="4:5" x14ac:dyDescent="0.2">
      <c r="D126" s="89"/>
      <c r="E126" s="89"/>
    </row>
    <row r="127" spans="4:5" x14ac:dyDescent="0.2">
      <c r="D127" s="89"/>
      <c r="E127" s="89"/>
    </row>
    <row r="128" spans="4:5" x14ac:dyDescent="0.2">
      <c r="D128" s="89"/>
      <c r="E128" s="89"/>
    </row>
    <row r="129" spans="4:5" x14ac:dyDescent="0.2">
      <c r="D129" s="89"/>
      <c r="E129" s="89"/>
    </row>
    <row r="130" spans="4:5" x14ac:dyDescent="0.2">
      <c r="D130" s="89"/>
      <c r="E130" s="89"/>
    </row>
    <row r="131" spans="4:5" x14ac:dyDescent="0.2">
      <c r="D131" s="89"/>
      <c r="E131" s="89"/>
    </row>
    <row r="132" spans="4:5" x14ac:dyDescent="0.2">
      <c r="D132" s="89"/>
      <c r="E132" s="89"/>
    </row>
    <row r="133" spans="4:5" x14ac:dyDescent="0.2">
      <c r="D133" s="89"/>
      <c r="E133" s="89"/>
    </row>
    <row r="134" spans="4:5" x14ac:dyDescent="0.2">
      <c r="D134" s="89"/>
      <c r="E134" s="89"/>
    </row>
    <row r="135" spans="4:5" x14ac:dyDescent="0.2">
      <c r="D135" s="89"/>
      <c r="E135" s="89"/>
    </row>
    <row r="136" spans="4:5" x14ac:dyDescent="0.2">
      <c r="D136" s="89"/>
      <c r="E136" s="89"/>
    </row>
    <row r="137" spans="4:5" x14ac:dyDescent="0.2">
      <c r="D137" s="90"/>
      <c r="E137" s="90"/>
    </row>
    <row r="138" spans="4:5" ht="15" x14ac:dyDescent="0.2">
      <c r="D138" s="33"/>
      <c r="E138"/>
    </row>
  </sheetData>
  <mergeCells count="68">
    <mergeCell ref="D75:E75"/>
    <mergeCell ref="B1:C1"/>
    <mergeCell ref="D1:E1"/>
    <mergeCell ref="D71:E71"/>
    <mergeCell ref="D73:E73"/>
    <mergeCell ref="D74:E74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4:E124"/>
    <mergeCell ref="D125:E125"/>
    <mergeCell ref="D126:E126"/>
    <mergeCell ref="D127:E127"/>
    <mergeCell ref="D128:E128"/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H3" sqref="AH3"/>
    </sheetView>
  </sheetViews>
  <sheetFormatPr defaultColWidth="9.140625" defaultRowHeight="12.75" x14ac:dyDescent="0.2"/>
  <cols>
    <col min="1" max="1" width="19.140625" style="11" bestFit="1" customWidth="1"/>
    <col min="2" max="3" width="19.42578125" style="31" customWidth="1"/>
    <col min="4" max="5" width="19.140625" style="29" customWidth="1"/>
    <col min="6" max="6" width="18.140625" style="29" customWidth="1"/>
    <col min="7" max="7" width="17.710937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703125" style="30" customWidth="1"/>
    <col min="27" max="27" width="18" style="22" customWidth="1"/>
    <col min="28" max="28" width="21.28515625" style="29" customWidth="1"/>
    <col min="29" max="29" width="18" style="29" bestFit="1" customWidth="1"/>
    <col min="30" max="31" width="18.5703125" style="29" bestFit="1" customWidth="1"/>
    <col min="32" max="32" width="17.85546875" style="29" bestFit="1" customWidth="1"/>
    <col min="33" max="33" width="21" style="29" customWidth="1"/>
    <col min="34" max="34" width="27.28515625" style="29" customWidth="1"/>
    <col min="35" max="16384" width="9.140625" style="29"/>
  </cols>
  <sheetData>
    <row r="1" spans="1:34" x14ac:dyDescent="0.2">
      <c r="A1" s="47"/>
      <c r="B1" s="80" t="s">
        <v>97</v>
      </c>
      <c r="C1" s="80"/>
      <c r="D1" s="82" t="s">
        <v>98</v>
      </c>
      <c r="E1" s="82"/>
      <c r="F1" s="51" t="s">
        <v>96</v>
      </c>
      <c r="G1" s="80" t="s">
        <v>100</v>
      </c>
      <c r="H1" s="80"/>
      <c r="I1" s="80"/>
      <c r="J1" s="82" t="s">
        <v>101</v>
      </c>
      <c r="K1" s="82"/>
      <c r="L1" s="80" t="s">
        <v>105</v>
      </c>
      <c r="M1" s="80"/>
      <c r="N1" s="82" t="s">
        <v>106</v>
      </c>
      <c r="O1" s="82"/>
      <c r="P1" s="80" t="s">
        <v>107</v>
      </c>
      <c r="Q1" s="80"/>
      <c r="R1" s="80" t="s">
        <v>110</v>
      </c>
      <c r="S1" s="80"/>
      <c r="T1" s="80" t="s">
        <v>112</v>
      </c>
      <c r="U1" s="80"/>
      <c r="V1" s="80" t="s">
        <v>113</v>
      </c>
      <c r="W1" s="80"/>
      <c r="X1" s="86" t="s">
        <v>117</v>
      </c>
      <c r="Y1" s="86"/>
      <c r="Z1" s="93" t="s">
        <v>119</v>
      </c>
      <c r="AA1" s="94"/>
      <c r="AB1" s="93" t="s">
        <v>124</v>
      </c>
      <c r="AC1" s="94"/>
      <c r="AD1" s="93" t="s">
        <v>125</v>
      </c>
      <c r="AE1" s="94"/>
      <c r="AF1" s="82" t="s">
        <v>128</v>
      </c>
      <c r="AG1" s="82"/>
      <c r="AH1" s="82"/>
    </row>
    <row r="2" spans="1:34" x14ac:dyDescent="0.2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">
      <c r="Z71" s="89"/>
      <c r="AA71" s="89"/>
    </row>
    <row r="72" spans="1:34" x14ac:dyDescent="0.2">
      <c r="Z72" s="29"/>
      <c r="AA72" s="29"/>
    </row>
    <row r="73" spans="1:34" x14ac:dyDescent="0.2">
      <c r="Z73" s="89"/>
      <c r="AA73" s="89"/>
    </row>
    <row r="74" spans="1:34" x14ac:dyDescent="0.2">
      <c r="Z74" s="89"/>
      <c r="AA74" s="89"/>
    </row>
    <row r="75" spans="1:34" x14ac:dyDescent="0.2">
      <c r="Z75" s="89"/>
      <c r="AA75" s="89"/>
    </row>
    <row r="76" spans="1:34" x14ac:dyDescent="0.2">
      <c r="Z76" s="89"/>
      <c r="AA76" s="89"/>
    </row>
    <row r="77" spans="1:34" x14ac:dyDescent="0.2">
      <c r="Z77" s="89"/>
      <c r="AA77" s="89"/>
    </row>
    <row r="78" spans="1:34" x14ac:dyDescent="0.2">
      <c r="Z78" s="89"/>
      <c r="AA78" s="89"/>
    </row>
    <row r="79" spans="1:34" x14ac:dyDescent="0.2">
      <c r="Z79" s="89"/>
      <c r="AA79" s="89"/>
    </row>
    <row r="80" spans="1:34" x14ac:dyDescent="0.2">
      <c r="Z80" s="89"/>
      <c r="AA80" s="89"/>
    </row>
    <row r="81" spans="26:27" x14ac:dyDescent="0.2">
      <c r="Z81" s="89"/>
      <c r="AA81" s="89"/>
    </row>
    <row r="82" spans="26:27" x14ac:dyDescent="0.2">
      <c r="Z82" s="89"/>
      <c r="AA82" s="89"/>
    </row>
    <row r="83" spans="26:27" x14ac:dyDescent="0.2">
      <c r="Z83" s="89"/>
      <c r="AA83" s="89"/>
    </row>
    <row r="84" spans="26:27" x14ac:dyDescent="0.2">
      <c r="Z84" s="89"/>
      <c r="AA84" s="89"/>
    </row>
    <row r="85" spans="26:27" x14ac:dyDescent="0.2">
      <c r="Z85" s="89"/>
      <c r="AA85" s="89"/>
    </row>
    <row r="86" spans="26:27" x14ac:dyDescent="0.2">
      <c r="Z86" s="89"/>
      <c r="AA86" s="89"/>
    </row>
    <row r="87" spans="26:27" x14ac:dyDescent="0.2">
      <c r="Z87" s="89"/>
      <c r="AA87" s="89"/>
    </row>
    <row r="88" spans="26:27" x14ac:dyDescent="0.2">
      <c r="Z88" s="89"/>
      <c r="AA88" s="89"/>
    </row>
    <row r="89" spans="26:27" x14ac:dyDescent="0.2">
      <c r="Z89" s="89"/>
      <c r="AA89" s="89"/>
    </row>
    <row r="90" spans="26:27" x14ac:dyDescent="0.2">
      <c r="Z90" s="89"/>
      <c r="AA90" s="89"/>
    </row>
    <row r="91" spans="26:27" x14ac:dyDescent="0.2">
      <c r="Z91" s="89"/>
      <c r="AA91" s="89"/>
    </row>
    <row r="92" spans="26:27" x14ac:dyDescent="0.2">
      <c r="Z92" s="89"/>
      <c r="AA92" s="89"/>
    </row>
    <row r="93" spans="26:27" x14ac:dyDescent="0.2">
      <c r="Z93" s="89"/>
      <c r="AA93" s="89"/>
    </row>
    <row r="94" spans="26:27" x14ac:dyDescent="0.2">
      <c r="Z94" s="89"/>
      <c r="AA94" s="89"/>
    </row>
    <row r="95" spans="26:27" x14ac:dyDescent="0.2">
      <c r="Z95" s="89"/>
      <c r="AA95" s="89"/>
    </row>
    <row r="96" spans="26:27" x14ac:dyDescent="0.2">
      <c r="Z96" s="89"/>
      <c r="AA96" s="89"/>
    </row>
    <row r="97" spans="26:27" x14ac:dyDescent="0.2">
      <c r="Z97" s="89"/>
      <c r="AA97" s="89"/>
    </row>
    <row r="98" spans="26:27" x14ac:dyDescent="0.2">
      <c r="Z98" s="89"/>
      <c r="AA98" s="89"/>
    </row>
    <row r="99" spans="26:27" x14ac:dyDescent="0.2">
      <c r="Z99" s="89"/>
      <c r="AA99" s="89"/>
    </row>
    <row r="100" spans="26:27" x14ac:dyDescent="0.2">
      <c r="Z100" s="89"/>
      <c r="AA100" s="89"/>
    </row>
    <row r="101" spans="26:27" x14ac:dyDescent="0.2">
      <c r="Z101" s="89"/>
      <c r="AA101" s="89"/>
    </row>
    <row r="102" spans="26:27" x14ac:dyDescent="0.2">
      <c r="Z102" s="89"/>
      <c r="AA102" s="89"/>
    </row>
    <row r="103" spans="26:27" x14ac:dyDescent="0.2">
      <c r="Z103" s="89"/>
      <c r="AA103" s="89"/>
    </row>
    <row r="104" spans="26:27" x14ac:dyDescent="0.2">
      <c r="Z104" s="89"/>
      <c r="AA104" s="89"/>
    </row>
    <row r="105" spans="26:27" x14ac:dyDescent="0.2">
      <c r="Z105" s="89"/>
      <c r="AA105" s="89"/>
    </row>
    <row r="106" spans="26:27" x14ac:dyDescent="0.2">
      <c r="Z106" s="89"/>
      <c r="AA106" s="89"/>
    </row>
    <row r="107" spans="26:27" x14ac:dyDescent="0.2">
      <c r="Z107" s="89"/>
      <c r="AA107" s="89"/>
    </row>
    <row r="108" spans="26:27" x14ac:dyDescent="0.2">
      <c r="Z108" s="89"/>
      <c r="AA108" s="89"/>
    </row>
    <row r="109" spans="26:27" x14ac:dyDescent="0.2">
      <c r="Z109" s="89"/>
      <c r="AA109" s="89"/>
    </row>
    <row r="110" spans="26:27" x14ac:dyDescent="0.2">
      <c r="Z110" s="89"/>
      <c r="AA110" s="89"/>
    </row>
    <row r="111" spans="26:27" x14ac:dyDescent="0.2">
      <c r="Z111" s="89"/>
      <c r="AA111" s="89"/>
    </row>
    <row r="112" spans="26:27" x14ac:dyDescent="0.2">
      <c r="Z112" s="89"/>
      <c r="AA112" s="89"/>
    </row>
    <row r="113" spans="26:27" x14ac:dyDescent="0.2">
      <c r="Z113" s="89"/>
      <c r="AA113" s="89"/>
    </row>
    <row r="114" spans="26:27" x14ac:dyDescent="0.2">
      <c r="Z114" s="89"/>
      <c r="AA114" s="89"/>
    </row>
    <row r="115" spans="26:27" x14ac:dyDescent="0.2">
      <c r="Z115" s="89"/>
      <c r="AA115" s="89"/>
    </row>
    <row r="116" spans="26:27" x14ac:dyDescent="0.2">
      <c r="Z116" s="89"/>
      <c r="AA116" s="89"/>
    </row>
    <row r="117" spans="26:27" x14ac:dyDescent="0.2">
      <c r="Z117" s="89"/>
      <c r="AA117" s="89"/>
    </row>
    <row r="118" spans="26:27" x14ac:dyDescent="0.2">
      <c r="Z118" s="89"/>
      <c r="AA118" s="89"/>
    </row>
    <row r="119" spans="26:27" x14ac:dyDescent="0.2">
      <c r="Z119" s="89"/>
      <c r="AA119" s="89"/>
    </row>
    <row r="120" spans="26:27" x14ac:dyDescent="0.2">
      <c r="Z120" s="89"/>
      <c r="AA120" s="89"/>
    </row>
    <row r="121" spans="26:27" x14ac:dyDescent="0.2">
      <c r="Z121" s="89"/>
      <c r="AA121" s="89"/>
    </row>
    <row r="122" spans="26:27" x14ac:dyDescent="0.2">
      <c r="Z122" s="89"/>
      <c r="AA122" s="89"/>
    </row>
    <row r="123" spans="26:27" x14ac:dyDescent="0.2">
      <c r="Z123" s="89"/>
      <c r="AA123" s="89"/>
    </row>
    <row r="124" spans="26:27" x14ac:dyDescent="0.2">
      <c r="Z124" s="89"/>
      <c r="AA124" s="89"/>
    </row>
    <row r="125" spans="26:27" x14ac:dyDescent="0.2">
      <c r="Z125" s="89"/>
      <c r="AA125" s="89"/>
    </row>
    <row r="126" spans="26:27" x14ac:dyDescent="0.2">
      <c r="Z126" s="89"/>
      <c r="AA126" s="89"/>
    </row>
    <row r="127" spans="26:27" x14ac:dyDescent="0.2">
      <c r="Z127" s="89"/>
      <c r="AA127" s="89"/>
    </row>
    <row r="128" spans="26:27" x14ac:dyDescent="0.2">
      <c r="Z128" s="89"/>
      <c r="AA128" s="89"/>
    </row>
    <row r="129" spans="26:27" x14ac:dyDescent="0.2">
      <c r="Z129" s="89"/>
      <c r="AA129" s="89"/>
    </row>
    <row r="130" spans="26:27" x14ac:dyDescent="0.2">
      <c r="Z130" s="89"/>
      <c r="AA130" s="89"/>
    </row>
    <row r="131" spans="26:27" x14ac:dyDescent="0.2">
      <c r="Z131" s="89"/>
      <c r="AA131" s="89"/>
    </row>
    <row r="132" spans="26:27" x14ac:dyDescent="0.2">
      <c r="Z132" s="89"/>
      <c r="AA132" s="89"/>
    </row>
    <row r="133" spans="26:27" x14ac:dyDescent="0.2">
      <c r="Z133" s="89"/>
      <c r="AA133" s="89"/>
    </row>
    <row r="134" spans="26:27" x14ac:dyDescent="0.2">
      <c r="Z134" s="89"/>
      <c r="AA134" s="89"/>
    </row>
    <row r="135" spans="26:27" x14ac:dyDescent="0.2">
      <c r="Z135" s="89"/>
      <c r="AA135" s="89"/>
    </row>
    <row r="136" spans="26:27" x14ac:dyDescent="0.2">
      <c r="Z136" s="89"/>
      <c r="AA136" s="89"/>
    </row>
    <row r="137" spans="26:27" x14ac:dyDescent="0.2">
      <c r="Z137" s="90"/>
      <c r="AA137" s="90"/>
    </row>
    <row r="138" spans="26:27" ht="15" x14ac:dyDescent="0.2">
      <c r="Z138" s="33"/>
      <c r="AA138"/>
    </row>
  </sheetData>
  <mergeCells count="81"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Z71:AA71"/>
    <mergeCell ref="Z73:AA73"/>
    <mergeCell ref="Z74:AA74"/>
    <mergeCell ref="Z75:AA75"/>
    <mergeCell ref="Z76:AA76"/>
    <mergeCell ref="Z77:AA77"/>
    <mergeCell ref="Z78:AA78"/>
    <mergeCell ref="Z79:AA79"/>
    <mergeCell ref="Z80:AA80"/>
    <mergeCell ref="Z81:AA81"/>
    <mergeCell ref="Z82:AA82"/>
    <mergeCell ref="Z83:AA83"/>
    <mergeCell ref="Z84:AA84"/>
    <mergeCell ref="Z85:AA85"/>
    <mergeCell ref="Z86:AA86"/>
    <mergeCell ref="Z87:AA87"/>
    <mergeCell ref="Z88:AA88"/>
    <mergeCell ref="Z89:AA89"/>
    <mergeCell ref="Z90:AA90"/>
    <mergeCell ref="Z91:AA91"/>
    <mergeCell ref="Z92:AA92"/>
    <mergeCell ref="Z93:AA93"/>
    <mergeCell ref="Z94:AA94"/>
    <mergeCell ref="Z95:AA95"/>
    <mergeCell ref="Z96:AA96"/>
    <mergeCell ref="Z97:AA97"/>
    <mergeCell ref="Z98:AA98"/>
    <mergeCell ref="Z99:AA99"/>
    <mergeCell ref="Z100:AA100"/>
    <mergeCell ref="Z101:AA101"/>
    <mergeCell ref="Z102:AA102"/>
    <mergeCell ref="Z103:AA103"/>
    <mergeCell ref="Z104:AA104"/>
    <mergeCell ref="Z105:AA105"/>
    <mergeCell ref="Z106:AA106"/>
    <mergeCell ref="Z107:AA107"/>
    <mergeCell ref="Z108:AA108"/>
    <mergeCell ref="Z109:AA109"/>
    <mergeCell ref="Z110:AA110"/>
    <mergeCell ref="Z111:AA111"/>
    <mergeCell ref="Z112:AA112"/>
    <mergeCell ref="Z113:AA113"/>
    <mergeCell ref="Z114:AA114"/>
    <mergeCell ref="Z115:AA115"/>
    <mergeCell ref="Z116:AA116"/>
    <mergeCell ref="Z117:AA117"/>
    <mergeCell ref="Z118:AA118"/>
    <mergeCell ref="Z119:AA119"/>
    <mergeCell ref="Z120:AA120"/>
    <mergeCell ref="Z121:AA121"/>
    <mergeCell ref="Z122:AA122"/>
    <mergeCell ref="Z123:AA123"/>
    <mergeCell ref="Z124:AA124"/>
    <mergeCell ref="Z125:AA125"/>
    <mergeCell ref="Z126:AA126"/>
    <mergeCell ref="Z127:AA127"/>
    <mergeCell ref="Z128:AA128"/>
    <mergeCell ref="Z129:AA129"/>
    <mergeCell ref="Z130:AA130"/>
    <mergeCell ref="Z131:AA131"/>
    <mergeCell ref="Z137:AA137"/>
    <mergeCell ref="Z132:AA132"/>
    <mergeCell ref="Z133:AA133"/>
    <mergeCell ref="Z134:AA134"/>
    <mergeCell ref="Z135:AA135"/>
    <mergeCell ref="Z136:AA136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8" sqref="L18"/>
    </sheetView>
  </sheetViews>
  <sheetFormatPr defaultColWidth="9.140625" defaultRowHeight="12.75" x14ac:dyDescent="0.2"/>
  <cols>
    <col min="1" max="1" width="19.140625" style="11" bestFit="1" customWidth="1"/>
    <col min="2" max="7" width="12.7109375" style="10" customWidth="1"/>
    <col min="8" max="8" width="9.85546875" style="11" bestFit="1" customWidth="1"/>
    <col min="9" max="9" width="16.7109375" style="11" customWidth="1"/>
    <col min="10" max="11" width="9.140625" style="11"/>
    <col min="12" max="17" width="9.5703125" style="11" bestFit="1" customWidth="1"/>
    <col min="18" max="16384" width="9.140625" style="11"/>
  </cols>
  <sheetData>
    <row r="1" spans="1:8" x14ac:dyDescent="0.2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">
      <c r="A2" s="11" t="s">
        <v>1</v>
      </c>
      <c r="B2" s="11">
        <v>6430</v>
      </c>
      <c r="C2" s="11">
        <v>10571</v>
      </c>
      <c r="D2" s="11">
        <v>10828</v>
      </c>
      <c r="E2" s="11">
        <v>10015</v>
      </c>
      <c r="F2" s="11">
        <v>13701</v>
      </c>
      <c r="G2" s="11">
        <v>13927</v>
      </c>
      <c r="H2" s="11">
        <v>10788</v>
      </c>
    </row>
    <row r="3" spans="1:8" x14ac:dyDescent="0.2">
      <c r="A3" s="11" t="s">
        <v>2</v>
      </c>
      <c r="B3" s="11">
        <v>81056</v>
      </c>
      <c r="C3" s="11">
        <v>171329</v>
      </c>
      <c r="D3" s="11">
        <v>160948</v>
      </c>
      <c r="E3" s="11">
        <v>122432</v>
      </c>
      <c r="F3" s="11">
        <v>132665</v>
      </c>
      <c r="G3" s="11">
        <v>139464</v>
      </c>
      <c r="H3" s="11">
        <v>107391</v>
      </c>
    </row>
    <row r="4" spans="1:8" x14ac:dyDescent="0.2">
      <c r="A4" s="11" t="s">
        <v>3</v>
      </c>
      <c r="B4" s="11">
        <v>3155</v>
      </c>
      <c r="C4" s="11">
        <v>5652</v>
      </c>
      <c r="D4" s="11">
        <v>6158</v>
      </c>
      <c r="E4" s="11">
        <v>6395</v>
      </c>
      <c r="F4" s="11">
        <v>7760</v>
      </c>
      <c r="G4" s="11">
        <v>8192</v>
      </c>
      <c r="H4" s="11">
        <v>6267</v>
      </c>
    </row>
    <row r="5" spans="1:8" x14ac:dyDescent="0.2">
      <c r="A5" s="11" t="s">
        <v>4</v>
      </c>
      <c r="B5" s="11">
        <v>7780</v>
      </c>
      <c r="C5" s="11">
        <v>16112</v>
      </c>
      <c r="D5" s="11">
        <v>17861</v>
      </c>
      <c r="E5" s="11">
        <v>16253</v>
      </c>
      <c r="F5" s="11">
        <v>19728</v>
      </c>
      <c r="G5" s="11">
        <v>20920</v>
      </c>
      <c r="H5" s="11">
        <v>15552</v>
      </c>
    </row>
    <row r="6" spans="1:8" x14ac:dyDescent="0.2">
      <c r="A6" s="11" t="s">
        <v>5</v>
      </c>
      <c r="B6" s="11">
        <v>2289</v>
      </c>
      <c r="C6" s="11">
        <v>4294</v>
      </c>
      <c r="D6" s="11">
        <v>4409</v>
      </c>
      <c r="E6" s="11">
        <v>4824</v>
      </c>
      <c r="F6" s="11">
        <v>6042</v>
      </c>
      <c r="G6" s="11">
        <v>6343</v>
      </c>
      <c r="H6" s="11">
        <v>4835</v>
      </c>
    </row>
    <row r="7" spans="1:8" x14ac:dyDescent="0.2">
      <c r="A7" s="11" t="s">
        <v>6</v>
      </c>
      <c r="B7" s="11">
        <v>23558</v>
      </c>
      <c r="C7" s="11">
        <v>41733</v>
      </c>
      <c r="D7" s="11">
        <v>43803</v>
      </c>
      <c r="E7" s="11">
        <v>40552</v>
      </c>
      <c r="F7" s="11">
        <v>47808</v>
      </c>
      <c r="G7" s="11">
        <v>42633</v>
      </c>
      <c r="H7" s="11">
        <v>33272</v>
      </c>
    </row>
    <row r="8" spans="1:8" x14ac:dyDescent="0.2">
      <c r="A8" s="11" t="s">
        <v>7</v>
      </c>
      <c r="B8" s="11">
        <v>6388</v>
      </c>
      <c r="C8" s="11">
        <v>11238</v>
      </c>
      <c r="D8" s="11">
        <v>12276</v>
      </c>
      <c r="E8" s="11">
        <v>12235</v>
      </c>
      <c r="F8" s="11">
        <v>13671</v>
      </c>
      <c r="G8" s="11">
        <v>13926</v>
      </c>
      <c r="H8" s="11">
        <v>11789</v>
      </c>
    </row>
    <row r="9" spans="1:8" x14ac:dyDescent="0.2">
      <c r="A9" s="11" t="s">
        <v>8</v>
      </c>
      <c r="B9" s="11">
        <v>2907</v>
      </c>
      <c r="C9" s="11">
        <v>5259</v>
      </c>
      <c r="D9" s="11">
        <v>5718</v>
      </c>
      <c r="E9" s="11">
        <v>5426</v>
      </c>
      <c r="F9" s="11">
        <v>6994</v>
      </c>
      <c r="G9" s="11">
        <v>6862</v>
      </c>
      <c r="H9" s="11">
        <v>5583</v>
      </c>
    </row>
    <row r="10" spans="1:8" x14ac:dyDescent="0.2">
      <c r="A10" s="11" t="s">
        <v>9</v>
      </c>
      <c r="B10" s="11">
        <v>40150</v>
      </c>
      <c r="C10" s="11">
        <v>68023</v>
      </c>
      <c r="D10" s="11">
        <v>73696</v>
      </c>
      <c r="E10" s="11">
        <v>71072</v>
      </c>
      <c r="F10" s="11">
        <v>87292</v>
      </c>
      <c r="G10" s="11">
        <v>81799</v>
      </c>
      <c r="H10" s="11">
        <v>61646</v>
      </c>
    </row>
    <row r="11" spans="1:8" x14ac:dyDescent="0.2">
      <c r="A11" s="11" t="s">
        <v>10</v>
      </c>
      <c r="B11" s="11">
        <v>11361</v>
      </c>
      <c r="C11" s="11">
        <v>20323</v>
      </c>
      <c r="D11" s="11">
        <v>22551</v>
      </c>
      <c r="E11" s="11">
        <v>20758</v>
      </c>
      <c r="F11" s="11">
        <v>25192</v>
      </c>
      <c r="G11" s="11">
        <v>24448</v>
      </c>
      <c r="H11" s="11">
        <v>18534</v>
      </c>
    </row>
    <row r="12" spans="1:8" x14ac:dyDescent="0.2">
      <c r="A12" s="11" t="s">
        <v>11</v>
      </c>
      <c r="B12" s="11">
        <v>6503</v>
      </c>
      <c r="C12" s="11">
        <v>11152</v>
      </c>
      <c r="D12" s="11">
        <v>12010</v>
      </c>
      <c r="E12" s="11">
        <v>12690</v>
      </c>
      <c r="F12" s="11">
        <v>14564</v>
      </c>
      <c r="G12" s="11">
        <v>16440</v>
      </c>
      <c r="H12" s="11">
        <v>12620</v>
      </c>
    </row>
    <row r="13" spans="1:8" x14ac:dyDescent="0.2">
      <c r="A13" s="11" t="s">
        <v>12</v>
      </c>
      <c r="B13" s="11">
        <v>151</v>
      </c>
      <c r="C13" s="11">
        <v>285</v>
      </c>
      <c r="D13" s="11">
        <v>362</v>
      </c>
      <c r="E13" s="11">
        <v>359</v>
      </c>
      <c r="F13" s="11">
        <v>547</v>
      </c>
      <c r="G13" s="11">
        <v>648</v>
      </c>
      <c r="H13" s="11">
        <v>528</v>
      </c>
    </row>
    <row r="14" spans="1:8" x14ac:dyDescent="0.2">
      <c r="A14" s="11" t="s">
        <v>13</v>
      </c>
      <c r="B14" s="11">
        <v>3190</v>
      </c>
      <c r="C14" s="11">
        <v>6155</v>
      </c>
      <c r="D14" s="11">
        <v>6763</v>
      </c>
      <c r="E14" s="11">
        <v>6824</v>
      </c>
      <c r="F14" s="11">
        <v>8665</v>
      </c>
      <c r="G14" s="11">
        <v>8248</v>
      </c>
      <c r="H14" s="11">
        <v>5738</v>
      </c>
    </row>
    <row r="15" spans="1:8" x14ac:dyDescent="0.2">
      <c r="A15" s="11" t="s">
        <v>14</v>
      </c>
      <c r="B15" s="11">
        <v>18251</v>
      </c>
      <c r="C15" s="11">
        <v>19046</v>
      </c>
      <c r="D15" s="11">
        <v>13726</v>
      </c>
      <c r="E15" s="11">
        <v>12267</v>
      </c>
      <c r="F15" s="11">
        <v>13974</v>
      </c>
      <c r="G15" s="11">
        <v>13473</v>
      </c>
      <c r="H15" s="11">
        <v>11322</v>
      </c>
    </row>
    <row r="16" spans="1:8" x14ac:dyDescent="0.2">
      <c r="A16" s="11" t="s">
        <v>15</v>
      </c>
      <c r="B16" s="11">
        <v>37682</v>
      </c>
      <c r="C16" s="11">
        <v>60190</v>
      </c>
      <c r="D16" s="11">
        <v>60073</v>
      </c>
      <c r="E16" s="11">
        <v>58840</v>
      </c>
      <c r="F16" s="11">
        <v>66877</v>
      </c>
      <c r="G16" s="11">
        <v>59441</v>
      </c>
      <c r="H16" s="11">
        <v>45551</v>
      </c>
    </row>
    <row r="17" spans="1:8" x14ac:dyDescent="0.2">
      <c r="A17" s="11" t="s">
        <v>16</v>
      </c>
      <c r="B17" s="11">
        <v>1760</v>
      </c>
      <c r="C17" s="11">
        <v>3076</v>
      </c>
      <c r="D17" s="11">
        <v>3273</v>
      </c>
      <c r="E17" s="11">
        <v>3410</v>
      </c>
      <c r="F17" s="11">
        <v>4204</v>
      </c>
      <c r="G17" s="11">
        <v>4312</v>
      </c>
      <c r="H17" s="11">
        <v>3342</v>
      </c>
    </row>
    <row r="18" spans="1:8" x14ac:dyDescent="0.2">
      <c r="A18" s="11" t="s">
        <v>17</v>
      </c>
      <c r="B18" s="11">
        <v>3418</v>
      </c>
      <c r="C18" s="11">
        <v>6456</v>
      </c>
      <c r="D18" s="11">
        <v>7061</v>
      </c>
      <c r="E18" s="11">
        <v>7516</v>
      </c>
      <c r="F18" s="11">
        <v>9186</v>
      </c>
      <c r="G18" s="11">
        <v>8974</v>
      </c>
      <c r="H18" s="11">
        <v>6963</v>
      </c>
    </row>
    <row r="19" spans="1:8" x14ac:dyDescent="0.2">
      <c r="A19" s="11" t="s">
        <v>18</v>
      </c>
      <c r="B19" s="11">
        <v>1755</v>
      </c>
      <c r="C19" s="11">
        <v>3277</v>
      </c>
      <c r="D19" s="11">
        <v>3292</v>
      </c>
      <c r="E19" s="11">
        <v>3354</v>
      </c>
      <c r="F19" s="11">
        <v>3831</v>
      </c>
      <c r="G19" s="11">
        <v>3955</v>
      </c>
      <c r="H19" s="11">
        <v>3058</v>
      </c>
    </row>
    <row r="20" spans="1:8" x14ac:dyDescent="0.2">
      <c r="A20" s="11" t="s">
        <v>19</v>
      </c>
      <c r="B20" s="11">
        <v>3907</v>
      </c>
      <c r="C20" s="11">
        <v>5895</v>
      </c>
      <c r="D20" s="11">
        <v>5877</v>
      </c>
      <c r="E20" s="11">
        <v>5780</v>
      </c>
      <c r="F20" s="11">
        <v>6792</v>
      </c>
      <c r="G20" s="11">
        <v>6912</v>
      </c>
      <c r="H20" s="11">
        <v>5429</v>
      </c>
    </row>
    <row r="21" spans="1:8" x14ac:dyDescent="0.2">
      <c r="A21" s="11" t="s">
        <v>20</v>
      </c>
      <c r="B21" s="11">
        <v>4075</v>
      </c>
      <c r="C21" s="11">
        <v>6997</v>
      </c>
      <c r="D21" s="11">
        <v>7483</v>
      </c>
      <c r="E21" s="11">
        <v>7384</v>
      </c>
      <c r="F21" s="11">
        <v>9377</v>
      </c>
      <c r="G21" s="11">
        <v>9776</v>
      </c>
      <c r="H21" s="11">
        <v>8045</v>
      </c>
    </row>
    <row r="22" spans="1:8" x14ac:dyDescent="0.2">
      <c r="A22" s="11" t="s">
        <v>21</v>
      </c>
      <c r="B22" s="11">
        <v>16126</v>
      </c>
      <c r="C22" s="11">
        <v>27807</v>
      </c>
      <c r="D22" s="11">
        <v>30120</v>
      </c>
      <c r="E22" s="11">
        <v>27148</v>
      </c>
      <c r="F22" s="11">
        <v>29294</v>
      </c>
      <c r="G22" s="11">
        <v>28146</v>
      </c>
      <c r="H22" s="11">
        <v>24055</v>
      </c>
    </row>
    <row r="23" spans="1:8" x14ac:dyDescent="0.2">
      <c r="A23" s="11" t="s">
        <v>22</v>
      </c>
      <c r="B23" s="11">
        <v>16837</v>
      </c>
      <c r="C23" s="11">
        <v>34375</v>
      </c>
      <c r="D23" s="11">
        <v>34266</v>
      </c>
      <c r="E23" s="11">
        <v>29883</v>
      </c>
      <c r="F23" s="11">
        <v>32519</v>
      </c>
      <c r="G23" s="11">
        <v>30180</v>
      </c>
      <c r="H23" s="11">
        <v>21420</v>
      </c>
    </row>
    <row r="24" spans="1:8" x14ac:dyDescent="0.2">
      <c r="A24" s="11" t="s">
        <v>23</v>
      </c>
      <c r="B24" s="11">
        <v>38327</v>
      </c>
      <c r="C24" s="11">
        <v>66422</v>
      </c>
      <c r="D24" s="11">
        <v>72090</v>
      </c>
      <c r="E24" s="11">
        <v>60770</v>
      </c>
      <c r="F24" s="11">
        <v>65619</v>
      </c>
      <c r="G24" s="11">
        <v>61725</v>
      </c>
      <c r="H24" s="11">
        <v>45157</v>
      </c>
    </row>
    <row r="25" spans="1:8" x14ac:dyDescent="0.2">
      <c r="A25" s="11" t="s">
        <v>24</v>
      </c>
      <c r="B25" s="11">
        <v>1495</v>
      </c>
      <c r="C25" s="11">
        <v>2562</v>
      </c>
      <c r="D25" s="11">
        <v>2741</v>
      </c>
      <c r="E25" s="11">
        <v>2849</v>
      </c>
      <c r="F25" s="11">
        <v>3918</v>
      </c>
      <c r="G25" s="11">
        <v>3955</v>
      </c>
      <c r="H25" s="11">
        <v>2966</v>
      </c>
    </row>
    <row r="26" spans="1:8" x14ac:dyDescent="0.2">
      <c r="A26" s="11" t="s">
        <v>25</v>
      </c>
      <c r="B26" s="11">
        <v>14936</v>
      </c>
      <c r="C26" s="11">
        <v>27055</v>
      </c>
      <c r="D26" s="11">
        <v>27168</v>
      </c>
      <c r="E26" s="11">
        <v>25231</v>
      </c>
      <c r="F26" s="11">
        <v>28811</v>
      </c>
      <c r="G26" s="11">
        <v>29600</v>
      </c>
      <c r="H26" s="11">
        <v>22179</v>
      </c>
    </row>
    <row r="27" spans="1:8" x14ac:dyDescent="0.2">
      <c r="A27" s="11" t="s">
        <v>26</v>
      </c>
      <c r="B27" s="11">
        <v>5225</v>
      </c>
      <c r="C27" s="11">
        <v>10752</v>
      </c>
      <c r="D27" s="11">
        <v>11633</v>
      </c>
      <c r="E27" s="11">
        <v>12068</v>
      </c>
      <c r="F27" s="11">
        <v>14153</v>
      </c>
      <c r="G27" s="11">
        <v>14640</v>
      </c>
      <c r="H27" s="11">
        <v>11115</v>
      </c>
    </row>
    <row r="28" spans="1:8" x14ac:dyDescent="0.2">
      <c r="A28" s="11" t="s">
        <v>27</v>
      </c>
      <c r="B28" s="11">
        <v>150</v>
      </c>
      <c r="C28" s="11">
        <v>238</v>
      </c>
      <c r="D28" s="11">
        <v>286</v>
      </c>
      <c r="E28" s="11">
        <v>395</v>
      </c>
      <c r="F28" s="11">
        <v>660</v>
      </c>
      <c r="G28" s="11">
        <v>838</v>
      </c>
      <c r="H28" s="11">
        <v>628</v>
      </c>
    </row>
    <row r="29" spans="1:8" x14ac:dyDescent="0.2">
      <c r="A29" s="11" t="s">
        <v>28</v>
      </c>
      <c r="B29" s="11">
        <v>8355</v>
      </c>
      <c r="C29" s="11">
        <v>15316</v>
      </c>
      <c r="D29" s="11">
        <v>15971</v>
      </c>
      <c r="E29" s="11">
        <v>15754</v>
      </c>
      <c r="F29" s="11">
        <v>18045</v>
      </c>
      <c r="G29" s="11">
        <v>16896</v>
      </c>
      <c r="H29" s="11">
        <v>14592</v>
      </c>
    </row>
    <row r="30" spans="1:8" x14ac:dyDescent="0.2">
      <c r="A30" s="11" t="s">
        <v>29</v>
      </c>
      <c r="B30" s="11">
        <v>742</v>
      </c>
      <c r="C30" s="11">
        <v>1362</v>
      </c>
      <c r="D30" s="11">
        <v>1396</v>
      </c>
      <c r="E30" s="11">
        <v>1537</v>
      </c>
      <c r="F30" s="11">
        <v>1897</v>
      </c>
      <c r="G30" s="11">
        <v>1744</v>
      </c>
      <c r="H30" s="11">
        <v>1442</v>
      </c>
    </row>
    <row r="31" spans="1:8" x14ac:dyDescent="0.2">
      <c r="A31" s="11" t="s">
        <v>30</v>
      </c>
      <c r="B31" s="11">
        <v>1546</v>
      </c>
      <c r="C31" s="11">
        <v>2980</v>
      </c>
      <c r="D31" s="11">
        <v>3061</v>
      </c>
      <c r="E31" s="11">
        <v>3419</v>
      </c>
      <c r="F31" s="11">
        <v>3795</v>
      </c>
      <c r="G31" s="11">
        <v>4002</v>
      </c>
      <c r="H31" s="11">
        <v>2966</v>
      </c>
    </row>
    <row r="32" spans="1:8" x14ac:dyDescent="0.2">
      <c r="A32" s="11" t="s">
        <v>31</v>
      </c>
      <c r="B32" s="11">
        <v>2381</v>
      </c>
      <c r="C32" s="11">
        <v>3709</v>
      </c>
      <c r="D32" s="11">
        <v>3669</v>
      </c>
      <c r="E32" s="11">
        <v>3985</v>
      </c>
      <c r="F32" s="11">
        <v>4975</v>
      </c>
      <c r="G32" s="11">
        <v>5059</v>
      </c>
      <c r="H32" s="11">
        <v>4173</v>
      </c>
    </row>
    <row r="33" spans="1:8" x14ac:dyDescent="0.2">
      <c r="A33" s="11" t="s">
        <v>32</v>
      </c>
      <c r="B33" s="11">
        <v>4622</v>
      </c>
      <c r="C33" s="11">
        <v>6600</v>
      </c>
      <c r="D33" s="11">
        <v>6754</v>
      </c>
      <c r="E33" s="11">
        <v>6926</v>
      </c>
      <c r="F33" s="11">
        <v>8358</v>
      </c>
      <c r="G33" s="11">
        <v>9024</v>
      </c>
      <c r="H33" s="11">
        <v>6900</v>
      </c>
    </row>
    <row r="34" spans="1:8" x14ac:dyDescent="0.2">
      <c r="A34" s="11" t="s">
        <v>33</v>
      </c>
      <c r="B34" s="11">
        <v>2159</v>
      </c>
      <c r="C34" s="11">
        <v>3568</v>
      </c>
      <c r="D34" s="11">
        <v>4135</v>
      </c>
      <c r="E34" s="11">
        <v>4072</v>
      </c>
      <c r="F34" s="11">
        <v>4946</v>
      </c>
      <c r="G34" s="11">
        <v>5264</v>
      </c>
      <c r="H34" s="11">
        <v>3952</v>
      </c>
    </row>
    <row r="35" spans="1:8" x14ac:dyDescent="0.2">
      <c r="A35" s="11" t="s">
        <v>34</v>
      </c>
      <c r="B35" s="11">
        <v>988</v>
      </c>
      <c r="C35" s="11">
        <v>1750</v>
      </c>
      <c r="D35" s="11">
        <v>1998</v>
      </c>
      <c r="E35" s="11">
        <v>2109</v>
      </c>
      <c r="F35" s="11">
        <v>2622</v>
      </c>
      <c r="G35" s="11">
        <v>2552</v>
      </c>
      <c r="H35" s="11">
        <v>2062</v>
      </c>
    </row>
    <row r="36" spans="1:8" x14ac:dyDescent="0.2">
      <c r="A36" s="11" t="s">
        <v>35</v>
      </c>
      <c r="B36" s="11">
        <v>12061</v>
      </c>
      <c r="C36" s="11">
        <v>22668</v>
      </c>
      <c r="D36" s="11">
        <v>23975</v>
      </c>
      <c r="E36" s="11">
        <v>21608</v>
      </c>
      <c r="F36" s="11">
        <v>24987</v>
      </c>
      <c r="G36" s="11">
        <v>24097</v>
      </c>
      <c r="H36" s="11">
        <v>19573</v>
      </c>
    </row>
    <row r="37" spans="1:8" x14ac:dyDescent="0.2">
      <c r="A37" s="11" t="s">
        <v>36</v>
      </c>
      <c r="B37" s="11">
        <v>30951</v>
      </c>
      <c r="C37" s="11">
        <v>58601</v>
      </c>
      <c r="D37" s="11">
        <v>59127</v>
      </c>
      <c r="E37" s="11">
        <v>50775</v>
      </c>
      <c r="F37" s="11">
        <v>56998</v>
      </c>
      <c r="G37" s="11">
        <v>57217</v>
      </c>
      <c r="H37" s="11">
        <v>49091</v>
      </c>
    </row>
    <row r="38" spans="1:8" x14ac:dyDescent="0.2">
      <c r="A38" s="11" t="s">
        <v>37</v>
      </c>
      <c r="B38" s="11">
        <v>4380</v>
      </c>
      <c r="C38" s="11">
        <v>7855</v>
      </c>
      <c r="D38" s="11">
        <v>8328</v>
      </c>
      <c r="E38" s="11">
        <v>8288</v>
      </c>
      <c r="F38" s="11">
        <v>9803</v>
      </c>
      <c r="G38" s="11">
        <v>10400</v>
      </c>
      <c r="H38" s="11">
        <v>8294</v>
      </c>
    </row>
    <row r="39" spans="1:8" x14ac:dyDescent="0.2">
      <c r="A39" s="11" t="s">
        <v>38</v>
      </c>
      <c r="B39" s="11">
        <v>7308</v>
      </c>
      <c r="C39" s="11">
        <v>13042</v>
      </c>
      <c r="D39" s="11">
        <v>14419</v>
      </c>
      <c r="E39" s="11">
        <v>14070</v>
      </c>
      <c r="F39" s="11">
        <v>15972</v>
      </c>
      <c r="G39" s="11">
        <v>15610</v>
      </c>
      <c r="H39" s="11">
        <v>13336</v>
      </c>
    </row>
    <row r="40" spans="1:8" x14ac:dyDescent="0.2">
      <c r="A40" s="11" t="s">
        <v>39</v>
      </c>
      <c r="B40" s="11">
        <v>21713</v>
      </c>
      <c r="C40" s="11">
        <v>41544</v>
      </c>
      <c r="D40" s="11">
        <v>42236</v>
      </c>
      <c r="E40" s="11">
        <v>38489</v>
      </c>
      <c r="F40" s="11">
        <v>41416</v>
      </c>
      <c r="G40" s="11">
        <v>38156</v>
      </c>
      <c r="H40" s="11">
        <v>29495</v>
      </c>
    </row>
    <row r="41" spans="1:8" x14ac:dyDescent="0.2">
      <c r="A41" s="11" t="s">
        <v>40</v>
      </c>
      <c r="B41" s="11">
        <v>15894</v>
      </c>
      <c r="C41" s="11">
        <v>30542</v>
      </c>
      <c r="D41" s="11">
        <v>32865</v>
      </c>
      <c r="E41" s="11">
        <v>30618</v>
      </c>
      <c r="F41" s="11">
        <v>35942</v>
      </c>
      <c r="G41" s="11">
        <v>33364</v>
      </c>
      <c r="H41" s="11">
        <v>27057</v>
      </c>
    </row>
    <row r="42" spans="1:8" x14ac:dyDescent="0.2">
      <c r="A42" s="11" t="s">
        <v>41</v>
      </c>
      <c r="B42" s="11">
        <v>5586</v>
      </c>
      <c r="C42" s="11">
        <v>9987</v>
      </c>
      <c r="D42" s="11">
        <v>11439</v>
      </c>
      <c r="E42" s="11">
        <v>10441</v>
      </c>
      <c r="F42" s="11">
        <v>12220</v>
      </c>
      <c r="G42" s="11">
        <v>12959</v>
      </c>
      <c r="H42" s="11">
        <v>9902</v>
      </c>
    </row>
    <row r="43" spans="1:8" x14ac:dyDescent="0.2">
      <c r="A43" s="11" t="s">
        <v>91</v>
      </c>
      <c r="B43" s="11">
        <v>1829</v>
      </c>
      <c r="C43" s="11">
        <v>3257</v>
      </c>
      <c r="D43" s="11">
        <v>3622</v>
      </c>
      <c r="E43" s="11">
        <v>3772</v>
      </c>
      <c r="F43" s="11">
        <v>4552</v>
      </c>
      <c r="G43" s="11">
        <v>4621</v>
      </c>
      <c r="H43" s="11">
        <v>3495</v>
      </c>
    </row>
    <row r="44" spans="1:8" x14ac:dyDescent="0.2">
      <c r="A44" s="11" t="s">
        <v>43</v>
      </c>
      <c r="B44" s="11">
        <v>5628</v>
      </c>
      <c r="C44" s="11">
        <v>9830</v>
      </c>
      <c r="D44" s="11">
        <v>9918</v>
      </c>
      <c r="E44" s="11">
        <v>9889</v>
      </c>
      <c r="F44" s="11">
        <v>12390</v>
      </c>
      <c r="G44" s="11">
        <v>13469</v>
      </c>
      <c r="H44" s="11">
        <v>10751</v>
      </c>
    </row>
    <row r="45" spans="1:8" x14ac:dyDescent="0.2">
      <c r="A45" s="11" t="s">
        <v>44</v>
      </c>
      <c r="B45" s="11">
        <v>1792</v>
      </c>
      <c r="C45" s="11">
        <v>3665</v>
      </c>
      <c r="D45" s="11">
        <v>3832</v>
      </c>
      <c r="E45" s="11">
        <v>3937</v>
      </c>
      <c r="F45" s="11">
        <v>5037</v>
      </c>
      <c r="G45" s="11">
        <v>4724</v>
      </c>
      <c r="H45" s="11">
        <v>4130</v>
      </c>
    </row>
    <row r="46" spans="1:8" x14ac:dyDescent="0.2">
      <c r="A46" s="11" t="s">
        <v>45</v>
      </c>
      <c r="B46" s="11">
        <v>9691</v>
      </c>
      <c r="C46" s="11">
        <v>17391</v>
      </c>
      <c r="D46" s="11">
        <v>17578</v>
      </c>
      <c r="E46" s="11">
        <v>17371</v>
      </c>
      <c r="F46" s="11">
        <v>22594</v>
      </c>
      <c r="G46" s="11">
        <v>19994</v>
      </c>
      <c r="H46" s="11">
        <v>12169</v>
      </c>
    </row>
    <row r="47" spans="1:8" x14ac:dyDescent="0.2">
      <c r="A47" s="11" t="s">
        <v>46</v>
      </c>
      <c r="B47" s="11">
        <v>54357</v>
      </c>
      <c r="C47" s="11">
        <v>96414</v>
      </c>
      <c r="D47" s="11">
        <v>104512</v>
      </c>
      <c r="E47" s="11">
        <v>93320</v>
      </c>
      <c r="F47" s="11">
        <v>102017</v>
      </c>
      <c r="G47" s="11">
        <v>94735</v>
      </c>
      <c r="H47" s="11">
        <v>76543</v>
      </c>
    </row>
    <row r="48" spans="1:8" x14ac:dyDescent="0.2">
      <c r="A48" s="11" t="s">
        <v>47</v>
      </c>
      <c r="B48" s="11">
        <v>838</v>
      </c>
      <c r="C48" s="11">
        <v>1856</v>
      </c>
      <c r="D48" s="11">
        <v>2001</v>
      </c>
      <c r="E48" s="11">
        <v>1625</v>
      </c>
      <c r="F48" s="11">
        <v>2006</v>
      </c>
      <c r="G48" s="11">
        <v>2145</v>
      </c>
      <c r="H48" s="11">
        <v>1831</v>
      </c>
    </row>
    <row r="49" spans="1:8" x14ac:dyDescent="0.2">
      <c r="A49" s="11" t="s">
        <v>48</v>
      </c>
      <c r="B49" s="11">
        <v>22829</v>
      </c>
      <c r="C49" s="11">
        <v>36516</v>
      </c>
      <c r="D49" s="11">
        <v>35543</v>
      </c>
      <c r="E49" s="11">
        <v>33063</v>
      </c>
      <c r="F49" s="11">
        <v>38547</v>
      </c>
      <c r="G49" s="11">
        <v>36140</v>
      </c>
      <c r="H49" s="11">
        <v>28615</v>
      </c>
    </row>
    <row r="50" spans="1:8" x14ac:dyDescent="0.2">
      <c r="A50" s="11" t="s">
        <v>49</v>
      </c>
      <c r="B50" s="11">
        <v>3728</v>
      </c>
      <c r="C50" s="11">
        <v>7150</v>
      </c>
      <c r="D50" s="11">
        <v>8533</v>
      </c>
      <c r="E50" s="11">
        <v>8219</v>
      </c>
      <c r="F50" s="11">
        <v>9718</v>
      </c>
      <c r="G50" s="11">
        <v>10033</v>
      </c>
      <c r="H50" s="11">
        <v>7894</v>
      </c>
    </row>
    <row r="51" spans="1:8" x14ac:dyDescent="0.2">
      <c r="A51" s="11" t="s">
        <v>50</v>
      </c>
      <c r="B51" s="11">
        <v>2370</v>
      </c>
      <c r="C51" s="11">
        <v>4319</v>
      </c>
      <c r="D51" s="11">
        <v>4821</v>
      </c>
      <c r="E51" s="11">
        <v>4769</v>
      </c>
      <c r="F51" s="11">
        <v>5837</v>
      </c>
      <c r="G51" s="11">
        <v>5345</v>
      </c>
      <c r="H51" s="11">
        <v>3713</v>
      </c>
    </row>
    <row r="52" spans="1:8" x14ac:dyDescent="0.2">
      <c r="A52" s="11" t="s">
        <v>51</v>
      </c>
      <c r="B52" s="11">
        <v>98657</v>
      </c>
      <c r="C52" s="11">
        <v>257120</v>
      </c>
      <c r="D52" s="11">
        <v>218255</v>
      </c>
      <c r="E52" s="11">
        <v>142714</v>
      </c>
      <c r="F52" s="11">
        <v>144880</v>
      </c>
      <c r="G52" s="11">
        <v>126107</v>
      </c>
      <c r="H52" s="11">
        <v>90443</v>
      </c>
    </row>
    <row r="53" spans="1:8" x14ac:dyDescent="0.2">
      <c r="A53" s="11" t="s">
        <v>52</v>
      </c>
      <c r="B53" s="11">
        <v>3186</v>
      </c>
      <c r="C53" s="11">
        <v>5904</v>
      </c>
      <c r="D53" s="11">
        <v>6446</v>
      </c>
      <c r="E53" s="11">
        <v>6587</v>
      </c>
      <c r="F53" s="11">
        <v>9566</v>
      </c>
      <c r="G53" s="11">
        <v>9094</v>
      </c>
      <c r="H53" s="11">
        <v>6234</v>
      </c>
    </row>
    <row r="54" spans="1:8" x14ac:dyDescent="0.2">
      <c r="A54" s="11" t="s">
        <v>53</v>
      </c>
      <c r="B54" s="11">
        <v>760</v>
      </c>
      <c r="C54" s="11">
        <v>1295</v>
      </c>
      <c r="D54" s="11">
        <v>1459</v>
      </c>
      <c r="E54" s="11">
        <v>1504</v>
      </c>
      <c r="F54" s="11">
        <v>2058</v>
      </c>
      <c r="G54" s="11">
        <v>2214</v>
      </c>
      <c r="H54" s="11">
        <v>1754</v>
      </c>
    </row>
    <row r="55" spans="1:8" x14ac:dyDescent="0.2">
      <c r="A55" s="11" t="s">
        <v>54</v>
      </c>
      <c r="B55" s="11">
        <v>6950</v>
      </c>
      <c r="C55" s="11">
        <v>12424</v>
      </c>
      <c r="D55" s="11">
        <v>13794</v>
      </c>
      <c r="E55" s="11">
        <v>14222</v>
      </c>
      <c r="F55" s="11">
        <v>16677</v>
      </c>
      <c r="G55" s="11">
        <v>16095</v>
      </c>
      <c r="H55" s="11">
        <v>12090</v>
      </c>
    </row>
    <row r="56" spans="1:8" x14ac:dyDescent="0.2">
      <c r="A56" s="11" t="s">
        <v>55</v>
      </c>
      <c r="B56" s="11">
        <v>2321</v>
      </c>
      <c r="C56" s="11">
        <v>3193</v>
      </c>
      <c r="D56" s="11">
        <v>3468</v>
      </c>
      <c r="E56" s="11">
        <v>3444</v>
      </c>
      <c r="F56" s="11">
        <v>4162</v>
      </c>
      <c r="G56" s="11">
        <v>3962</v>
      </c>
      <c r="H56" s="11">
        <v>3333</v>
      </c>
    </row>
    <row r="57" spans="1:8" x14ac:dyDescent="0.2">
      <c r="A57" s="11" t="s">
        <v>56</v>
      </c>
      <c r="B57" s="11">
        <v>3345</v>
      </c>
      <c r="C57" s="11">
        <v>5966</v>
      </c>
      <c r="D57" s="11">
        <v>6737</v>
      </c>
      <c r="E57" s="11">
        <v>7081</v>
      </c>
      <c r="F57" s="11">
        <v>8596</v>
      </c>
      <c r="G57" s="11">
        <v>9359</v>
      </c>
      <c r="H57" s="11">
        <v>7397</v>
      </c>
    </row>
    <row r="58" spans="1:8" x14ac:dyDescent="0.2">
      <c r="A58" s="11" t="s">
        <v>57</v>
      </c>
      <c r="B58" s="11">
        <v>230</v>
      </c>
      <c r="C58" s="11">
        <v>419</v>
      </c>
      <c r="D58" s="11">
        <v>572</v>
      </c>
      <c r="E58" s="11">
        <v>554</v>
      </c>
      <c r="F58" s="11">
        <v>805</v>
      </c>
      <c r="G58" s="11">
        <v>1067</v>
      </c>
      <c r="H58" s="11">
        <v>787</v>
      </c>
    </row>
    <row r="59" spans="1:8" x14ac:dyDescent="0.2">
      <c r="A59" s="11" t="s">
        <v>58</v>
      </c>
      <c r="B59" s="11">
        <v>1926</v>
      </c>
      <c r="C59" s="11">
        <v>3650</v>
      </c>
      <c r="D59" s="11">
        <v>3980</v>
      </c>
      <c r="E59" s="11">
        <v>3687</v>
      </c>
      <c r="F59" s="11">
        <v>5129</v>
      </c>
      <c r="G59" s="11">
        <v>5343</v>
      </c>
      <c r="H59" s="11">
        <v>4202</v>
      </c>
    </row>
    <row r="60" spans="1:8" x14ac:dyDescent="0.2">
      <c r="A60" s="11" t="s">
        <v>59</v>
      </c>
      <c r="B60" s="11">
        <v>1902</v>
      </c>
      <c r="C60" s="11">
        <v>3265</v>
      </c>
      <c r="D60" s="11">
        <v>3913</v>
      </c>
      <c r="E60" s="11">
        <v>3717</v>
      </c>
      <c r="F60" s="11">
        <v>4777</v>
      </c>
      <c r="G60" s="11">
        <v>5056</v>
      </c>
      <c r="H60" s="11">
        <v>4115</v>
      </c>
    </row>
    <row r="61" spans="1:8" x14ac:dyDescent="0.2">
      <c r="A61" s="11" t="s">
        <v>60</v>
      </c>
      <c r="B61" s="11">
        <v>3751</v>
      </c>
      <c r="C61" s="11">
        <v>3975</v>
      </c>
      <c r="D61" s="11">
        <v>3612</v>
      </c>
      <c r="E61" s="11">
        <v>3460</v>
      </c>
      <c r="F61" s="11">
        <v>4018</v>
      </c>
      <c r="G61" s="11">
        <v>3867</v>
      </c>
      <c r="H61" s="11">
        <v>3680</v>
      </c>
    </row>
    <row r="62" spans="1:8" x14ac:dyDescent="0.2">
      <c r="A62" s="11" t="s">
        <v>61</v>
      </c>
      <c r="B62" s="11">
        <v>2242</v>
      </c>
      <c r="C62" s="11">
        <v>3945</v>
      </c>
      <c r="D62" s="11">
        <v>4628</v>
      </c>
      <c r="E62" s="11">
        <v>4767</v>
      </c>
      <c r="F62" s="11">
        <v>5750</v>
      </c>
      <c r="G62" s="11">
        <v>6598</v>
      </c>
      <c r="H62" s="11">
        <v>4876</v>
      </c>
    </row>
    <row r="63" spans="1:8" x14ac:dyDescent="0.2">
      <c r="A63" s="11" t="s">
        <v>62</v>
      </c>
      <c r="B63" s="11">
        <v>1784</v>
      </c>
      <c r="C63" s="11">
        <v>3056</v>
      </c>
      <c r="D63" s="11">
        <v>3597</v>
      </c>
      <c r="E63" s="11">
        <v>3521</v>
      </c>
      <c r="F63" s="11">
        <v>4701</v>
      </c>
      <c r="G63" s="11">
        <v>5021</v>
      </c>
      <c r="H63" s="11">
        <v>3757</v>
      </c>
    </row>
    <row r="64" spans="1:8" x14ac:dyDescent="0.2">
      <c r="A64" s="11" t="s">
        <v>63</v>
      </c>
      <c r="B64" s="11">
        <v>10695</v>
      </c>
      <c r="C64" s="11">
        <v>19742</v>
      </c>
      <c r="D64" s="11">
        <v>22529</v>
      </c>
      <c r="E64" s="11">
        <v>21406</v>
      </c>
      <c r="F64" s="11">
        <v>25208</v>
      </c>
      <c r="G64" s="11">
        <v>26079</v>
      </c>
      <c r="H64" s="11">
        <v>19829</v>
      </c>
    </row>
    <row r="65" spans="1:8" x14ac:dyDescent="0.2">
      <c r="A65" s="11" t="s">
        <v>64</v>
      </c>
      <c r="B65" s="11">
        <v>2268</v>
      </c>
      <c r="C65" s="11">
        <v>4506</v>
      </c>
      <c r="D65" s="11">
        <v>5021</v>
      </c>
      <c r="E65" s="11">
        <v>4880</v>
      </c>
      <c r="F65" s="11">
        <v>6930</v>
      </c>
      <c r="G65" s="11">
        <v>7355</v>
      </c>
      <c r="H65" s="11">
        <v>5547</v>
      </c>
    </row>
    <row r="66" spans="1:8" x14ac:dyDescent="0.2">
      <c r="A66" s="11" t="s">
        <v>65</v>
      </c>
      <c r="B66" s="11">
        <v>17829</v>
      </c>
      <c r="C66" s="11">
        <v>32973</v>
      </c>
      <c r="D66" s="11">
        <v>36281</v>
      </c>
      <c r="E66" s="11">
        <v>35243</v>
      </c>
      <c r="F66" s="11">
        <v>44325</v>
      </c>
      <c r="G66" s="11">
        <v>46554</v>
      </c>
      <c r="H66" s="11">
        <v>37490</v>
      </c>
    </row>
    <row r="67" spans="1:8" x14ac:dyDescent="0.2">
      <c r="A67" s="11" t="s">
        <v>66</v>
      </c>
      <c r="B67" s="11">
        <v>1371</v>
      </c>
      <c r="C67" s="11">
        <v>2486</v>
      </c>
      <c r="D67" s="11">
        <v>2716</v>
      </c>
      <c r="E67" s="11">
        <v>2697</v>
      </c>
      <c r="F67" s="11">
        <v>3246</v>
      </c>
      <c r="G67" s="11">
        <v>3354</v>
      </c>
      <c r="H67" s="11">
        <v>2592</v>
      </c>
    </row>
    <row r="68" spans="1:8" ht="13.5" thickBot="1" x14ac:dyDescent="0.25">
      <c r="A68" s="13" t="s">
        <v>67</v>
      </c>
      <c r="B68" s="13">
        <v>26751</v>
      </c>
      <c r="C68" s="13">
        <v>49940</v>
      </c>
      <c r="D68" s="13">
        <v>54209</v>
      </c>
      <c r="E68" s="13">
        <v>50053</v>
      </c>
      <c r="F68" s="13">
        <v>57031</v>
      </c>
      <c r="G68" s="13">
        <v>50171</v>
      </c>
      <c r="H68" s="13">
        <v>37581</v>
      </c>
    </row>
    <row r="69" spans="1:8" x14ac:dyDescent="0.2">
      <c r="A69" s="32" t="s">
        <v>68</v>
      </c>
      <c r="B69" s="32">
        <f>SUM(B2:B68)</f>
        <v>766578</v>
      </c>
      <c r="C69" s="32">
        <f t="shared" ref="C69:G69" si="0">SUM(C2:C68)</f>
        <v>1460055</v>
      </c>
      <c r="D69" s="32">
        <f t="shared" si="0"/>
        <v>1467422</v>
      </c>
      <c r="E69" s="32">
        <f t="shared" si="0"/>
        <v>1284323</v>
      </c>
      <c r="F69" s="32">
        <f t="shared" si="0"/>
        <v>1466377</v>
      </c>
      <c r="G69" s="32">
        <f t="shared" si="0"/>
        <v>1414623</v>
      </c>
      <c r="H69" s="32">
        <f>SUM(H2:H68)</f>
        <v>1093456</v>
      </c>
    </row>
    <row r="70" spans="1:8" x14ac:dyDescent="0.2">
      <c r="B70" s="17">
        <f t="shared" ref="B70:H70" si="1">B69/$B$72</f>
        <v>8.5624060493023776E-2</v>
      </c>
      <c r="C70" s="17">
        <f>C69/$B$72</f>
        <v>0.16308299695939857</v>
      </c>
      <c r="D70" s="17">
        <f>D69/$B$72</f>
        <v>0.16390586489149692</v>
      </c>
      <c r="E70" s="17">
        <f t="shared" si="1"/>
        <v>0.14345435199625056</v>
      </c>
      <c r="F70" s="17">
        <f t="shared" si="1"/>
        <v>0.16378914207501222</v>
      </c>
      <c r="G70" s="17">
        <f t="shared" si="1"/>
        <v>0.15800840270242919</v>
      </c>
      <c r="H70" s="17">
        <f t="shared" si="1"/>
        <v>0.12213518088238876</v>
      </c>
    </row>
    <row r="72" spans="1:8" x14ac:dyDescent="0.2">
      <c r="A72" s="32" t="s">
        <v>80</v>
      </c>
      <c r="B72" s="16">
        <f>SUM(B69:H69)</f>
        <v>8952834</v>
      </c>
      <c r="C72" s="14"/>
    </row>
    <row r="81" spans="2:7" x14ac:dyDescent="0.2">
      <c r="G81" s="11"/>
    </row>
    <row r="82" spans="2:7" x14ac:dyDescent="0.2">
      <c r="G82" s="11"/>
    </row>
    <row r="83" spans="2:7" x14ac:dyDescent="0.2">
      <c r="E83" s="11"/>
      <c r="G83" s="11"/>
    </row>
    <row r="84" spans="2:7" x14ac:dyDescent="0.2">
      <c r="B84" s="11"/>
      <c r="E84" s="11"/>
      <c r="G84" s="11"/>
    </row>
    <row r="85" spans="2:7" x14ac:dyDescent="0.2">
      <c r="E85" s="11"/>
      <c r="G85" s="11"/>
    </row>
    <row r="86" spans="2:7" x14ac:dyDescent="0.2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7" sqref="M7"/>
    </sheetView>
  </sheetViews>
  <sheetFormatPr defaultColWidth="9.140625" defaultRowHeight="12.75" x14ac:dyDescent="0.2"/>
  <cols>
    <col min="1" max="1" width="19.85546875" style="11" customWidth="1"/>
    <col min="2" max="2" width="9" style="10" customWidth="1"/>
    <col min="3" max="8" width="12.28515625" style="10" customWidth="1"/>
    <col min="9" max="9" width="11" style="11" bestFit="1" customWidth="1"/>
    <col min="10" max="10" width="6.42578125" style="11" customWidth="1"/>
    <col min="11" max="16384" width="9.140625" style="11"/>
  </cols>
  <sheetData>
    <row r="1" spans="1:9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11" t="s">
        <v>1</v>
      </c>
      <c r="B2" s="10" t="s">
        <v>0</v>
      </c>
      <c r="C2" s="11">
        <v>1998</v>
      </c>
      <c r="D2" s="11">
        <v>2734</v>
      </c>
      <c r="E2" s="11">
        <v>2333</v>
      </c>
      <c r="F2" s="11">
        <v>2111</v>
      </c>
      <c r="G2" s="11">
        <v>2660</v>
      </c>
      <c r="H2" s="11">
        <v>3794</v>
      </c>
      <c r="I2" s="11">
        <v>3479</v>
      </c>
    </row>
    <row r="3" spans="1:9" x14ac:dyDescent="0.2">
      <c r="A3" s="11" t="s">
        <v>2</v>
      </c>
      <c r="B3" s="10" t="s">
        <v>0</v>
      </c>
      <c r="C3" s="11">
        <v>42127</v>
      </c>
      <c r="D3" s="11">
        <v>94106</v>
      </c>
      <c r="E3" s="11">
        <v>88939</v>
      </c>
      <c r="F3" s="11">
        <v>63696</v>
      </c>
      <c r="G3" s="11">
        <v>68020</v>
      </c>
      <c r="H3" s="11">
        <v>80322</v>
      </c>
      <c r="I3" s="11">
        <v>64967</v>
      </c>
    </row>
    <row r="4" spans="1:9" x14ac:dyDescent="0.2">
      <c r="A4" s="11" t="s">
        <v>3</v>
      </c>
      <c r="B4" s="10" t="s">
        <v>0</v>
      </c>
      <c r="C4" s="11">
        <v>607</v>
      </c>
      <c r="D4" s="11">
        <v>1093</v>
      </c>
      <c r="E4" s="11">
        <v>1206</v>
      </c>
      <c r="F4" s="11">
        <v>1271</v>
      </c>
      <c r="G4" s="11">
        <v>1784</v>
      </c>
      <c r="H4" s="11">
        <v>2569</v>
      </c>
      <c r="I4" s="11">
        <v>2166</v>
      </c>
    </row>
    <row r="5" spans="1:9" x14ac:dyDescent="0.2">
      <c r="A5" s="11" t="s">
        <v>4</v>
      </c>
      <c r="B5" s="10" t="s">
        <v>0</v>
      </c>
      <c r="C5" s="11">
        <v>2575</v>
      </c>
      <c r="D5" s="11">
        <v>5659</v>
      </c>
      <c r="E5" s="11">
        <v>6422</v>
      </c>
      <c r="F5" s="11">
        <v>5905</v>
      </c>
      <c r="G5" s="11">
        <v>7417</v>
      </c>
      <c r="H5" s="11">
        <v>9855</v>
      </c>
      <c r="I5" s="11">
        <v>7999</v>
      </c>
    </row>
    <row r="6" spans="1:9" x14ac:dyDescent="0.2">
      <c r="A6" s="11" t="s">
        <v>5</v>
      </c>
      <c r="B6" s="10" t="s">
        <v>0</v>
      </c>
      <c r="C6" s="11">
        <v>308</v>
      </c>
      <c r="D6" s="11">
        <v>527</v>
      </c>
      <c r="E6" s="11">
        <v>568</v>
      </c>
      <c r="F6" s="11">
        <v>635</v>
      </c>
      <c r="G6" s="11">
        <v>861</v>
      </c>
      <c r="H6" s="11">
        <v>1204</v>
      </c>
      <c r="I6" s="11">
        <v>1184</v>
      </c>
    </row>
    <row r="7" spans="1:9" x14ac:dyDescent="0.2">
      <c r="A7" s="11" t="s">
        <v>6</v>
      </c>
      <c r="B7" s="10" t="s">
        <v>0</v>
      </c>
      <c r="C7" s="11">
        <v>8558</v>
      </c>
      <c r="D7" s="11">
        <v>15765</v>
      </c>
      <c r="E7" s="11">
        <v>16318</v>
      </c>
      <c r="F7" s="11">
        <v>14901</v>
      </c>
      <c r="G7" s="11">
        <v>16949</v>
      </c>
      <c r="H7" s="11">
        <v>17306</v>
      </c>
      <c r="I7" s="11">
        <v>14360</v>
      </c>
    </row>
    <row r="8" spans="1:9" x14ac:dyDescent="0.2">
      <c r="A8" s="11" t="s">
        <v>7</v>
      </c>
      <c r="B8" s="10" t="s">
        <v>0</v>
      </c>
      <c r="C8" s="11">
        <v>1548</v>
      </c>
      <c r="D8" s="11">
        <v>3012</v>
      </c>
      <c r="E8" s="11">
        <v>3113</v>
      </c>
      <c r="F8" s="11">
        <v>2559</v>
      </c>
      <c r="G8" s="11">
        <v>2744</v>
      </c>
      <c r="H8" s="11">
        <v>3539</v>
      </c>
      <c r="I8" s="11">
        <v>3214</v>
      </c>
    </row>
    <row r="9" spans="1:9" x14ac:dyDescent="0.2">
      <c r="A9" s="11" t="s">
        <v>8</v>
      </c>
      <c r="B9" s="10" t="s">
        <v>0</v>
      </c>
      <c r="C9" s="11">
        <v>500</v>
      </c>
      <c r="D9" s="11">
        <v>1049</v>
      </c>
      <c r="E9" s="11">
        <v>1065</v>
      </c>
      <c r="F9" s="11">
        <v>896</v>
      </c>
      <c r="G9" s="11">
        <v>1202</v>
      </c>
      <c r="H9" s="11">
        <v>1606</v>
      </c>
      <c r="I9" s="11">
        <v>1483</v>
      </c>
    </row>
    <row r="10" spans="1:9" x14ac:dyDescent="0.2">
      <c r="A10" s="11" t="s">
        <v>9</v>
      </c>
      <c r="B10" s="10" t="s">
        <v>0</v>
      </c>
      <c r="C10" s="11">
        <v>15786</v>
      </c>
      <c r="D10" s="11">
        <v>28076</v>
      </c>
      <c r="E10" s="11">
        <v>30150</v>
      </c>
      <c r="F10" s="11">
        <v>27006</v>
      </c>
      <c r="G10" s="11">
        <v>31355</v>
      </c>
      <c r="H10" s="11">
        <v>34521</v>
      </c>
      <c r="I10" s="11">
        <v>26667</v>
      </c>
    </row>
    <row r="11" spans="1:9" x14ac:dyDescent="0.2">
      <c r="A11" s="11" t="s">
        <v>10</v>
      </c>
      <c r="B11" s="10" t="s">
        <v>0</v>
      </c>
      <c r="C11" s="11">
        <v>2970</v>
      </c>
      <c r="D11" s="11">
        <v>5259</v>
      </c>
      <c r="E11" s="11">
        <v>5925</v>
      </c>
      <c r="F11" s="11">
        <v>4982</v>
      </c>
      <c r="G11" s="11">
        <v>5811</v>
      </c>
      <c r="H11" s="11">
        <v>7554</v>
      </c>
      <c r="I11" s="11">
        <v>6526</v>
      </c>
    </row>
    <row r="12" spans="1:9" x14ac:dyDescent="0.2">
      <c r="A12" s="11" t="s">
        <v>11</v>
      </c>
      <c r="B12" s="10" t="s">
        <v>0</v>
      </c>
      <c r="C12" s="11">
        <v>1765</v>
      </c>
      <c r="D12" s="11">
        <v>3363</v>
      </c>
      <c r="E12" s="11">
        <v>3668</v>
      </c>
      <c r="F12" s="11">
        <v>3715</v>
      </c>
      <c r="G12" s="11">
        <v>4706</v>
      </c>
      <c r="H12" s="11">
        <v>6701</v>
      </c>
      <c r="I12" s="11">
        <v>5608</v>
      </c>
    </row>
    <row r="13" spans="1:9" x14ac:dyDescent="0.2">
      <c r="A13" s="11" t="s">
        <v>12</v>
      </c>
      <c r="B13" s="10" t="s">
        <v>0</v>
      </c>
      <c r="C13" s="11">
        <v>32</v>
      </c>
      <c r="D13" s="11">
        <v>69</v>
      </c>
      <c r="E13" s="11">
        <v>75</v>
      </c>
      <c r="F13" s="11">
        <v>63</v>
      </c>
      <c r="G13" s="11">
        <v>115</v>
      </c>
      <c r="H13" s="11">
        <v>169</v>
      </c>
      <c r="I13" s="11">
        <v>144</v>
      </c>
    </row>
    <row r="14" spans="1:9" x14ac:dyDescent="0.2">
      <c r="A14" s="11" t="s">
        <v>13</v>
      </c>
      <c r="B14" s="10" t="s">
        <v>0</v>
      </c>
      <c r="C14" s="11">
        <v>871</v>
      </c>
      <c r="D14" s="11">
        <v>1776</v>
      </c>
      <c r="E14" s="11">
        <v>1931</v>
      </c>
      <c r="F14" s="11">
        <v>1921</v>
      </c>
      <c r="G14" s="11">
        <v>2462</v>
      </c>
      <c r="H14" s="11">
        <v>2864</v>
      </c>
      <c r="I14" s="11">
        <v>2236</v>
      </c>
    </row>
    <row r="15" spans="1:9" x14ac:dyDescent="0.2">
      <c r="A15" s="11" t="s">
        <v>14</v>
      </c>
      <c r="B15" s="10" t="s">
        <v>0</v>
      </c>
      <c r="C15" s="11">
        <v>8029</v>
      </c>
      <c r="D15" s="11">
        <v>8924</v>
      </c>
      <c r="E15" s="11">
        <v>5676</v>
      </c>
      <c r="F15" s="11">
        <v>4588</v>
      </c>
      <c r="G15" s="11">
        <v>4519</v>
      </c>
      <c r="H15" s="11">
        <v>5086</v>
      </c>
      <c r="I15" s="11">
        <v>4635</v>
      </c>
    </row>
    <row r="16" spans="1:9" x14ac:dyDescent="0.2">
      <c r="A16" s="11" t="s">
        <v>15</v>
      </c>
      <c r="B16" s="10" t="s">
        <v>0</v>
      </c>
      <c r="C16" s="11">
        <v>16838</v>
      </c>
      <c r="D16" s="11">
        <v>26995</v>
      </c>
      <c r="E16" s="11">
        <v>26317</v>
      </c>
      <c r="F16" s="11">
        <v>23249</v>
      </c>
      <c r="G16" s="11">
        <v>24126</v>
      </c>
      <c r="H16" s="11">
        <v>24342</v>
      </c>
      <c r="I16" s="11">
        <v>18423</v>
      </c>
    </row>
    <row r="17" spans="1:9" x14ac:dyDescent="0.2">
      <c r="A17" s="11" t="s">
        <v>16</v>
      </c>
      <c r="B17" s="10" t="s">
        <v>0</v>
      </c>
      <c r="C17" s="11">
        <v>326</v>
      </c>
      <c r="D17" s="11">
        <v>619</v>
      </c>
      <c r="E17" s="11">
        <v>611</v>
      </c>
      <c r="F17" s="11">
        <v>577</v>
      </c>
      <c r="G17" s="11">
        <v>743</v>
      </c>
      <c r="H17" s="11">
        <v>1159</v>
      </c>
      <c r="I17" s="11">
        <v>1036</v>
      </c>
    </row>
    <row r="18" spans="1:9" x14ac:dyDescent="0.2">
      <c r="A18" s="11" t="s">
        <v>17</v>
      </c>
      <c r="B18" s="10" t="s">
        <v>0</v>
      </c>
      <c r="C18" s="11">
        <v>694</v>
      </c>
      <c r="D18" s="11">
        <v>1367</v>
      </c>
      <c r="E18" s="11">
        <v>1459</v>
      </c>
      <c r="F18" s="11">
        <v>1532</v>
      </c>
      <c r="G18" s="11">
        <v>1981</v>
      </c>
      <c r="H18" s="11">
        <v>2582</v>
      </c>
      <c r="I18" s="11">
        <v>2455</v>
      </c>
    </row>
    <row r="19" spans="1:9" x14ac:dyDescent="0.2">
      <c r="A19" s="11" t="s">
        <v>18</v>
      </c>
      <c r="B19" s="10" t="s">
        <v>0</v>
      </c>
      <c r="C19" s="11">
        <v>385</v>
      </c>
      <c r="D19" s="11">
        <v>844</v>
      </c>
      <c r="E19" s="11">
        <v>772</v>
      </c>
      <c r="F19" s="11">
        <v>760</v>
      </c>
      <c r="G19" s="11">
        <v>909</v>
      </c>
      <c r="H19" s="11">
        <v>1297</v>
      </c>
      <c r="I19" s="11">
        <v>1099</v>
      </c>
    </row>
    <row r="20" spans="1:9" x14ac:dyDescent="0.2">
      <c r="A20" s="11" t="s">
        <v>19</v>
      </c>
      <c r="B20" s="10" t="s">
        <v>0</v>
      </c>
      <c r="C20" s="11">
        <v>1263</v>
      </c>
      <c r="D20" s="11">
        <v>1707</v>
      </c>
      <c r="E20" s="11">
        <v>1664</v>
      </c>
      <c r="F20" s="11">
        <v>1466</v>
      </c>
      <c r="G20" s="11">
        <v>1639</v>
      </c>
      <c r="H20" s="11">
        <v>2177</v>
      </c>
      <c r="I20" s="11">
        <v>1899</v>
      </c>
    </row>
    <row r="21" spans="1:9" x14ac:dyDescent="0.2">
      <c r="A21" s="11" t="s">
        <v>20</v>
      </c>
      <c r="B21" s="10" t="s">
        <v>0</v>
      </c>
      <c r="C21" s="11">
        <v>1081</v>
      </c>
      <c r="D21" s="11">
        <v>1802</v>
      </c>
      <c r="E21" s="11">
        <v>1780</v>
      </c>
      <c r="F21" s="11">
        <v>1725</v>
      </c>
      <c r="G21" s="11">
        <v>2191</v>
      </c>
      <c r="H21" s="11">
        <v>3060</v>
      </c>
      <c r="I21" s="11">
        <v>2835</v>
      </c>
    </row>
    <row r="22" spans="1:9" x14ac:dyDescent="0.2">
      <c r="A22" s="11" t="s">
        <v>21</v>
      </c>
      <c r="B22" s="10" t="s">
        <v>0</v>
      </c>
      <c r="C22" s="11">
        <v>6264</v>
      </c>
      <c r="D22" s="11">
        <v>10180</v>
      </c>
      <c r="E22" s="11">
        <v>10825</v>
      </c>
      <c r="F22" s="11">
        <v>8584</v>
      </c>
      <c r="G22" s="11">
        <v>8020</v>
      </c>
      <c r="H22" s="11">
        <v>9066</v>
      </c>
      <c r="I22" s="11">
        <v>8181</v>
      </c>
    </row>
    <row r="23" spans="1:9" x14ac:dyDescent="0.2">
      <c r="A23" s="11" t="s">
        <v>22</v>
      </c>
      <c r="B23" s="10" t="s">
        <v>0</v>
      </c>
      <c r="C23" s="11">
        <v>7192</v>
      </c>
      <c r="D23" s="11">
        <v>15419</v>
      </c>
      <c r="E23" s="11">
        <v>15063</v>
      </c>
      <c r="F23" s="11">
        <v>12757</v>
      </c>
      <c r="G23" s="11">
        <v>13019</v>
      </c>
      <c r="H23" s="11">
        <v>13063</v>
      </c>
      <c r="I23" s="11">
        <v>8959</v>
      </c>
    </row>
    <row r="24" spans="1:9" x14ac:dyDescent="0.2">
      <c r="A24" s="11" t="s">
        <v>23</v>
      </c>
      <c r="B24" s="10" t="s">
        <v>0</v>
      </c>
      <c r="C24" s="11">
        <v>19394</v>
      </c>
      <c r="D24" s="11">
        <v>35010</v>
      </c>
      <c r="E24" s="11">
        <v>38544</v>
      </c>
      <c r="F24" s="11">
        <v>30499</v>
      </c>
      <c r="G24" s="11">
        <v>29523</v>
      </c>
      <c r="H24" s="11">
        <v>28920</v>
      </c>
      <c r="I24" s="11">
        <v>20424</v>
      </c>
    </row>
    <row r="25" spans="1:9" x14ac:dyDescent="0.2">
      <c r="A25" s="11" t="s">
        <v>24</v>
      </c>
      <c r="B25" s="10" t="s">
        <v>0</v>
      </c>
      <c r="C25" s="11">
        <v>324</v>
      </c>
      <c r="D25" s="11">
        <v>601</v>
      </c>
      <c r="E25" s="11">
        <v>660</v>
      </c>
      <c r="F25" s="11">
        <v>647</v>
      </c>
      <c r="G25" s="11">
        <v>1031</v>
      </c>
      <c r="H25" s="11">
        <v>1334</v>
      </c>
      <c r="I25" s="11">
        <v>1216</v>
      </c>
    </row>
    <row r="26" spans="1:9" x14ac:dyDescent="0.2">
      <c r="A26" s="11" t="s">
        <v>25</v>
      </c>
      <c r="B26" s="10" t="s">
        <v>0</v>
      </c>
      <c r="C26" s="11">
        <v>5615</v>
      </c>
      <c r="D26" s="11">
        <v>11257</v>
      </c>
      <c r="E26" s="11">
        <v>11149</v>
      </c>
      <c r="F26" s="11">
        <v>10154</v>
      </c>
      <c r="G26" s="11">
        <v>11783</v>
      </c>
      <c r="H26" s="11">
        <v>14943</v>
      </c>
      <c r="I26" s="11">
        <v>11691</v>
      </c>
    </row>
    <row r="27" spans="1:9" x14ac:dyDescent="0.2">
      <c r="A27" s="11" t="s">
        <v>26</v>
      </c>
      <c r="B27" s="10" t="s">
        <v>0</v>
      </c>
      <c r="C27" s="11">
        <v>1374</v>
      </c>
      <c r="D27" s="11">
        <v>2942</v>
      </c>
      <c r="E27" s="11">
        <v>3519</v>
      </c>
      <c r="F27" s="11">
        <v>3834</v>
      </c>
      <c r="G27" s="11">
        <v>5118</v>
      </c>
      <c r="H27" s="11">
        <v>6911</v>
      </c>
      <c r="I27" s="11">
        <v>5931</v>
      </c>
    </row>
    <row r="28" spans="1:9" x14ac:dyDescent="0.2">
      <c r="A28" s="11" t="s">
        <v>27</v>
      </c>
      <c r="B28" s="10" t="s">
        <v>0</v>
      </c>
      <c r="C28" s="11">
        <v>17</v>
      </c>
      <c r="D28" s="11">
        <v>46</v>
      </c>
      <c r="E28" s="11">
        <v>53</v>
      </c>
      <c r="F28" s="11">
        <v>71</v>
      </c>
      <c r="G28" s="11">
        <v>144</v>
      </c>
      <c r="H28" s="11">
        <v>242</v>
      </c>
      <c r="I28" s="11">
        <v>200</v>
      </c>
    </row>
    <row r="29" spans="1:9" x14ac:dyDescent="0.2">
      <c r="A29" s="11" t="s">
        <v>28</v>
      </c>
      <c r="B29" s="10" t="s">
        <v>0</v>
      </c>
      <c r="C29" s="11">
        <v>2026</v>
      </c>
      <c r="D29" s="11">
        <v>3648</v>
      </c>
      <c r="E29" s="11">
        <v>3427</v>
      </c>
      <c r="F29" s="11">
        <v>3082</v>
      </c>
      <c r="G29" s="11">
        <v>3261</v>
      </c>
      <c r="H29" s="11">
        <v>3963</v>
      </c>
      <c r="I29" s="11">
        <v>3978</v>
      </c>
    </row>
    <row r="30" spans="1:9" x14ac:dyDescent="0.2">
      <c r="A30" s="11" t="s">
        <v>29</v>
      </c>
      <c r="B30" s="10" t="s">
        <v>0</v>
      </c>
      <c r="C30" s="11">
        <v>80</v>
      </c>
      <c r="D30" s="11">
        <v>138</v>
      </c>
      <c r="E30" s="11">
        <v>159</v>
      </c>
      <c r="F30" s="11">
        <v>181</v>
      </c>
      <c r="G30" s="11">
        <v>244</v>
      </c>
      <c r="H30" s="11">
        <v>292</v>
      </c>
      <c r="I30" s="11">
        <v>380</v>
      </c>
    </row>
    <row r="31" spans="1:9" x14ac:dyDescent="0.2">
      <c r="A31" s="11" t="s">
        <v>30</v>
      </c>
      <c r="B31" s="10" t="s">
        <v>0</v>
      </c>
      <c r="C31" s="11">
        <v>291</v>
      </c>
      <c r="D31" s="11">
        <v>683</v>
      </c>
      <c r="E31" s="11">
        <v>823</v>
      </c>
      <c r="F31" s="11">
        <v>957</v>
      </c>
      <c r="G31" s="11">
        <v>1304</v>
      </c>
      <c r="H31" s="11">
        <v>1837</v>
      </c>
      <c r="I31" s="11">
        <v>1526</v>
      </c>
    </row>
    <row r="32" spans="1:9" x14ac:dyDescent="0.2">
      <c r="A32" s="11" t="s">
        <v>31</v>
      </c>
      <c r="B32" s="10" t="s">
        <v>0</v>
      </c>
      <c r="C32" s="11">
        <v>620</v>
      </c>
      <c r="D32" s="11">
        <v>838</v>
      </c>
      <c r="E32" s="11">
        <v>623</v>
      </c>
      <c r="F32" s="11">
        <v>702</v>
      </c>
      <c r="G32" s="11">
        <v>874</v>
      </c>
      <c r="H32" s="11">
        <v>1229</v>
      </c>
      <c r="I32" s="11">
        <v>1165</v>
      </c>
    </row>
    <row r="33" spans="1:9" x14ac:dyDescent="0.2">
      <c r="A33" s="11" t="s">
        <v>32</v>
      </c>
      <c r="B33" s="10" t="s">
        <v>0</v>
      </c>
      <c r="C33" s="11">
        <v>1331</v>
      </c>
      <c r="D33" s="11">
        <v>1818</v>
      </c>
      <c r="E33" s="11">
        <v>1531</v>
      </c>
      <c r="F33" s="11">
        <v>1515</v>
      </c>
      <c r="G33" s="11">
        <v>2117</v>
      </c>
      <c r="H33" s="11">
        <v>3049</v>
      </c>
      <c r="I33" s="11">
        <v>2623</v>
      </c>
    </row>
    <row r="34" spans="1:9" x14ac:dyDescent="0.2">
      <c r="A34" s="11" t="s">
        <v>33</v>
      </c>
      <c r="B34" s="10" t="s">
        <v>0</v>
      </c>
      <c r="C34" s="11">
        <v>360</v>
      </c>
      <c r="D34" s="11">
        <v>617</v>
      </c>
      <c r="E34" s="11">
        <v>653</v>
      </c>
      <c r="F34" s="11">
        <v>665</v>
      </c>
      <c r="G34" s="11">
        <v>805</v>
      </c>
      <c r="H34" s="11">
        <v>1273</v>
      </c>
      <c r="I34" s="11">
        <v>1059</v>
      </c>
    </row>
    <row r="35" spans="1:9" x14ac:dyDescent="0.2">
      <c r="A35" s="11" t="s">
        <v>34</v>
      </c>
      <c r="B35" s="10" t="s">
        <v>0</v>
      </c>
      <c r="C35" s="11">
        <v>143</v>
      </c>
      <c r="D35" s="11">
        <v>240</v>
      </c>
      <c r="E35" s="11">
        <v>300</v>
      </c>
      <c r="F35" s="11">
        <v>316</v>
      </c>
      <c r="G35" s="11">
        <v>417</v>
      </c>
      <c r="H35" s="11">
        <v>605</v>
      </c>
      <c r="I35" s="11">
        <v>530</v>
      </c>
    </row>
    <row r="36" spans="1:9" x14ac:dyDescent="0.2">
      <c r="A36" s="11" t="s">
        <v>35</v>
      </c>
      <c r="B36" s="10" t="s">
        <v>0</v>
      </c>
      <c r="C36" s="11">
        <v>5121</v>
      </c>
      <c r="D36" s="11">
        <v>10495</v>
      </c>
      <c r="E36" s="11">
        <v>11638</v>
      </c>
      <c r="F36" s="11">
        <v>10243</v>
      </c>
      <c r="G36" s="11">
        <v>12561</v>
      </c>
      <c r="H36" s="11">
        <v>14088</v>
      </c>
      <c r="I36" s="11">
        <v>12073</v>
      </c>
    </row>
    <row r="37" spans="1:9" x14ac:dyDescent="0.2">
      <c r="A37" s="11" t="s">
        <v>36</v>
      </c>
      <c r="B37" s="10" t="s">
        <v>0</v>
      </c>
      <c r="C37" s="11">
        <v>9870</v>
      </c>
      <c r="D37" s="11">
        <v>19883</v>
      </c>
      <c r="E37" s="11">
        <v>19494</v>
      </c>
      <c r="F37" s="11">
        <v>15121</v>
      </c>
      <c r="G37" s="11">
        <v>15284</v>
      </c>
      <c r="H37" s="11">
        <v>17352</v>
      </c>
      <c r="I37" s="11">
        <v>15144</v>
      </c>
    </row>
    <row r="38" spans="1:9" x14ac:dyDescent="0.2">
      <c r="A38" s="11" t="s">
        <v>37</v>
      </c>
      <c r="B38" s="10" t="s">
        <v>0</v>
      </c>
      <c r="C38" s="11">
        <v>1187</v>
      </c>
      <c r="D38" s="11">
        <v>2398</v>
      </c>
      <c r="E38" s="11">
        <v>2459</v>
      </c>
      <c r="F38" s="11">
        <v>2464</v>
      </c>
      <c r="G38" s="11">
        <v>3284</v>
      </c>
      <c r="H38" s="11">
        <v>4230</v>
      </c>
      <c r="I38" s="11">
        <v>3691</v>
      </c>
    </row>
    <row r="39" spans="1:9" x14ac:dyDescent="0.2">
      <c r="A39" s="11" t="s">
        <v>38</v>
      </c>
      <c r="B39" s="10" t="s">
        <v>0</v>
      </c>
      <c r="C39" s="11">
        <v>2053</v>
      </c>
      <c r="D39" s="11">
        <v>3716</v>
      </c>
      <c r="E39" s="11">
        <v>4018</v>
      </c>
      <c r="F39" s="11">
        <v>3656</v>
      </c>
      <c r="G39" s="11">
        <v>3848</v>
      </c>
      <c r="H39" s="11">
        <v>4228</v>
      </c>
      <c r="I39" s="11">
        <v>3804</v>
      </c>
    </row>
    <row r="40" spans="1:9" x14ac:dyDescent="0.2">
      <c r="A40" s="11" t="s">
        <v>39</v>
      </c>
      <c r="B40" s="10" t="s">
        <v>0</v>
      </c>
      <c r="C40" s="11">
        <v>9191</v>
      </c>
      <c r="D40" s="11">
        <v>18157</v>
      </c>
      <c r="E40" s="11">
        <v>18515</v>
      </c>
      <c r="F40" s="11">
        <v>16615</v>
      </c>
      <c r="G40" s="11">
        <v>17101</v>
      </c>
      <c r="H40" s="11">
        <v>17347</v>
      </c>
      <c r="I40" s="11">
        <v>13947</v>
      </c>
    </row>
    <row r="41" spans="1:9" x14ac:dyDescent="0.2">
      <c r="A41" s="11" t="s">
        <v>40</v>
      </c>
      <c r="B41" s="10" t="s">
        <v>0</v>
      </c>
      <c r="C41" s="11">
        <v>5758</v>
      </c>
      <c r="D41" s="11">
        <v>11949</v>
      </c>
      <c r="E41" s="11">
        <v>12971</v>
      </c>
      <c r="F41" s="11">
        <v>11847</v>
      </c>
      <c r="G41" s="11">
        <v>13768</v>
      </c>
      <c r="H41" s="11">
        <v>15100</v>
      </c>
      <c r="I41" s="11">
        <v>12723</v>
      </c>
    </row>
    <row r="42" spans="1:9" x14ac:dyDescent="0.2">
      <c r="A42" s="11" t="s">
        <v>41</v>
      </c>
      <c r="B42" s="10" t="s">
        <v>0</v>
      </c>
      <c r="C42" s="11">
        <v>1391</v>
      </c>
      <c r="D42" s="11">
        <v>2886</v>
      </c>
      <c r="E42" s="11">
        <v>2824</v>
      </c>
      <c r="F42" s="11">
        <v>2327</v>
      </c>
      <c r="G42" s="11">
        <v>2601</v>
      </c>
      <c r="H42" s="11">
        <v>3383</v>
      </c>
      <c r="I42" s="11">
        <v>2723</v>
      </c>
    </row>
    <row r="43" spans="1:9" x14ac:dyDescent="0.2">
      <c r="A43" s="11" t="s">
        <v>42</v>
      </c>
      <c r="B43" s="10" t="s">
        <v>0</v>
      </c>
      <c r="C43" s="11">
        <v>374</v>
      </c>
      <c r="D43" s="11">
        <v>724</v>
      </c>
      <c r="E43" s="11">
        <v>689</v>
      </c>
      <c r="F43" s="11">
        <v>641</v>
      </c>
      <c r="G43" s="11">
        <v>791</v>
      </c>
      <c r="H43" s="11">
        <v>1119</v>
      </c>
      <c r="I43" s="11">
        <v>942</v>
      </c>
    </row>
    <row r="44" spans="1:9" x14ac:dyDescent="0.2">
      <c r="A44" s="11" t="s">
        <v>43</v>
      </c>
      <c r="B44" s="10" t="s">
        <v>0</v>
      </c>
      <c r="C44" s="11">
        <v>1400</v>
      </c>
      <c r="D44" s="11">
        <v>2679</v>
      </c>
      <c r="E44" s="11">
        <v>2935</v>
      </c>
      <c r="F44" s="11">
        <v>2783</v>
      </c>
      <c r="G44" s="11">
        <v>3715</v>
      </c>
      <c r="H44" s="11">
        <v>5259</v>
      </c>
      <c r="I44" s="11">
        <v>4403</v>
      </c>
    </row>
    <row r="45" spans="1:9" x14ac:dyDescent="0.2">
      <c r="A45" s="11" t="s">
        <v>44</v>
      </c>
      <c r="B45" s="10" t="s">
        <v>0</v>
      </c>
      <c r="C45" s="11">
        <v>327</v>
      </c>
      <c r="D45" s="11">
        <v>682</v>
      </c>
      <c r="E45" s="11">
        <v>751</v>
      </c>
      <c r="F45" s="11">
        <v>696</v>
      </c>
      <c r="G45" s="11">
        <v>796</v>
      </c>
      <c r="H45" s="11">
        <v>1020</v>
      </c>
      <c r="I45" s="11">
        <v>1091</v>
      </c>
    </row>
    <row r="46" spans="1:9" x14ac:dyDescent="0.2">
      <c r="A46" s="11" t="s">
        <v>45</v>
      </c>
      <c r="B46" s="10" t="s">
        <v>0</v>
      </c>
      <c r="C46" s="11">
        <v>4137</v>
      </c>
      <c r="D46" s="11">
        <v>7304</v>
      </c>
      <c r="E46" s="11">
        <v>6680</v>
      </c>
      <c r="F46" s="11">
        <v>6920</v>
      </c>
      <c r="G46" s="11">
        <v>9135</v>
      </c>
      <c r="H46" s="11">
        <v>8670</v>
      </c>
      <c r="I46" s="11">
        <v>5447</v>
      </c>
    </row>
    <row r="47" spans="1:9" x14ac:dyDescent="0.2">
      <c r="A47" s="11" t="s">
        <v>46</v>
      </c>
      <c r="B47" s="10" t="s">
        <v>0</v>
      </c>
      <c r="C47" s="11">
        <v>27016</v>
      </c>
      <c r="D47" s="11">
        <v>49040</v>
      </c>
      <c r="E47" s="11">
        <v>53777</v>
      </c>
      <c r="F47" s="11">
        <v>45314</v>
      </c>
      <c r="G47" s="11">
        <v>44805</v>
      </c>
      <c r="H47" s="11">
        <v>46246</v>
      </c>
      <c r="I47" s="11">
        <v>38195</v>
      </c>
    </row>
    <row r="48" spans="1:9" x14ac:dyDescent="0.2">
      <c r="A48" s="11" t="s">
        <v>47</v>
      </c>
      <c r="B48" s="10" t="s">
        <v>0</v>
      </c>
      <c r="C48" s="11">
        <v>240</v>
      </c>
      <c r="D48" s="11">
        <v>577</v>
      </c>
      <c r="E48" s="11">
        <v>628</v>
      </c>
      <c r="F48" s="11">
        <v>427</v>
      </c>
      <c r="G48" s="11">
        <v>519</v>
      </c>
      <c r="H48" s="11">
        <v>712</v>
      </c>
      <c r="I48" s="11">
        <v>642</v>
      </c>
    </row>
    <row r="49" spans="1:9" x14ac:dyDescent="0.2">
      <c r="A49" s="11" t="s">
        <v>48</v>
      </c>
      <c r="B49" s="10" t="s">
        <v>0</v>
      </c>
      <c r="C49" s="11">
        <v>9988</v>
      </c>
      <c r="D49" s="11">
        <v>15000</v>
      </c>
      <c r="E49" s="11">
        <v>14275</v>
      </c>
      <c r="F49" s="11">
        <v>12889</v>
      </c>
      <c r="G49" s="11">
        <v>14357</v>
      </c>
      <c r="H49" s="11">
        <v>15760</v>
      </c>
      <c r="I49" s="11">
        <v>13310</v>
      </c>
    </row>
    <row r="50" spans="1:9" x14ac:dyDescent="0.2">
      <c r="A50" s="11" t="s">
        <v>49</v>
      </c>
      <c r="B50" s="10" t="s">
        <v>0</v>
      </c>
      <c r="C50" s="11">
        <v>878</v>
      </c>
      <c r="D50" s="11">
        <v>1884</v>
      </c>
      <c r="E50" s="11">
        <v>2187</v>
      </c>
      <c r="F50" s="11">
        <v>2075</v>
      </c>
      <c r="G50" s="11">
        <v>2376</v>
      </c>
      <c r="H50" s="11">
        <v>3203</v>
      </c>
      <c r="I50" s="11">
        <v>2715</v>
      </c>
    </row>
    <row r="51" spans="1:9" x14ac:dyDescent="0.2">
      <c r="A51" s="11" t="s">
        <v>50</v>
      </c>
      <c r="B51" s="10" t="s">
        <v>0</v>
      </c>
      <c r="C51" s="11">
        <v>453</v>
      </c>
      <c r="D51" s="11">
        <v>810</v>
      </c>
      <c r="E51" s="11">
        <v>901</v>
      </c>
      <c r="F51" s="11">
        <v>814</v>
      </c>
      <c r="G51" s="11">
        <v>962</v>
      </c>
      <c r="H51" s="11">
        <v>1120</v>
      </c>
      <c r="I51" s="11">
        <v>925</v>
      </c>
    </row>
    <row r="52" spans="1:9" x14ac:dyDescent="0.2">
      <c r="A52" s="11" t="s">
        <v>51</v>
      </c>
      <c r="B52" s="10" t="s">
        <v>0</v>
      </c>
      <c r="C52" s="11">
        <v>61061</v>
      </c>
      <c r="D52" s="11">
        <v>176509</v>
      </c>
      <c r="E52" s="11">
        <v>154195</v>
      </c>
      <c r="F52" s="11">
        <v>102300</v>
      </c>
      <c r="G52" s="11">
        <v>109395</v>
      </c>
      <c r="H52" s="11">
        <v>98362</v>
      </c>
      <c r="I52" s="11">
        <v>70733</v>
      </c>
    </row>
    <row r="53" spans="1:9" x14ac:dyDescent="0.2">
      <c r="A53" s="11" t="s">
        <v>52</v>
      </c>
      <c r="B53" s="10" t="s">
        <v>0</v>
      </c>
      <c r="C53" s="11">
        <v>978</v>
      </c>
      <c r="D53" s="11">
        <v>1769</v>
      </c>
      <c r="E53" s="11">
        <v>1723</v>
      </c>
      <c r="F53" s="11">
        <v>1763</v>
      </c>
      <c r="G53" s="11">
        <v>2485</v>
      </c>
      <c r="H53" s="11">
        <v>2801</v>
      </c>
      <c r="I53" s="11">
        <v>2028</v>
      </c>
    </row>
    <row r="54" spans="1:9" x14ac:dyDescent="0.2">
      <c r="A54" s="11" t="s">
        <v>53</v>
      </c>
      <c r="B54" s="10" t="s">
        <v>0</v>
      </c>
      <c r="C54" s="11">
        <v>106</v>
      </c>
      <c r="D54" s="11">
        <v>144</v>
      </c>
      <c r="E54" s="11">
        <v>205</v>
      </c>
      <c r="F54" s="11">
        <v>197</v>
      </c>
      <c r="G54" s="11">
        <v>289</v>
      </c>
      <c r="H54" s="11">
        <v>432</v>
      </c>
      <c r="I54" s="11">
        <v>365</v>
      </c>
    </row>
    <row r="55" spans="1:9" x14ac:dyDescent="0.2">
      <c r="A55" s="11" t="s">
        <v>54</v>
      </c>
      <c r="B55" s="10" t="s">
        <v>0</v>
      </c>
      <c r="C55" s="11">
        <v>1520</v>
      </c>
      <c r="D55" s="11">
        <v>3259</v>
      </c>
      <c r="E55" s="11">
        <v>3639</v>
      </c>
      <c r="F55" s="11">
        <v>3519</v>
      </c>
      <c r="G55" s="11">
        <v>4214</v>
      </c>
      <c r="H55" s="11">
        <v>5113</v>
      </c>
      <c r="I55" s="11">
        <v>4093</v>
      </c>
    </row>
    <row r="56" spans="1:9" x14ac:dyDescent="0.2">
      <c r="A56" s="11" t="s">
        <v>55</v>
      </c>
      <c r="B56" s="10" t="s">
        <v>0</v>
      </c>
      <c r="C56" s="11">
        <v>632</v>
      </c>
      <c r="D56" s="11">
        <v>699</v>
      </c>
      <c r="E56" s="11">
        <v>640</v>
      </c>
      <c r="F56" s="11">
        <v>584</v>
      </c>
      <c r="G56" s="11">
        <v>686</v>
      </c>
      <c r="H56" s="11">
        <v>864</v>
      </c>
      <c r="I56" s="11">
        <v>786</v>
      </c>
    </row>
    <row r="57" spans="1:9" x14ac:dyDescent="0.2">
      <c r="A57" s="11" t="s">
        <v>56</v>
      </c>
      <c r="B57" s="10" t="s">
        <v>0</v>
      </c>
      <c r="C57" s="11">
        <v>493</v>
      </c>
      <c r="D57" s="11">
        <v>1044</v>
      </c>
      <c r="E57" s="11">
        <v>1328</v>
      </c>
      <c r="F57" s="11">
        <v>1260</v>
      </c>
      <c r="G57" s="11">
        <v>1646</v>
      </c>
      <c r="H57" s="11">
        <v>2460</v>
      </c>
      <c r="I57" s="11">
        <v>2284</v>
      </c>
    </row>
    <row r="58" spans="1:9" x14ac:dyDescent="0.2">
      <c r="A58" s="11" t="s">
        <v>57</v>
      </c>
      <c r="B58" s="10" t="s">
        <v>0</v>
      </c>
      <c r="C58" s="11">
        <v>41</v>
      </c>
      <c r="D58" s="11">
        <v>82</v>
      </c>
      <c r="E58" s="11">
        <v>97</v>
      </c>
      <c r="F58" s="11">
        <v>104</v>
      </c>
      <c r="G58" s="11">
        <v>165</v>
      </c>
      <c r="H58" s="11">
        <v>305</v>
      </c>
      <c r="I58" s="11">
        <v>268</v>
      </c>
    </row>
    <row r="59" spans="1:9" x14ac:dyDescent="0.2">
      <c r="A59" s="11" t="s">
        <v>58</v>
      </c>
      <c r="B59" s="10" t="s">
        <v>0</v>
      </c>
      <c r="C59" s="11">
        <v>357</v>
      </c>
      <c r="D59" s="11">
        <v>715</v>
      </c>
      <c r="E59" s="11">
        <v>784</v>
      </c>
      <c r="F59" s="11">
        <v>744</v>
      </c>
      <c r="G59" s="11">
        <v>1058</v>
      </c>
      <c r="H59" s="11">
        <v>1385</v>
      </c>
      <c r="I59" s="11">
        <v>1214</v>
      </c>
    </row>
    <row r="60" spans="1:9" x14ac:dyDescent="0.2">
      <c r="A60" s="11" t="s">
        <v>59</v>
      </c>
      <c r="B60" s="10" t="s">
        <v>0</v>
      </c>
      <c r="C60" s="11">
        <v>394</v>
      </c>
      <c r="D60" s="11">
        <v>599</v>
      </c>
      <c r="E60" s="11">
        <v>629</v>
      </c>
      <c r="F60" s="11">
        <v>597</v>
      </c>
      <c r="G60" s="11">
        <v>740</v>
      </c>
      <c r="H60" s="11">
        <v>1027</v>
      </c>
      <c r="I60" s="11">
        <v>931</v>
      </c>
    </row>
    <row r="61" spans="1:9" x14ac:dyDescent="0.2">
      <c r="A61" s="11" t="s">
        <v>60</v>
      </c>
      <c r="B61" s="10" t="s">
        <v>0</v>
      </c>
      <c r="C61" s="11">
        <v>1499</v>
      </c>
      <c r="D61" s="11">
        <v>1364</v>
      </c>
      <c r="E61" s="11">
        <v>998</v>
      </c>
      <c r="F61" s="11">
        <v>856</v>
      </c>
      <c r="G61" s="11">
        <v>903</v>
      </c>
      <c r="H61" s="11">
        <v>1068</v>
      </c>
      <c r="I61" s="11">
        <v>1072</v>
      </c>
    </row>
    <row r="62" spans="1:9" x14ac:dyDescent="0.2">
      <c r="A62" s="11" t="s">
        <v>61</v>
      </c>
      <c r="B62" s="10" t="s">
        <v>0</v>
      </c>
      <c r="C62" s="11">
        <v>492</v>
      </c>
      <c r="D62" s="11">
        <v>874</v>
      </c>
      <c r="E62" s="11">
        <v>1014</v>
      </c>
      <c r="F62" s="11">
        <v>952</v>
      </c>
      <c r="G62" s="11">
        <v>1215</v>
      </c>
      <c r="H62" s="11">
        <v>1946</v>
      </c>
      <c r="I62" s="11">
        <v>1556</v>
      </c>
    </row>
    <row r="63" spans="1:9" x14ac:dyDescent="0.2">
      <c r="A63" s="11" t="s">
        <v>62</v>
      </c>
      <c r="B63" s="10" t="s">
        <v>0</v>
      </c>
      <c r="C63" s="11">
        <v>383</v>
      </c>
      <c r="D63" s="11">
        <v>645</v>
      </c>
      <c r="E63" s="11">
        <v>764</v>
      </c>
      <c r="F63" s="11">
        <v>711</v>
      </c>
      <c r="G63" s="11">
        <v>1070</v>
      </c>
      <c r="H63" s="11">
        <v>1499</v>
      </c>
      <c r="I63" s="11">
        <v>1294</v>
      </c>
    </row>
    <row r="64" spans="1:9" x14ac:dyDescent="0.2">
      <c r="A64" s="11" t="s">
        <v>63</v>
      </c>
      <c r="B64" s="10" t="s">
        <v>0</v>
      </c>
      <c r="C64" s="11">
        <v>3139</v>
      </c>
      <c r="D64" s="11">
        <v>5899</v>
      </c>
      <c r="E64" s="11">
        <v>7074</v>
      </c>
      <c r="F64" s="11">
        <v>6607</v>
      </c>
      <c r="G64" s="11">
        <v>8636</v>
      </c>
      <c r="H64" s="11">
        <v>11530</v>
      </c>
      <c r="I64" s="11">
        <v>10001</v>
      </c>
    </row>
    <row r="65" spans="1:9" x14ac:dyDescent="0.2">
      <c r="A65" s="11" t="s">
        <v>64</v>
      </c>
      <c r="B65" s="10" t="s">
        <v>0</v>
      </c>
      <c r="C65" s="11">
        <v>493</v>
      </c>
      <c r="D65" s="11">
        <v>997</v>
      </c>
      <c r="E65" s="11">
        <v>1187</v>
      </c>
      <c r="F65" s="11">
        <v>1085</v>
      </c>
      <c r="G65" s="11">
        <v>1444</v>
      </c>
      <c r="H65" s="11">
        <v>1916</v>
      </c>
      <c r="I65" s="11">
        <v>1548</v>
      </c>
    </row>
    <row r="66" spans="1:9" x14ac:dyDescent="0.2">
      <c r="A66" s="11" t="s">
        <v>65</v>
      </c>
      <c r="B66" s="10" t="s">
        <v>0</v>
      </c>
      <c r="C66" s="11">
        <v>5317</v>
      </c>
      <c r="D66" s="11">
        <v>9971</v>
      </c>
      <c r="E66" s="11">
        <v>11241</v>
      </c>
      <c r="F66" s="11">
        <v>10605</v>
      </c>
      <c r="G66" s="11">
        <v>13765</v>
      </c>
      <c r="H66" s="11">
        <v>18970</v>
      </c>
      <c r="I66" s="11">
        <v>17048</v>
      </c>
    </row>
    <row r="67" spans="1:9" x14ac:dyDescent="0.2">
      <c r="A67" s="11" t="s">
        <v>66</v>
      </c>
      <c r="B67" s="10" t="s">
        <v>0</v>
      </c>
      <c r="C67" s="11">
        <v>330</v>
      </c>
      <c r="D67" s="11">
        <v>613</v>
      </c>
      <c r="E67" s="11">
        <v>663</v>
      </c>
      <c r="F67" s="11">
        <v>612</v>
      </c>
      <c r="G67" s="11">
        <v>764</v>
      </c>
      <c r="H67" s="11">
        <v>986</v>
      </c>
      <c r="I67" s="11">
        <v>722</v>
      </c>
    </row>
    <row r="68" spans="1:9" ht="13.5" thickBot="1" x14ac:dyDescent="0.25">
      <c r="A68" s="13" t="s">
        <v>67</v>
      </c>
      <c r="B68" s="12" t="s">
        <v>0</v>
      </c>
      <c r="C68" s="11">
        <v>8021</v>
      </c>
      <c r="D68" s="11">
        <v>15080</v>
      </c>
      <c r="E68" s="11">
        <v>15740</v>
      </c>
      <c r="F68" s="11">
        <v>14069</v>
      </c>
      <c r="G68" s="11">
        <v>14473</v>
      </c>
      <c r="H68" s="11">
        <v>15513</v>
      </c>
      <c r="I68" s="11">
        <v>12961</v>
      </c>
    </row>
    <row r="69" spans="1:9" x14ac:dyDescent="0.2">
      <c r="A69" s="32" t="s">
        <v>68</v>
      </c>
      <c r="C69" s="14">
        <f>SUM(C2:C68)</f>
        <v>317932</v>
      </c>
      <c r="D69" s="14">
        <f>SUM(D2:D68)</f>
        <v>656630</v>
      </c>
      <c r="E69" s="14">
        <f t="shared" ref="E69:I69" si="0">SUM(E2:E68)</f>
        <v>643984</v>
      </c>
      <c r="F69" s="14">
        <f t="shared" si="0"/>
        <v>518919</v>
      </c>
      <c r="G69" s="14">
        <f t="shared" si="0"/>
        <v>568705</v>
      </c>
      <c r="H69" s="14">
        <f t="shared" si="0"/>
        <v>623448</v>
      </c>
      <c r="I69" s="14">
        <f t="shared" si="0"/>
        <v>500957</v>
      </c>
    </row>
    <row r="70" spans="1:9" x14ac:dyDescent="0.2">
      <c r="C70" s="17">
        <f>C69/$C$73</f>
        <v>8.2998505446310281E-2</v>
      </c>
      <c r="D70" s="17">
        <f t="shared" ref="D70:I70" si="1">D69/$C$73</f>
        <v>0.17141812913204937</v>
      </c>
      <c r="E70" s="17">
        <f t="shared" si="1"/>
        <v>0.16811679708659927</v>
      </c>
      <c r="F70" s="17">
        <f t="shared" si="1"/>
        <v>0.13546765172330524</v>
      </c>
      <c r="G70" s="17">
        <f t="shared" si="1"/>
        <v>0.14846465608949047</v>
      </c>
      <c r="H70" s="17">
        <f t="shared" si="1"/>
        <v>0.16275572205217231</v>
      </c>
      <c r="I70" s="17">
        <f t="shared" si="1"/>
        <v>0.13077853847007304</v>
      </c>
    </row>
    <row r="73" spans="1:9" x14ac:dyDescent="0.2">
      <c r="A73" s="32" t="s">
        <v>80</v>
      </c>
      <c r="C73" s="16">
        <f>SUM(C69:I69)</f>
        <v>3830575</v>
      </c>
    </row>
    <row r="75" spans="1:9" x14ac:dyDescent="0.2">
      <c r="I75" s="10"/>
    </row>
    <row r="82" spans="3:6" x14ac:dyDescent="0.2">
      <c r="F82" s="11"/>
    </row>
    <row r="83" spans="3:6" x14ac:dyDescent="0.2">
      <c r="F83" s="11"/>
    </row>
    <row r="84" spans="3:6" x14ac:dyDescent="0.2">
      <c r="C84" s="11"/>
      <c r="F84" s="11"/>
    </row>
    <row r="85" spans="3:6" x14ac:dyDescent="0.2">
      <c r="C85" s="11"/>
      <c r="F85" s="11"/>
    </row>
    <row r="87" spans="3:6" x14ac:dyDescent="0.2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4" sqref="L14"/>
    </sheetView>
  </sheetViews>
  <sheetFormatPr defaultColWidth="9.140625" defaultRowHeight="12.75" x14ac:dyDescent="0.2"/>
  <cols>
    <col min="1" max="1" width="19.85546875" style="11" customWidth="1"/>
    <col min="2" max="2" width="10.7109375" style="10" customWidth="1"/>
    <col min="3" max="8" width="12.7109375" style="10" customWidth="1"/>
    <col min="9" max="9" width="9.140625" style="11"/>
    <col min="10" max="10" width="8.28515625" style="11" bestFit="1" customWidth="1"/>
    <col min="11" max="11" width="9.140625" style="11"/>
    <col min="12" max="12" width="9.28515625" style="11" customWidth="1"/>
    <col min="13" max="16384" width="9.140625" style="11"/>
  </cols>
  <sheetData>
    <row r="1" spans="1:10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">
      <c r="A2" s="11" t="s">
        <v>1</v>
      </c>
      <c r="B2" s="10" t="s">
        <v>70</v>
      </c>
      <c r="C2" s="52">
        <v>2862</v>
      </c>
      <c r="D2" s="52">
        <v>5244</v>
      </c>
      <c r="E2" s="52">
        <v>6003</v>
      </c>
      <c r="F2" s="52">
        <v>6027</v>
      </c>
      <c r="G2" s="52">
        <v>9154</v>
      </c>
      <c r="H2" s="52">
        <v>8470</v>
      </c>
      <c r="I2" s="52">
        <v>6219</v>
      </c>
      <c r="J2" s="10"/>
    </row>
    <row r="3" spans="1:10" x14ac:dyDescent="0.2">
      <c r="A3" s="11" t="s">
        <v>2</v>
      </c>
      <c r="B3" s="10" t="s">
        <v>70</v>
      </c>
      <c r="C3" s="52">
        <v>19355</v>
      </c>
      <c r="D3" s="52">
        <v>38744</v>
      </c>
      <c r="E3" s="52">
        <v>39174</v>
      </c>
      <c r="F3" s="52">
        <v>36839</v>
      </c>
      <c r="G3" s="52">
        <v>48304</v>
      </c>
      <c r="H3" s="52">
        <v>46538</v>
      </c>
      <c r="I3" s="52">
        <v>34992</v>
      </c>
    </row>
    <row r="4" spans="1:10" x14ac:dyDescent="0.2">
      <c r="A4" s="11" t="s">
        <v>3</v>
      </c>
      <c r="B4" s="10" t="s">
        <v>70</v>
      </c>
      <c r="C4" s="52">
        <v>2020</v>
      </c>
      <c r="D4" s="52">
        <v>3469</v>
      </c>
      <c r="E4" s="52">
        <v>3917</v>
      </c>
      <c r="F4" s="52">
        <v>4200</v>
      </c>
      <c r="G4" s="52">
        <v>5275</v>
      </c>
      <c r="H4" s="52">
        <v>5021</v>
      </c>
      <c r="I4" s="52">
        <v>3741</v>
      </c>
    </row>
    <row r="5" spans="1:10" x14ac:dyDescent="0.2">
      <c r="A5" s="11" t="s">
        <v>4</v>
      </c>
      <c r="B5" s="10" t="s">
        <v>70</v>
      </c>
      <c r="C5" s="52">
        <v>3541</v>
      </c>
      <c r="D5" s="52">
        <v>6739</v>
      </c>
      <c r="E5" s="52">
        <v>7902</v>
      </c>
      <c r="F5" s="52">
        <v>7718</v>
      </c>
      <c r="G5" s="52">
        <v>10064</v>
      </c>
      <c r="H5" s="52">
        <v>9399</v>
      </c>
      <c r="I5" s="52">
        <v>6571</v>
      </c>
    </row>
    <row r="6" spans="1:10" x14ac:dyDescent="0.2">
      <c r="A6" s="11" t="s">
        <v>5</v>
      </c>
      <c r="B6" s="10" t="s">
        <v>70</v>
      </c>
      <c r="C6" s="52">
        <v>1694</v>
      </c>
      <c r="D6" s="52">
        <v>3105</v>
      </c>
      <c r="E6" s="52">
        <v>3243</v>
      </c>
      <c r="F6" s="52">
        <v>3645</v>
      </c>
      <c r="G6" s="52">
        <v>4730</v>
      </c>
      <c r="H6" s="52">
        <v>4735</v>
      </c>
      <c r="I6" s="52">
        <v>3428</v>
      </c>
    </row>
    <row r="7" spans="1:10" x14ac:dyDescent="0.2">
      <c r="A7" s="11" t="s">
        <v>6</v>
      </c>
      <c r="B7" s="10" t="s">
        <v>70</v>
      </c>
      <c r="C7" s="52">
        <v>8274</v>
      </c>
      <c r="D7" s="52">
        <v>14674</v>
      </c>
      <c r="E7" s="52">
        <v>16810</v>
      </c>
      <c r="F7" s="52">
        <v>17555</v>
      </c>
      <c r="G7" s="52">
        <v>23992</v>
      </c>
      <c r="H7" s="52">
        <v>20660</v>
      </c>
      <c r="I7" s="52">
        <v>16184</v>
      </c>
    </row>
    <row r="8" spans="1:10" x14ac:dyDescent="0.2">
      <c r="A8" s="11" t="s">
        <v>7</v>
      </c>
      <c r="B8" s="10" t="s">
        <v>70</v>
      </c>
      <c r="C8" s="52">
        <v>3631</v>
      </c>
      <c r="D8" s="52">
        <v>5848</v>
      </c>
      <c r="E8" s="52">
        <v>6891</v>
      </c>
      <c r="F8" s="52">
        <v>7780</v>
      </c>
      <c r="G8" s="52">
        <v>9499</v>
      </c>
      <c r="H8" s="52">
        <v>9251</v>
      </c>
      <c r="I8" s="52">
        <v>7827</v>
      </c>
    </row>
    <row r="9" spans="1:10" x14ac:dyDescent="0.2">
      <c r="A9" s="11" t="s">
        <v>8</v>
      </c>
      <c r="B9" s="10" t="s">
        <v>70</v>
      </c>
      <c r="C9" s="52">
        <v>1851</v>
      </c>
      <c r="D9" s="52">
        <v>3151</v>
      </c>
      <c r="E9" s="52">
        <v>3606</v>
      </c>
      <c r="F9" s="52">
        <v>3676</v>
      </c>
      <c r="G9" s="52">
        <v>4970</v>
      </c>
      <c r="H9" s="52">
        <v>4608</v>
      </c>
      <c r="I9" s="52">
        <v>3741</v>
      </c>
    </row>
    <row r="10" spans="1:10" x14ac:dyDescent="0.2">
      <c r="A10" s="11" t="s">
        <v>9</v>
      </c>
      <c r="B10" s="10" t="s">
        <v>70</v>
      </c>
      <c r="C10" s="52">
        <v>14428</v>
      </c>
      <c r="D10" s="52">
        <v>24187</v>
      </c>
      <c r="E10" s="52">
        <v>26488</v>
      </c>
      <c r="F10" s="52">
        <v>28874</v>
      </c>
      <c r="G10" s="52">
        <v>42203</v>
      </c>
      <c r="H10" s="52">
        <v>37339</v>
      </c>
      <c r="I10" s="52">
        <v>28905</v>
      </c>
    </row>
    <row r="11" spans="1:10" x14ac:dyDescent="0.2">
      <c r="A11" s="11" t="s">
        <v>10</v>
      </c>
      <c r="B11" s="10" t="s">
        <v>70</v>
      </c>
      <c r="C11" s="52">
        <v>6015</v>
      </c>
      <c r="D11" s="52">
        <v>10868</v>
      </c>
      <c r="E11" s="52">
        <v>12201</v>
      </c>
      <c r="F11" s="52">
        <v>12329</v>
      </c>
      <c r="G11" s="52">
        <v>16385</v>
      </c>
      <c r="H11" s="52">
        <v>14532</v>
      </c>
      <c r="I11" s="52">
        <v>10559</v>
      </c>
    </row>
    <row r="12" spans="1:10" x14ac:dyDescent="0.2">
      <c r="A12" s="11" t="s">
        <v>11</v>
      </c>
      <c r="B12" s="10" t="s">
        <v>70</v>
      </c>
      <c r="C12" s="52">
        <v>3666</v>
      </c>
      <c r="D12" s="52">
        <v>5765</v>
      </c>
      <c r="E12" s="52">
        <v>6354</v>
      </c>
      <c r="F12" s="52">
        <v>7243</v>
      </c>
      <c r="G12" s="52">
        <v>8602</v>
      </c>
      <c r="H12" s="52">
        <v>8546</v>
      </c>
      <c r="I12" s="52">
        <v>6390</v>
      </c>
    </row>
    <row r="13" spans="1:10" x14ac:dyDescent="0.2">
      <c r="A13" s="11" t="s">
        <v>12</v>
      </c>
      <c r="B13" s="10" t="s">
        <v>70</v>
      </c>
      <c r="C13" s="52">
        <v>93</v>
      </c>
      <c r="D13" s="52">
        <v>153</v>
      </c>
      <c r="E13" s="52">
        <v>215</v>
      </c>
      <c r="F13" s="52">
        <v>239</v>
      </c>
      <c r="G13" s="52">
        <v>378</v>
      </c>
      <c r="H13" s="52">
        <v>415</v>
      </c>
      <c r="I13" s="52">
        <v>348</v>
      </c>
    </row>
    <row r="14" spans="1:10" x14ac:dyDescent="0.2">
      <c r="A14" s="11" t="s">
        <v>13</v>
      </c>
      <c r="B14" s="10" t="s">
        <v>70</v>
      </c>
      <c r="C14" s="52">
        <v>1570</v>
      </c>
      <c r="D14" s="52">
        <v>2839</v>
      </c>
      <c r="E14" s="52">
        <v>3301</v>
      </c>
      <c r="F14" s="52">
        <v>3668</v>
      </c>
      <c r="G14" s="52">
        <v>5022</v>
      </c>
      <c r="H14" s="52">
        <v>4446</v>
      </c>
      <c r="I14" s="52">
        <v>3024</v>
      </c>
    </row>
    <row r="15" spans="1:10" x14ac:dyDescent="0.2">
      <c r="A15" s="11" t="s">
        <v>14</v>
      </c>
      <c r="B15" s="10" t="s">
        <v>70</v>
      </c>
      <c r="C15" s="52">
        <v>5630</v>
      </c>
      <c r="D15" s="52">
        <v>5783</v>
      </c>
      <c r="E15" s="52">
        <v>5230</v>
      </c>
      <c r="F15" s="52">
        <v>5295</v>
      </c>
      <c r="G15" s="52">
        <v>7461</v>
      </c>
      <c r="H15" s="52">
        <v>6845</v>
      </c>
      <c r="I15" s="52">
        <v>5660</v>
      </c>
    </row>
    <row r="16" spans="1:10" x14ac:dyDescent="0.2">
      <c r="A16" s="11" t="s">
        <v>15</v>
      </c>
      <c r="B16" s="10" t="s">
        <v>70</v>
      </c>
      <c r="C16" s="52">
        <v>11197</v>
      </c>
      <c r="D16" s="52">
        <v>18978</v>
      </c>
      <c r="E16" s="52">
        <v>19647</v>
      </c>
      <c r="F16" s="52">
        <v>21896</v>
      </c>
      <c r="G16" s="52">
        <v>31371</v>
      </c>
      <c r="H16" s="52">
        <v>27072</v>
      </c>
      <c r="I16" s="52">
        <v>22052</v>
      </c>
    </row>
    <row r="17" spans="1:9" x14ac:dyDescent="0.2">
      <c r="A17" s="11" t="s">
        <v>16</v>
      </c>
      <c r="B17" s="10" t="s">
        <v>70</v>
      </c>
      <c r="C17" s="52">
        <v>1138</v>
      </c>
      <c r="D17" s="52">
        <v>1907</v>
      </c>
      <c r="E17" s="52">
        <v>2119</v>
      </c>
      <c r="F17" s="52">
        <v>2380</v>
      </c>
      <c r="G17" s="52">
        <v>3102</v>
      </c>
      <c r="H17" s="52">
        <v>2797</v>
      </c>
      <c r="I17" s="52">
        <v>2140</v>
      </c>
    </row>
    <row r="18" spans="1:9" x14ac:dyDescent="0.2">
      <c r="A18" s="11" t="s">
        <v>17</v>
      </c>
      <c r="B18" s="10" t="s">
        <v>70</v>
      </c>
      <c r="C18" s="52">
        <v>2091</v>
      </c>
      <c r="D18" s="52">
        <v>3903</v>
      </c>
      <c r="E18" s="52">
        <v>4367</v>
      </c>
      <c r="F18" s="52">
        <v>4970</v>
      </c>
      <c r="G18" s="52">
        <v>6306</v>
      </c>
      <c r="H18" s="52">
        <v>5685</v>
      </c>
      <c r="I18" s="52">
        <v>4121</v>
      </c>
    </row>
    <row r="19" spans="1:9" x14ac:dyDescent="0.2">
      <c r="A19" s="11" t="s">
        <v>18</v>
      </c>
      <c r="B19" s="10" t="s">
        <v>70</v>
      </c>
      <c r="C19" s="52">
        <v>1000</v>
      </c>
      <c r="D19" s="52">
        <v>1740</v>
      </c>
      <c r="E19" s="52">
        <v>1860</v>
      </c>
      <c r="F19" s="52">
        <v>2097</v>
      </c>
      <c r="G19" s="52">
        <v>2526</v>
      </c>
      <c r="H19" s="52">
        <v>2328</v>
      </c>
      <c r="I19" s="52">
        <v>1764</v>
      </c>
    </row>
    <row r="20" spans="1:9" x14ac:dyDescent="0.2">
      <c r="A20" s="11" t="s">
        <v>19</v>
      </c>
      <c r="B20" s="10" t="s">
        <v>70</v>
      </c>
      <c r="C20" s="52">
        <v>1743</v>
      </c>
      <c r="D20" s="52">
        <v>2862</v>
      </c>
      <c r="E20" s="52">
        <v>3026</v>
      </c>
      <c r="F20" s="52">
        <v>3356</v>
      </c>
      <c r="G20" s="52">
        <v>4286</v>
      </c>
      <c r="H20" s="52">
        <v>4052</v>
      </c>
      <c r="I20" s="52">
        <v>3133</v>
      </c>
    </row>
    <row r="21" spans="1:9" x14ac:dyDescent="0.2">
      <c r="A21" s="11" t="s">
        <v>20</v>
      </c>
      <c r="B21" s="10" t="s">
        <v>70</v>
      </c>
      <c r="C21" s="52">
        <v>2205</v>
      </c>
      <c r="D21" s="52">
        <v>3789</v>
      </c>
      <c r="E21" s="52">
        <v>4335</v>
      </c>
      <c r="F21" s="52">
        <v>4646</v>
      </c>
      <c r="G21" s="52">
        <v>6223</v>
      </c>
      <c r="H21" s="52">
        <v>5960</v>
      </c>
      <c r="I21" s="52">
        <v>4742</v>
      </c>
    </row>
    <row r="22" spans="1:9" x14ac:dyDescent="0.2">
      <c r="A22" s="11" t="s">
        <v>21</v>
      </c>
      <c r="B22" s="10" t="s">
        <v>70</v>
      </c>
      <c r="C22" s="52">
        <v>5960</v>
      </c>
      <c r="D22" s="52">
        <v>10945</v>
      </c>
      <c r="E22" s="52">
        <v>12424</v>
      </c>
      <c r="F22" s="52">
        <v>12894</v>
      </c>
      <c r="G22" s="52">
        <v>16897</v>
      </c>
      <c r="H22" s="52">
        <v>15671</v>
      </c>
      <c r="I22" s="52">
        <v>13679</v>
      </c>
    </row>
    <row r="23" spans="1:9" x14ac:dyDescent="0.2">
      <c r="A23" s="11" t="s">
        <v>22</v>
      </c>
      <c r="B23" s="10" t="s">
        <v>70</v>
      </c>
      <c r="C23" s="52">
        <v>4966</v>
      </c>
      <c r="D23" s="52">
        <v>9858</v>
      </c>
      <c r="E23" s="52">
        <v>10860</v>
      </c>
      <c r="F23" s="52">
        <v>11129</v>
      </c>
      <c r="G23" s="52">
        <v>14836</v>
      </c>
      <c r="H23" s="52">
        <v>13962</v>
      </c>
      <c r="I23" s="52">
        <v>10667</v>
      </c>
    </row>
    <row r="24" spans="1:9" x14ac:dyDescent="0.2">
      <c r="A24" s="11" t="s">
        <v>23</v>
      </c>
      <c r="B24" s="10" t="s">
        <v>70</v>
      </c>
      <c r="C24" s="52">
        <v>9787</v>
      </c>
      <c r="D24" s="52">
        <v>17796</v>
      </c>
      <c r="E24" s="52">
        <v>19799</v>
      </c>
      <c r="F24" s="52">
        <v>19791</v>
      </c>
      <c r="G24" s="52">
        <v>28264</v>
      </c>
      <c r="H24" s="52">
        <v>26998</v>
      </c>
      <c r="I24" s="52">
        <v>21166</v>
      </c>
    </row>
    <row r="25" spans="1:9" x14ac:dyDescent="0.2">
      <c r="A25" s="11" t="s">
        <v>24</v>
      </c>
      <c r="B25" s="10" t="s">
        <v>70</v>
      </c>
      <c r="C25" s="52">
        <v>850</v>
      </c>
      <c r="D25" s="52">
        <v>1497</v>
      </c>
      <c r="E25" s="52">
        <v>1636</v>
      </c>
      <c r="F25" s="52">
        <v>1757</v>
      </c>
      <c r="G25" s="52">
        <v>2518</v>
      </c>
      <c r="H25" s="52">
        <v>2295</v>
      </c>
      <c r="I25" s="52">
        <v>1579</v>
      </c>
    </row>
    <row r="26" spans="1:9" x14ac:dyDescent="0.2">
      <c r="A26" s="11" t="s">
        <v>25</v>
      </c>
      <c r="B26" s="10" t="s">
        <v>70</v>
      </c>
      <c r="C26" s="52">
        <v>5553</v>
      </c>
      <c r="D26" s="52">
        <v>9428</v>
      </c>
      <c r="E26" s="52">
        <v>10287</v>
      </c>
      <c r="F26" s="52">
        <v>10844</v>
      </c>
      <c r="G26" s="52">
        <v>13836</v>
      </c>
      <c r="H26" s="52">
        <v>12074</v>
      </c>
      <c r="I26" s="52">
        <v>9044</v>
      </c>
    </row>
    <row r="27" spans="1:9" x14ac:dyDescent="0.2">
      <c r="A27" s="11" t="s">
        <v>26</v>
      </c>
      <c r="B27" s="10" t="s">
        <v>70</v>
      </c>
      <c r="C27" s="52">
        <v>2901</v>
      </c>
      <c r="D27" s="52">
        <v>5827</v>
      </c>
      <c r="E27" s="52">
        <v>6211</v>
      </c>
      <c r="F27" s="52">
        <v>6777</v>
      </c>
      <c r="G27" s="52">
        <v>7927</v>
      </c>
      <c r="H27" s="52">
        <v>6889</v>
      </c>
      <c r="I27" s="52">
        <v>4758</v>
      </c>
    </row>
    <row r="28" spans="1:9" x14ac:dyDescent="0.2">
      <c r="A28" s="11" t="s">
        <v>27</v>
      </c>
      <c r="B28" s="10" t="s">
        <v>70</v>
      </c>
      <c r="C28" s="52">
        <v>104</v>
      </c>
      <c r="D28" s="52">
        <v>139</v>
      </c>
      <c r="E28" s="52">
        <v>192</v>
      </c>
      <c r="F28" s="52">
        <v>280</v>
      </c>
      <c r="G28" s="52">
        <v>439</v>
      </c>
      <c r="H28" s="52">
        <v>500</v>
      </c>
      <c r="I28" s="52">
        <v>378</v>
      </c>
    </row>
    <row r="29" spans="1:9" x14ac:dyDescent="0.2">
      <c r="A29" s="11" t="s">
        <v>28</v>
      </c>
      <c r="B29" s="10" t="s">
        <v>70</v>
      </c>
      <c r="C29" s="52">
        <v>4326</v>
      </c>
      <c r="D29" s="52">
        <v>8125</v>
      </c>
      <c r="E29" s="52">
        <v>9056</v>
      </c>
      <c r="F29" s="52">
        <v>9878</v>
      </c>
      <c r="G29" s="52">
        <v>12494</v>
      </c>
      <c r="H29" s="52">
        <v>11154</v>
      </c>
      <c r="I29" s="52">
        <v>9387</v>
      </c>
    </row>
    <row r="30" spans="1:9" x14ac:dyDescent="0.2">
      <c r="A30" s="11" t="s">
        <v>29</v>
      </c>
      <c r="B30" s="10" t="s">
        <v>70</v>
      </c>
      <c r="C30" s="52">
        <v>548</v>
      </c>
      <c r="D30" s="52">
        <v>991</v>
      </c>
      <c r="E30" s="52">
        <v>1008</v>
      </c>
      <c r="F30" s="52">
        <v>1151</v>
      </c>
      <c r="G30" s="52">
        <v>1484</v>
      </c>
      <c r="H30" s="52">
        <v>1322</v>
      </c>
      <c r="I30" s="52">
        <v>985</v>
      </c>
    </row>
    <row r="31" spans="1:9" x14ac:dyDescent="0.2">
      <c r="A31" s="11" t="s">
        <v>30</v>
      </c>
      <c r="B31" s="10" t="s">
        <v>70</v>
      </c>
      <c r="C31" s="52">
        <v>1009</v>
      </c>
      <c r="D31" s="52">
        <v>1755</v>
      </c>
      <c r="E31" s="52">
        <v>1771</v>
      </c>
      <c r="F31" s="52">
        <v>2073</v>
      </c>
      <c r="G31" s="52">
        <v>2220</v>
      </c>
      <c r="H31" s="52">
        <v>1949</v>
      </c>
      <c r="I31" s="52">
        <v>1343</v>
      </c>
    </row>
    <row r="32" spans="1:9" x14ac:dyDescent="0.2">
      <c r="A32" s="11" t="s">
        <v>31</v>
      </c>
      <c r="B32" s="10" t="s">
        <v>70</v>
      </c>
      <c r="C32" s="52">
        <v>1410</v>
      </c>
      <c r="D32" s="52">
        <v>2306</v>
      </c>
      <c r="E32" s="52">
        <v>2493</v>
      </c>
      <c r="F32" s="52">
        <v>2786</v>
      </c>
      <c r="G32" s="52">
        <v>3692</v>
      </c>
      <c r="H32" s="52">
        <v>3488</v>
      </c>
      <c r="I32" s="52">
        <v>2772</v>
      </c>
    </row>
    <row r="33" spans="1:9" x14ac:dyDescent="0.2">
      <c r="A33" s="11" t="s">
        <v>32</v>
      </c>
      <c r="B33" s="10" t="s">
        <v>70</v>
      </c>
      <c r="C33" s="52">
        <v>2480</v>
      </c>
      <c r="D33" s="52">
        <v>3565</v>
      </c>
      <c r="E33" s="52">
        <v>3976</v>
      </c>
      <c r="F33" s="52">
        <v>4427</v>
      </c>
      <c r="G33" s="52">
        <v>5377</v>
      </c>
      <c r="H33" s="52">
        <v>5219</v>
      </c>
      <c r="I33" s="52">
        <v>3857</v>
      </c>
    </row>
    <row r="34" spans="1:9" x14ac:dyDescent="0.2">
      <c r="A34" s="11" t="s">
        <v>33</v>
      </c>
      <c r="B34" s="10" t="s">
        <v>70</v>
      </c>
      <c r="C34" s="52">
        <v>1390</v>
      </c>
      <c r="D34" s="52">
        <v>2362</v>
      </c>
      <c r="E34" s="52">
        <v>2832</v>
      </c>
      <c r="F34" s="52">
        <v>2865</v>
      </c>
      <c r="G34" s="52">
        <v>3722</v>
      </c>
      <c r="H34" s="52">
        <v>3592</v>
      </c>
      <c r="I34" s="52">
        <v>2698</v>
      </c>
    </row>
    <row r="35" spans="1:9" x14ac:dyDescent="0.2">
      <c r="A35" s="11" t="s">
        <v>34</v>
      </c>
      <c r="B35" s="10" t="s">
        <v>70</v>
      </c>
      <c r="C35" s="52">
        <v>695</v>
      </c>
      <c r="D35" s="52">
        <v>1265</v>
      </c>
      <c r="E35" s="52">
        <v>1369</v>
      </c>
      <c r="F35" s="52">
        <v>1525</v>
      </c>
      <c r="G35" s="52">
        <v>1979</v>
      </c>
      <c r="H35" s="52">
        <v>1784</v>
      </c>
      <c r="I35" s="52">
        <v>1420</v>
      </c>
    </row>
    <row r="36" spans="1:9" x14ac:dyDescent="0.2">
      <c r="A36" s="11" t="s">
        <v>35</v>
      </c>
      <c r="B36" s="10" t="s">
        <v>70</v>
      </c>
      <c r="C36" s="52">
        <v>4311</v>
      </c>
      <c r="D36" s="52">
        <v>7276</v>
      </c>
      <c r="E36" s="52">
        <v>7805</v>
      </c>
      <c r="F36" s="52">
        <v>8238</v>
      </c>
      <c r="G36" s="52">
        <v>10017</v>
      </c>
      <c r="H36" s="52">
        <v>8246</v>
      </c>
      <c r="I36" s="52">
        <v>6409</v>
      </c>
    </row>
    <row r="37" spans="1:9" x14ac:dyDescent="0.2">
      <c r="A37" s="11" t="s">
        <v>36</v>
      </c>
      <c r="B37" s="10" t="s">
        <v>70</v>
      </c>
      <c r="C37" s="52">
        <v>13244</v>
      </c>
      <c r="D37" s="52">
        <v>24474</v>
      </c>
      <c r="E37" s="52">
        <v>26189</v>
      </c>
      <c r="F37" s="52">
        <v>25346</v>
      </c>
      <c r="G37" s="52">
        <v>33006</v>
      </c>
      <c r="H37" s="52">
        <v>32666</v>
      </c>
      <c r="I37" s="52">
        <v>28986</v>
      </c>
    </row>
    <row r="38" spans="1:9" x14ac:dyDescent="0.2">
      <c r="A38" s="11" t="s">
        <v>37</v>
      </c>
      <c r="B38" s="10" t="s">
        <v>70</v>
      </c>
      <c r="C38" s="52">
        <v>2426</v>
      </c>
      <c r="D38" s="52">
        <v>3829</v>
      </c>
      <c r="E38" s="52">
        <v>4275</v>
      </c>
      <c r="F38" s="52">
        <v>4605</v>
      </c>
      <c r="G38" s="52">
        <v>5543</v>
      </c>
      <c r="H38" s="52">
        <v>5352</v>
      </c>
      <c r="I38" s="52">
        <v>4118</v>
      </c>
    </row>
    <row r="39" spans="1:9" x14ac:dyDescent="0.2">
      <c r="A39" s="11" t="s">
        <v>38</v>
      </c>
      <c r="B39" s="10" t="s">
        <v>70</v>
      </c>
      <c r="C39" s="52">
        <v>3502</v>
      </c>
      <c r="D39" s="52">
        <v>6206</v>
      </c>
      <c r="E39" s="52">
        <v>7132</v>
      </c>
      <c r="F39" s="52">
        <v>7796</v>
      </c>
      <c r="G39" s="52">
        <v>9916</v>
      </c>
      <c r="H39" s="52">
        <v>9693</v>
      </c>
      <c r="I39" s="52">
        <v>8427</v>
      </c>
    </row>
    <row r="40" spans="1:9" x14ac:dyDescent="0.2">
      <c r="A40" s="11" t="s">
        <v>39</v>
      </c>
      <c r="B40" s="10" t="s">
        <v>70</v>
      </c>
      <c r="C40" s="52">
        <v>6104</v>
      </c>
      <c r="D40" s="52">
        <v>11538</v>
      </c>
      <c r="E40" s="52">
        <v>12627</v>
      </c>
      <c r="F40" s="52">
        <v>13281</v>
      </c>
      <c r="G40" s="52">
        <v>17491</v>
      </c>
      <c r="H40" s="52">
        <v>15938</v>
      </c>
      <c r="I40" s="52">
        <v>12836</v>
      </c>
    </row>
    <row r="41" spans="1:9" x14ac:dyDescent="0.2">
      <c r="A41" s="11" t="s">
        <v>40</v>
      </c>
      <c r="B41" s="10" t="s">
        <v>70</v>
      </c>
      <c r="C41" s="52">
        <v>6078</v>
      </c>
      <c r="D41" s="52">
        <v>11288</v>
      </c>
      <c r="E41" s="52">
        <v>13119</v>
      </c>
      <c r="F41" s="52">
        <v>14016</v>
      </c>
      <c r="G41" s="52">
        <v>18443</v>
      </c>
      <c r="H41" s="52">
        <v>15570</v>
      </c>
      <c r="I41" s="52">
        <v>12716</v>
      </c>
    </row>
    <row r="42" spans="1:9" x14ac:dyDescent="0.2">
      <c r="A42" s="11" t="s">
        <v>41</v>
      </c>
      <c r="B42" s="10" t="s">
        <v>70</v>
      </c>
      <c r="C42" s="52">
        <v>2940</v>
      </c>
      <c r="D42" s="52">
        <v>4937</v>
      </c>
      <c r="E42" s="52">
        <v>6327</v>
      </c>
      <c r="F42" s="52">
        <v>6388</v>
      </c>
      <c r="G42" s="52">
        <v>8247</v>
      </c>
      <c r="H42" s="52">
        <v>8461</v>
      </c>
      <c r="I42" s="52">
        <v>6588</v>
      </c>
    </row>
    <row r="43" spans="1:9" x14ac:dyDescent="0.2">
      <c r="A43" s="11" t="s">
        <v>42</v>
      </c>
      <c r="B43" s="10" t="s">
        <v>70</v>
      </c>
      <c r="C43" s="52">
        <v>1067</v>
      </c>
      <c r="D43" s="52">
        <v>1864</v>
      </c>
      <c r="E43" s="52">
        <v>2171</v>
      </c>
      <c r="F43" s="52">
        <v>2458</v>
      </c>
      <c r="G43" s="52">
        <v>3204</v>
      </c>
      <c r="H43" s="52">
        <v>3079</v>
      </c>
      <c r="I43" s="52">
        <v>2311</v>
      </c>
    </row>
    <row r="44" spans="1:9" x14ac:dyDescent="0.2">
      <c r="A44" s="11" t="s">
        <v>43</v>
      </c>
      <c r="B44" s="10" t="s">
        <v>70</v>
      </c>
      <c r="C44" s="52">
        <v>3019</v>
      </c>
      <c r="D44" s="52">
        <v>5015</v>
      </c>
      <c r="E44" s="52">
        <v>4977</v>
      </c>
      <c r="F44" s="52">
        <v>5514</v>
      </c>
      <c r="G44" s="52">
        <v>7211</v>
      </c>
      <c r="H44" s="52">
        <v>6967</v>
      </c>
      <c r="I44" s="52">
        <v>5632</v>
      </c>
    </row>
    <row r="45" spans="1:9" x14ac:dyDescent="0.2">
      <c r="A45" s="11" t="s">
        <v>44</v>
      </c>
      <c r="B45" s="10" t="s">
        <v>70</v>
      </c>
      <c r="C45" s="52">
        <v>1170</v>
      </c>
      <c r="D45" s="52">
        <v>2356</v>
      </c>
      <c r="E45" s="52">
        <v>2468</v>
      </c>
      <c r="F45" s="52">
        <v>2700</v>
      </c>
      <c r="G45" s="52">
        <v>3739</v>
      </c>
      <c r="H45" s="52">
        <v>3377</v>
      </c>
      <c r="I45" s="52">
        <v>2827</v>
      </c>
    </row>
    <row r="46" spans="1:9" x14ac:dyDescent="0.2">
      <c r="A46" s="11" t="s">
        <v>45</v>
      </c>
      <c r="B46" s="10" t="s">
        <v>70</v>
      </c>
      <c r="C46" s="52">
        <v>2616</v>
      </c>
      <c r="D46" s="52">
        <v>5173</v>
      </c>
      <c r="E46" s="52">
        <v>6165</v>
      </c>
      <c r="F46" s="52">
        <v>6461</v>
      </c>
      <c r="G46" s="52">
        <v>9399</v>
      </c>
      <c r="H46" s="52">
        <v>8268</v>
      </c>
      <c r="I46" s="52">
        <v>5123</v>
      </c>
    </row>
    <row r="47" spans="1:9" x14ac:dyDescent="0.2">
      <c r="A47" s="11" t="s">
        <v>46</v>
      </c>
      <c r="B47" s="10" t="s">
        <v>70</v>
      </c>
      <c r="C47" s="52">
        <v>14478</v>
      </c>
      <c r="D47" s="52">
        <v>26032</v>
      </c>
      <c r="E47" s="52">
        <v>28157</v>
      </c>
      <c r="F47" s="52">
        <v>29350</v>
      </c>
      <c r="G47" s="52">
        <v>41439</v>
      </c>
      <c r="H47" s="52">
        <v>37465</v>
      </c>
      <c r="I47" s="52">
        <v>31364</v>
      </c>
    </row>
    <row r="48" spans="1:9" x14ac:dyDescent="0.2">
      <c r="A48" s="11" t="s">
        <v>47</v>
      </c>
      <c r="B48" s="10" t="s">
        <v>70</v>
      </c>
      <c r="C48" s="52">
        <v>417</v>
      </c>
      <c r="D48" s="52">
        <v>814</v>
      </c>
      <c r="E48" s="52">
        <v>936</v>
      </c>
      <c r="F48" s="52">
        <v>879</v>
      </c>
      <c r="G48" s="52">
        <v>1234</v>
      </c>
      <c r="H48" s="52">
        <v>1223</v>
      </c>
      <c r="I48" s="52">
        <v>1059</v>
      </c>
    </row>
    <row r="49" spans="1:9" x14ac:dyDescent="0.2">
      <c r="A49" s="11" t="s">
        <v>48</v>
      </c>
      <c r="B49" s="10" t="s">
        <v>70</v>
      </c>
      <c r="C49" s="52">
        <v>6301</v>
      </c>
      <c r="D49" s="52">
        <v>11266</v>
      </c>
      <c r="E49" s="52">
        <v>11829</v>
      </c>
      <c r="F49" s="52">
        <v>12565</v>
      </c>
      <c r="G49" s="52">
        <v>17483</v>
      </c>
      <c r="H49" s="52">
        <v>15352</v>
      </c>
      <c r="I49" s="52">
        <v>12151</v>
      </c>
    </row>
    <row r="50" spans="1:9" x14ac:dyDescent="0.2">
      <c r="A50" s="11" t="s">
        <v>49</v>
      </c>
      <c r="B50" s="10" t="s">
        <v>70</v>
      </c>
      <c r="C50" s="52">
        <v>2039</v>
      </c>
      <c r="D50" s="52">
        <v>3649</v>
      </c>
      <c r="E50" s="52">
        <v>4618</v>
      </c>
      <c r="F50" s="52">
        <v>4828</v>
      </c>
      <c r="G50" s="52">
        <v>6222</v>
      </c>
      <c r="H50" s="52">
        <v>5940</v>
      </c>
      <c r="I50" s="52">
        <v>4651</v>
      </c>
    </row>
    <row r="51" spans="1:9" x14ac:dyDescent="0.2">
      <c r="A51" s="11" t="s">
        <v>50</v>
      </c>
      <c r="B51" s="10" t="s">
        <v>70</v>
      </c>
      <c r="C51" s="52">
        <v>1453</v>
      </c>
      <c r="D51" s="52">
        <v>2629</v>
      </c>
      <c r="E51" s="52">
        <v>3033</v>
      </c>
      <c r="F51" s="52">
        <v>3261</v>
      </c>
      <c r="G51" s="52">
        <v>4272</v>
      </c>
      <c r="H51" s="52">
        <v>3769</v>
      </c>
      <c r="I51" s="52">
        <v>2560</v>
      </c>
    </row>
    <row r="52" spans="1:9" x14ac:dyDescent="0.2">
      <c r="A52" s="11" t="s">
        <v>51</v>
      </c>
      <c r="B52" s="10" t="s">
        <v>70</v>
      </c>
      <c r="C52" s="52">
        <v>10203</v>
      </c>
      <c r="D52" s="52">
        <v>25960</v>
      </c>
      <c r="E52" s="52">
        <v>23491</v>
      </c>
      <c r="F52" s="52">
        <v>18691</v>
      </c>
      <c r="G52" s="52">
        <v>20735</v>
      </c>
      <c r="H52" s="52">
        <v>18004</v>
      </c>
      <c r="I52" s="52">
        <v>14198</v>
      </c>
    </row>
    <row r="53" spans="1:9" x14ac:dyDescent="0.2">
      <c r="A53" s="11" t="s">
        <v>52</v>
      </c>
      <c r="B53" s="10" t="s">
        <v>70</v>
      </c>
      <c r="C53" s="52">
        <v>1273</v>
      </c>
      <c r="D53" s="52">
        <v>2417</v>
      </c>
      <c r="E53" s="52">
        <v>2968</v>
      </c>
      <c r="F53" s="52">
        <v>3253</v>
      </c>
      <c r="G53" s="52">
        <v>5237</v>
      </c>
      <c r="H53" s="52">
        <v>4619</v>
      </c>
      <c r="I53" s="52">
        <v>3185</v>
      </c>
    </row>
    <row r="54" spans="1:9" x14ac:dyDescent="0.2">
      <c r="A54" s="11" t="s">
        <v>53</v>
      </c>
      <c r="B54" s="10" t="s">
        <v>70</v>
      </c>
      <c r="C54" s="52">
        <v>522</v>
      </c>
      <c r="D54" s="52">
        <v>938</v>
      </c>
      <c r="E54" s="52">
        <v>1038</v>
      </c>
      <c r="F54" s="52">
        <v>1080</v>
      </c>
      <c r="G54" s="52">
        <v>1568</v>
      </c>
      <c r="H54" s="52">
        <v>1604</v>
      </c>
      <c r="I54" s="52">
        <v>1289</v>
      </c>
    </row>
    <row r="55" spans="1:9" x14ac:dyDescent="0.2">
      <c r="A55" s="11" t="s">
        <v>54</v>
      </c>
      <c r="B55" s="10" t="s">
        <v>70</v>
      </c>
      <c r="C55" s="52">
        <v>3749</v>
      </c>
      <c r="D55" s="52">
        <v>6290</v>
      </c>
      <c r="E55" s="52">
        <v>7367</v>
      </c>
      <c r="F55" s="52">
        <v>8408</v>
      </c>
      <c r="G55" s="52">
        <v>10558</v>
      </c>
      <c r="H55" s="52">
        <v>9598</v>
      </c>
      <c r="I55" s="52">
        <v>7230</v>
      </c>
    </row>
    <row r="56" spans="1:9" x14ac:dyDescent="0.2">
      <c r="A56" s="11" t="s">
        <v>55</v>
      </c>
      <c r="B56" s="10" t="s">
        <v>70</v>
      </c>
      <c r="C56" s="52">
        <v>1261</v>
      </c>
      <c r="D56" s="52">
        <v>1870</v>
      </c>
      <c r="E56" s="52">
        <v>2246</v>
      </c>
      <c r="F56" s="52">
        <v>2373</v>
      </c>
      <c r="G56" s="52">
        <v>3052</v>
      </c>
      <c r="H56" s="52">
        <v>2810</v>
      </c>
      <c r="I56" s="52">
        <v>2367</v>
      </c>
    </row>
    <row r="57" spans="1:9" x14ac:dyDescent="0.2">
      <c r="A57" s="11" t="s">
        <v>56</v>
      </c>
      <c r="B57" s="10" t="s">
        <v>70</v>
      </c>
      <c r="C57" s="52">
        <v>2327</v>
      </c>
      <c r="D57" s="52">
        <v>3931</v>
      </c>
      <c r="E57" s="52">
        <v>4387</v>
      </c>
      <c r="F57" s="52">
        <v>4928</v>
      </c>
      <c r="G57" s="52">
        <v>6271</v>
      </c>
      <c r="H57" s="52">
        <v>6303</v>
      </c>
      <c r="I57" s="52">
        <v>4705</v>
      </c>
    </row>
    <row r="58" spans="1:9" x14ac:dyDescent="0.2">
      <c r="A58" s="11" t="s">
        <v>57</v>
      </c>
      <c r="B58" s="10" t="s">
        <v>70</v>
      </c>
      <c r="C58" s="52">
        <v>154</v>
      </c>
      <c r="D58" s="52">
        <v>266</v>
      </c>
      <c r="E58" s="52">
        <v>363</v>
      </c>
      <c r="F58" s="52">
        <v>374</v>
      </c>
      <c r="G58" s="52">
        <v>563</v>
      </c>
      <c r="H58" s="52">
        <v>659</v>
      </c>
      <c r="I58" s="52">
        <v>465</v>
      </c>
    </row>
    <row r="59" spans="1:9" x14ac:dyDescent="0.2">
      <c r="A59" s="11" t="s">
        <v>58</v>
      </c>
      <c r="B59" s="10" t="s">
        <v>70</v>
      </c>
      <c r="C59" s="52">
        <v>1176</v>
      </c>
      <c r="D59" s="52">
        <v>2165</v>
      </c>
      <c r="E59" s="52">
        <v>2407</v>
      </c>
      <c r="F59" s="52">
        <v>2378</v>
      </c>
      <c r="G59" s="52">
        <v>3493</v>
      </c>
      <c r="H59" s="52">
        <v>3336</v>
      </c>
      <c r="I59" s="52">
        <v>2629</v>
      </c>
    </row>
    <row r="60" spans="1:9" x14ac:dyDescent="0.2">
      <c r="A60" s="11" t="s">
        <v>59</v>
      </c>
      <c r="B60" s="10" t="s">
        <v>70</v>
      </c>
      <c r="C60" s="52">
        <v>1119</v>
      </c>
      <c r="D60" s="52">
        <v>1979</v>
      </c>
      <c r="E60" s="52">
        <v>2460</v>
      </c>
      <c r="F60" s="52">
        <v>2552</v>
      </c>
      <c r="G60" s="52">
        <v>3495</v>
      </c>
      <c r="H60" s="52">
        <v>3581</v>
      </c>
      <c r="I60" s="52">
        <v>2930</v>
      </c>
    </row>
    <row r="61" spans="1:9" x14ac:dyDescent="0.2">
      <c r="A61" s="11" t="s">
        <v>60</v>
      </c>
      <c r="B61" s="10" t="s">
        <v>70</v>
      </c>
      <c r="C61" s="52">
        <v>1374</v>
      </c>
      <c r="D61" s="52">
        <v>1755</v>
      </c>
      <c r="E61" s="52">
        <v>1916</v>
      </c>
      <c r="F61" s="52">
        <v>1984</v>
      </c>
      <c r="G61" s="52">
        <v>2646</v>
      </c>
      <c r="H61" s="52">
        <v>2407</v>
      </c>
      <c r="I61" s="52">
        <v>2333</v>
      </c>
    </row>
    <row r="62" spans="1:9" x14ac:dyDescent="0.2">
      <c r="A62" s="11" t="s">
        <v>61</v>
      </c>
      <c r="B62" s="10" t="s">
        <v>70</v>
      </c>
      <c r="C62" s="52">
        <v>1270</v>
      </c>
      <c r="D62" s="52">
        <v>2222</v>
      </c>
      <c r="E62" s="52">
        <v>2711</v>
      </c>
      <c r="F62" s="52">
        <v>3048</v>
      </c>
      <c r="G62" s="52">
        <v>3897</v>
      </c>
      <c r="H62" s="52">
        <v>4034</v>
      </c>
      <c r="I62" s="52">
        <v>2991</v>
      </c>
    </row>
    <row r="63" spans="1:9" x14ac:dyDescent="0.2">
      <c r="A63" s="11" t="s">
        <v>62</v>
      </c>
      <c r="B63" s="10" t="s">
        <v>70</v>
      </c>
      <c r="C63" s="52">
        <v>1012</v>
      </c>
      <c r="D63" s="52">
        <v>1736</v>
      </c>
      <c r="E63" s="52">
        <v>2060</v>
      </c>
      <c r="F63" s="52">
        <v>2180</v>
      </c>
      <c r="G63" s="52">
        <v>3089</v>
      </c>
      <c r="H63" s="52">
        <v>3018</v>
      </c>
      <c r="I63" s="52">
        <v>2169</v>
      </c>
    </row>
    <row r="64" spans="1:9" x14ac:dyDescent="0.2">
      <c r="A64" s="11" t="s">
        <v>63</v>
      </c>
      <c r="B64" s="10" t="s">
        <v>70</v>
      </c>
      <c r="C64" s="52">
        <v>5447</v>
      </c>
      <c r="D64" s="52">
        <v>9729</v>
      </c>
      <c r="E64" s="52">
        <v>11154</v>
      </c>
      <c r="F64" s="52">
        <v>11613</v>
      </c>
      <c r="G64" s="52">
        <v>13864</v>
      </c>
      <c r="H64" s="52">
        <v>12488</v>
      </c>
      <c r="I64" s="52">
        <v>8660</v>
      </c>
    </row>
    <row r="65" spans="1:9" x14ac:dyDescent="0.2">
      <c r="A65" s="11" t="s">
        <v>64</v>
      </c>
      <c r="B65" s="10" t="s">
        <v>70</v>
      </c>
      <c r="C65" s="52">
        <v>1330</v>
      </c>
      <c r="D65" s="52">
        <v>2493</v>
      </c>
      <c r="E65" s="52">
        <v>2776</v>
      </c>
      <c r="F65" s="52">
        <v>2895</v>
      </c>
      <c r="G65" s="52">
        <v>4515</v>
      </c>
      <c r="H65" s="52">
        <v>4371</v>
      </c>
      <c r="I65" s="52">
        <v>3310</v>
      </c>
    </row>
    <row r="66" spans="1:9" x14ac:dyDescent="0.2">
      <c r="A66" s="11" t="s">
        <v>65</v>
      </c>
      <c r="B66" s="10" t="s">
        <v>70</v>
      </c>
      <c r="C66" s="52">
        <v>9119</v>
      </c>
      <c r="D66" s="52">
        <v>16488</v>
      </c>
      <c r="E66" s="52">
        <v>18340</v>
      </c>
      <c r="F66" s="52">
        <v>19344</v>
      </c>
      <c r="G66" s="52">
        <v>25929</v>
      </c>
      <c r="H66" s="52">
        <v>23720</v>
      </c>
      <c r="I66" s="52">
        <v>18001</v>
      </c>
    </row>
    <row r="67" spans="1:9" x14ac:dyDescent="0.2">
      <c r="A67" s="11" t="s">
        <v>66</v>
      </c>
      <c r="B67" s="10" t="s">
        <v>70</v>
      </c>
      <c r="C67" s="52">
        <v>754</v>
      </c>
      <c r="D67" s="52">
        <v>1381</v>
      </c>
      <c r="E67" s="52">
        <v>1540</v>
      </c>
      <c r="F67" s="52">
        <v>1747</v>
      </c>
      <c r="G67" s="52">
        <v>2151</v>
      </c>
      <c r="H67" s="52">
        <v>2060</v>
      </c>
      <c r="I67" s="52">
        <v>1712</v>
      </c>
    </row>
    <row r="68" spans="1:9" ht="13.5" thickBot="1" x14ac:dyDescent="0.25">
      <c r="A68" s="13" t="s">
        <v>67</v>
      </c>
      <c r="B68" s="12" t="s">
        <v>70</v>
      </c>
      <c r="C68" s="52">
        <v>11410</v>
      </c>
      <c r="D68" s="52">
        <v>21522</v>
      </c>
      <c r="E68" s="52">
        <v>25145</v>
      </c>
      <c r="F68" s="52">
        <v>25614</v>
      </c>
      <c r="G68" s="52">
        <v>34404</v>
      </c>
      <c r="H68" s="52">
        <v>28821</v>
      </c>
      <c r="I68" s="52">
        <v>21418</v>
      </c>
    </row>
    <row r="69" spans="1:9" x14ac:dyDescent="0.2">
      <c r="A69" s="32" t="s">
        <v>68</v>
      </c>
      <c r="C69" s="14">
        <f>SUM(C2:C68)</f>
        <v>260648</v>
      </c>
      <c r="D69" s="14">
        <f t="shared" ref="D69:I69" si="0">SUM(D2:D68)</f>
        <v>471095</v>
      </c>
      <c r="E69" s="14">
        <f t="shared" si="0"/>
        <v>514800</v>
      </c>
      <c r="F69" s="14">
        <f t="shared" si="0"/>
        <v>532758</v>
      </c>
      <c r="G69" s="14">
        <f t="shared" si="0"/>
        <v>707871</v>
      </c>
      <c r="H69" s="14">
        <f t="shared" si="0"/>
        <v>648395</v>
      </c>
      <c r="I69" s="14">
        <f t="shared" si="0"/>
        <v>506624</v>
      </c>
    </row>
    <row r="70" spans="1:9" x14ac:dyDescent="0.2">
      <c r="C70" s="17">
        <f>C69/$C$72</f>
        <v>7.1563517673839727E-2</v>
      </c>
      <c r="D70" s="17">
        <f t="shared" ref="D70:I70" si="1">D69/$C$72</f>
        <v>0.12934384824958384</v>
      </c>
      <c r="E70" s="17">
        <f t="shared" si="1"/>
        <v>0.14134349351804998</v>
      </c>
      <c r="F70" s="17">
        <f t="shared" si="1"/>
        <v>0.14627404219053861</v>
      </c>
      <c r="G70" s="17">
        <f t="shared" si="1"/>
        <v>0.19435306934754382</v>
      </c>
      <c r="H70" s="17">
        <f t="shared" si="1"/>
        <v>0.17802333815003113</v>
      </c>
      <c r="I70" s="17">
        <f t="shared" si="1"/>
        <v>0.13909869087041288</v>
      </c>
    </row>
    <row r="72" spans="1:9" x14ac:dyDescent="0.2">
      <c r="A72" s="32" t="s">
        <v>80</v>
      </c>
      <c r="C72" s="16">
        <f>SUM(C69:I69)</f>
        <v>3642191</v>
      </c>
    </row>
    <row r="75" spans="1:9" x14ac:dyDescent="0.2">
      <c r="I75" s="10"/>
    </row>
    <row r="80" spans="1:9" x14ac:dyDescent="0.2">
      <c r="H80" s="11"/>
    </row>
    <row r="81" spans="3:8" x14ac:dyDescent="0.2">
      <c r="H81" s="11"/>
    </row>
    <row r="82" spans="3:8" x14ac:dyDescent="0.2">
      <c r="H82" s="11"/>
    </row>
    <row r="83" spans="3:8" x14ac:dyDescent="0.2">
      <c r="H83" s="11"/>
    </row>
    <row r="84" spans="3:8" x14ac:dyDescent="0.2">
      <c r="H84" s="11"/>
    </row>
    <row r="85" spans="3:8" x14ac:dyDescent="0.2">
      <c r="H85" s="11"/>
    </row>
    <row r="86" spans="3:8" x14ac:dyDescent="0.2">
      <c r="C86" s="11"/>
    </row>
    <row r="87" spans="3:8" x14ac:dyDescent="0.2">
      <c r="C87" s="11"/>
    </row>
    <row r="88" spans="3:8" x14ac:dyDescent="0.2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J12" sqref="J12"/>
    </sheetView>
  </sheetViews>
  <sheetFormatPr defaultColWidth="9.140625" defaultRowHeight="12.75" x14ac:dyDescent="0.2"/>
  <cols>
    <col min="1" max="1" width="19.140625" style="11" bestFit="1" customWidth="1"/>
    <col min="2" max="5" width="14.140625" style="10" customWidth="1"/>
    <col min="6" max="6" width="15.28515625" style="11" customWidth="1"/>
    <col min="7" max="7" width="18.5703125" style="37" customWidth="1"/>
    <col min="8" max="16384" width="9.140625" style="11"/>
  </cols>
  <sheetData>
    <row r="1" spans="1:7" x14ac:dyDescent="0.2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">
      <c r="A3" s="11" t="s">
        <v>1</v>
      </c>
      <c r="B3" s="69">
        <v>17726</v>
      </c>
      <c r="C3" s="70">
        <v>1383</v>
      </c>
      <c r="D3" s="69">
        <v>42108</v>
      </c>
      <c r="E3" s="70">
        <v>1871</v>
      </c>
      <c r="F3" s="72">
        <v>11956</v>
      </c>
      <c r="G3" s="74">
        <v>1216</v>
      </c>
    </row>
    <row r="4" spans="1:7" x14ac:dyDescent="0.2">
      <c r="A4" s="11" t="s">
        <v>2</v>
      </c>
      <c r="B4" s="69">
        <v>470823</v>
      </c>
      <c r="C4" s="70">
        <v>31354</v>
      </c>
      <c r="D4" s="69">
        <v>252894</v>
      </c>
      <c r="E4" s="70">
        <v>11052</v>
      </c>
      <c r="F4" s="72">
        <v>136119</v>
      </c>
      <c r="G4" s="75">
        <v>13043</v>
      </c>
    </row>
    <row r="5" spans="1:7" x14ac:dyDescent="0.2">
      <c r="A5" s="11" t="s">
        <v>3</v>
      </c>
      <c r="B5" s="69">
        <v>10281</v>
      </c>
      <c r="C5" s="70">
        <v>415</v>
      </c>
      <c r="D5" s="69">
        <v>27026</v>
      </c>
      <c r="E5" s="70">
        <v>617</v>
      </c>
      <c r="F5" s="72">
        <v>4974</v>
      </c>
      <c r="G5" s="75">
        <v>266</v>
      </c>
    </row>
    <row r="6" spans="1:7" x14ac:dyDescent="0.2">
      <c r="A6" s="11" t="s">
        <v>4</v>
      </c>
      <c r="B6" s="69">
        <v>43685</v>
      </c>
      <c r="C6" s="70">
        <v>2147</v>
      </c>
      <c r="D6" s="69">
        <v>50202</v>
      </c>
      <c r="E6" s="70">
        <v>1732</v>
      </c>
      <c r="F6" s="72">
        <v>15220</v>
      </c>
      <c r="G6" s="75">
        <v>1220</v>
      </c>
    </row>
    <row r="7" spans="1:7" x14ac:dyDescent="0.2">
      <c r="A7" s="11" t="s">
        <v>5</v>
      </c>
      <c r="B7" s="69">
        <v>5107</v>
      </c>
      <c r="C7" s="70">
        <v>180</v>
      </c>
      <c r="D7" s="69">
        <v>24165</v>
      </c>
      <c r="E7" s="70">
        <v>415</v>
      </c>
      <c r="F7" s="72">
        <v>3022</v>
      </c>
      <c r="G7" s="75">
        <v>147</v>
      </c>
    </row>
    <row r="8" spans="1:7" x14ac:dyDescent="0.2">
      <c r="A8" s="11" t="s">
        <v>6</v>
      </c>
      <c r="B8" s="69">
        <v>98242</v>
      </c>
      <c r="C8" s="70">
        <v>5915</v>
      </c>
      <c r="D8" s="69">
        <v>114641</v>
      </c>
      <c r="E8" s="70">
        <v>3508</v>
      </c>
      <c r="F8" s="72">
        <v>47556</v>
      </c>
      <c r="G8" s="75">
        <v>3497</v>
      </c>
    </row>
    <row r="9" spans="1:7" x14ac:dyDescent="0.2">
      <c r="A9" s="11" t="s">
        <v>7</v>
      </c>
      <c r="B9" s="69">
        <v>18346</v>
      </c>
      <c r="C9" s="70">
        <v>1383</v>
      </c>
      <c r="D9" s="69">
        <v>48830</v>
      </c>
      <c r="E9" s="70">
        <v>1897</v>
      </c>
      <c r="F9" s="72">
        <v>10018</v>
      </c>
      <c r="G9" s="75">
        <v>1049</v>
      </c>
    </row>
    <row r="10" spans="1:7" x14ac:dyDescent="0.2">
      <c r="A10" s="11" t="s">
        <v>8</v>
      </c>
      <c r="B10" s="69">
        <v>7330</v>
      </c>
      <c r="C10" s="70">
        <v>471</v>
      </c>
      <c r="D10" s="69">
        <v>24676</v>
      </c>
      <c r="E10" s="70">
        <v>927</v>
      </c>
      <c r="F10" s="72">
        <v>4955</v>
      </c>
      <c r="G10" s="75">
        <v>390</v>
      </c>
    </row>
    <row r="11" spans="1:7" x14ac:dyDescent="0.2">
      <c r="A11" s="11" t="s">
        <v>9</v>
      </c>
      <c r="B11" s="69">
        <v>180245</v>
      </c>
      <c r="C11" s="70">
        <v>13316</v>
      </c>
      <c r="D11" s="69">
        <v>192661</v>
      </c>
      <c r="E11" s="70">
        <v>9763</v>
      </c>
      <c r="F11" s="72">
        <v>79999</v>
      </c>
      <c r="G11" s="75">
        <v>7694</v>
      </c>
    </row>
    <row r="12" spans="1:7" x14ac:dyDescent="0.2">
      <c r="A12" s="11" t="s">
        <v>10</v>
      </c>
      <c r="B12" s="69">
        <v>37286</v>
      </c>
      <c r="C12" s="70">
        <v>1741</v>
      </c>
      <c r="D12" s="69">
        <v>80351</v>
      </c>
      <c r="E12" s="70">
        <v>2538</v>
      </c>
      <c r="F12" s="72">
        <v>19832</v>
      </c>
      <c r="G12" s="75">
        <v>1419</v>
      </c>
    </row>
    <row r="13" spans="1:7" x14ac:dyDescent="0.2">
      <c r="A13" s="11" t="s">
        <v>11</v>
      </c>
      <c r="B13" s="69">
        <v>28373</v>
      </c>
      <c r="C13" s="70">
        <v>1153</v>
      </c>
      <c r="D13" s="69">
        <v>45492</v>
      </c>
      <c r="E13" s="70">
        <v>1074</v>
      </c>
      <c r="F13" s="72">
        <v>9278</v>
      </c>
      <c r="G13" s="75">
        <v>609</v>
      </c>
    </row>
    <row r="14" spans="1:7" x14ac:dyDescent="0.2">
      <c r="A14" s="11" t="s">
        <v>12</v>
      </c>
      <c r="B14" s="69">
        <v>639</v>
      </c>
      <c r="C14" s="70">
        <v>28</v>
      </c>
      <c r="D14" s="69">
        <v>1788</v>
      </c>
      <c r="E14" s="70">
        <v>53</v>
      </c>
      <c r="F14" s="72">
        <v>350</v>
      </c>
      <c r="G14" s="75">
        <v>22</v>
      </c>
    </row>
    <row r="15" spans="1:7" x14ac:dyDescent="0.2">
      <c r="A15" s="11" t="s">
        <v>13</v>
      </c>
      <c r="B15" s="69">
        <v>13312</v>
      </c>
      <c r="C15" s="70">
        <v>749</v>
      </c>
      <c r="D15" s="69">
        <v>23022</v>
      </c>
      <c r="E15" s="70">
        <v>848</v>
      </c>
      <c r="F15" s="72">
        <v>7086</v>
      </c>
      <c r="G15" s="75">
        <v>566</v>
      </c>
    </row>
    <row r="16" spans="1:7" x14ac:dyDescent="0.2">
      <c r="A16" s="11" t="s">
        <v>14</v>
      </c>
      <c r="B16" s="69">
        <v>35452</v>
      </c>
      <c r="C16" s="70">
        <v>6005</v>
      </c>
      <c r="D16" s="69">
        <v>38470</v>
      </c>
      <c r="E16" s="70">
        <v>3434</v>
      </c>
      <c r="F16" s="72">
        <v>15565</v>
      </c>
      <c r="G16" s="75">
        <v>3133</v>
      </c>
    </row>
    <row r="17" spans="1:7" x14ac:dyDescent="0.2">
      <c r="A17" s="11" t="s">
        <v>15</v>
      </c>
      <c r="B17" s="69">
        <v>152642</v>
      </c>
      <c r="C17" s="70">
        <v>7648</v>
      </c>
      <c r="D17" s="69">
        <v>146961</v>
      </c>
      <c r="E17" s="70">
        <v>5252</v>
      </c>
      <c r="F17" s="72">
        <v>71882</v>
      </c>
      <c r="G17" s="75">
        <v>4269</v>
      </c>
    </row>
    <row r="18" spans="1:7" x14ac:dyDescent="0.2">
      <c r="A18" s="11" t="s">
        <v>16</v>
      </c>
      <c r="B18" s="69">
        <v>4723</v>
      </c>
      <c r="C18" s="70">
        <v>348</v>
      </c>
      <c r="D18" s="69">
        <v>14968</v>
      </c>
      <c r="E18" s="70">
        <v>615</v>
      </c>
      <c r="F18" s="72">
        <v>2468</v>
      </c>
      <c r="G18" s="75">
        <v>255</v>
      </c>
    </row>
    <row r="19" spans="1:7" x14ac:dyDescent="0.2">
      <c r="A19" s="11" t="s">
        <v>17</v>
      </c>
      <c r="B19" s="69">
        <v>11268</v>
      </c>
      <c r="C19" s="70">
        <v>802</v>
      </c>
      <c r="D19" s="69">
        <v>30107</v>
      </c>
      <c r="E19" s="70">
        <v>1336</v>
      </c>
      <c r="F19" s="72">
        <v>5434</v>
      </c>
      <c r="G19" s="75">
        <v>627</v>
      </c>
    </row>
    <row r="20" spans="1:7" x14ac:dyDescent="0.2">
      <c r="A20" s="11" t="s">
        <v>18</v>
      </c>
      <c r="B20" s="69">
        <v>5786</v>
      </c>
      <c r="C20" s="70">
        <v>280</v>
      </c>
      <c r="D20" s="69">
        <v>12932</v>
      </c>
      <c r="E20" s="70">
        <v>383</v>
      </c>
      <c r="F20" s="72">
        <v>2932</v>
      </c>
      <c r="G20" s="75">
        <v>209</v>
      </c>
    </row>
    <row r="21" spans="1:7" x14ac:dyDescent="0.2">
      <c r="A21" s="11" t="s">
        <v>19</v>
      </c>
      <c r="B21" s="69">
        <v>11163</v>
      </c>
      <c r="C21" s="70">
        <v>652</v>
      </c>
      <c r="D21" s="69">
        <v>21839</v>
      </c>
      <c r="E21" s="70">
        <v>619</v>
      </c>
      <c r="F21" s="72">
        <v>5870</v>
      </c>
      <c r="G21" s="75">
        <v>449</v>
      </c>
    </row>
    <row r="22" spans="1:7" x14ac:dyDescent="0.2">
      <c r="A22" s="11" t="s">
        <v>20</v>
      </c>
      <c r="B22" s="69">
        <v>13458</v>
      </c>
      <c r="C22" s="70">
        <v>1016</v>
      </c>
      <c r="D22" s="69">
        <v>30782</v>
      </c>
      <c r="E22" s="70">
        <v>1118</v>
      </c>
      <c r="F22" s="72">
        <v>6171</v>
      </c>
      <c r="G22" s="75">
        <v>592</v>
      </c>
    </row>
    <row r="23" spans="1:7" x14ac:dyDescent="0.2">
      <c r="A23" s="11" t="s">
        <v>21</v>
      </c>
      <c r="B23" s="69">
        <v>57503</v>
      </c>
      <c r="C23" s="70">
        <v>3617</v>
      </c>
      <c r="D23" s="69">
        <v>85142</v>
      </c>
      <c r="E23" s="70">
        <v>3328</v>
      </c>
      <c r="F23" s="72">
        <v>30618</v>
      </c>
      <c r="G23" s="75">
        <v>2488</v>
      </c>
    </row>
    <row r="24" spans="1:7" x14ac:dyDescent="0.2">
      <c r="A24" s="11" t="s">
        <v>22</v>
      </c>
      <c r="B24" s="69">
        <v>77574</v>
      </c>
      <c r="C24" s="70">
        <v>7898</v>
      </c>
      <c r="D24" s="69">
        <v>71829</v>
      </c>
      <c r="E24" s="70">
        <v>4449</v>
      </c>
      <c r="F24" s="72">
        <v>33311</v>
      </c>
      <c r="G24" s="75">
        <v>4419</v>
      </c>
    </row>
    <row r="25" spans="1:7" x14ac:dyDescent="0.2">
      <c r="A25" s="11" t="s">
        <v>23</v>
      </c>
      <c r="B25" s="69">
        <v>181460</v>
      </c>
      <c r="C25" s="70">
        <v>20854</v>
      </c>
      <c r="D25" s="69">
        <v>133761</v>
      </c>
      <c r="E25" s="70">
        <v>9840</v>
      </c>
      <c r="F25" s="72">
        <v>56113</v>
      </c>
      <c r="G25" s="75">
        <v>8082</v>
      </c>
    </row>
    <row r="26" spans="1:7" x14ac:dyDescent="0.2">
      <c r="A26" s="11" t="s">
        <v>24</v>
      </c>
      <c r="B26" s="69">
        <v>5591</v>
      </c>
      <c r="C26" s="70">
        <v>222</v>
      </c>
      <c r="D26" s="69">
        <v>11865</v>
      </c>
      <c r="E26" s="70">
        <v>267</v>
      </c>
      <c r="F26" s="72">
        <v>2379</v>
      </c>
      <c r="G26" s="75">
        <v>162</v>
      </c>
    </row>
    <row r="27" spans="1:7" x14ac:dyDescent="0.2">
      <c r="A27" s="11" t="s">
        <v>25</v>
      </c>
      <c r="B27" s="69">
        <v>72147</v>
      </c>
      <c r="C27" s="70">
        <v>4445</v>
      </c>
      <c r="D27" s="69">
        <v>68189</v>
      </c>
      <c r="E27" s="70">
        <v>2877</v>
      </c>
      <c r="F27" s="72">
        <v>24835</v>
      </c>
      <c r="G27" s="75">
        <v>2487</v>
      </c>
    </row>
    <row r="28" spans="1:7" x14ac:dyDescent="0.2">
      <c r="A28" s="11" t="s">
        <v>26</v>
      </c>
      <c r="B28" s="69">
        <v>28166</v>
      </c>
      <c r="C28" s="70">
        <v>1463</v>
      </c>
      <c r="D28" s="69">
        <v>40129</v>
      </c>
      <c r="E28" s="70">
        <v>1161</v>
      </c>
      <c r="F28" s="72">
        <v>8001</v>
      </c>
      <c r="G28" s="75">
        <v>666</v>
      </c>
    </row>
    <row r="29" spans="1:7" x14ac:dyDescent="0.2">
      <c r="A29" s="11" t="s">
        <v>27</v>
      </c>
      <c r="B29" s="69">
        <v>716</v>
      </c>
      <c r="C29" s="70">
        <v>57</v>
      </c>
      <c r="D29" s="69">
        <v>1938</v>
      </c>
      <c r="E29" s="70">
        <v>94</v>
      </c>
      <c r="F29" s="72">
        <v>348</v>
      </c>
      <c r="G29" s="75">
        <v>42</v>
      </c>
    </row>
    <row r="30" spans="1:7" x14ac:dyDescent="0.2">
      <c r="A30" s="11" t="s">
        <v>28</v>
      </c>
      <c r="B30" s="69">
        <v>21556</v>
      </c>
      <c r="C30" s="70">
        <v>1829</v>
      </c>
      <c r="D30" s="69">
        <v>61612</v>
      </c>
      <c r="E30" s="70">
        <v>2808</v>
      </c>
      <c r="F30" s="72">
        <v>15528</v>
      </c>
      <c r="G30" s="75">
        <v>1596</v>
      </c>
    </row>
    <row r="31" spans="1:7" x14ac:dyDescent="0.2">
      <c r="A31" s="11" t="s">
        <v>29</v>
      </c>
      <c r="B31" s="69">
        <v>1353</v>
      </c>
      <c r="C31" s="70">
        <v>121</v>
      </c>
      <c r="D31" s="69">
        <v>7175</v>
      </c>
      <c r="E31" s="70">
        <v>314</v>
      </c>
      <c r="F31" s="72">
        <v>1009</v>
      </c>
      <c r="G31" s="75">
        <v>148</v>
      </c>
    </row>
    <row r="32" spans="1:7" x14ac:dyDescent="0.2">
      <c r="A32" s="11" t="s">
        <v>30</v>
      </c>
      <c r="B32" s="69">
        <v>7031</v>
      </c>
      <c r="C32" s="70">
        <v>390</v>
      </c>
      <c r="D32" s="69">
        <v>11701</v>
      </c>
      <c r="E32" s="70">
        <v>419</v>
      </c>
      <c r="F32" s="72">
        <v>2026</v>
      </c>
      <c r="G32" s="75">
        <v>202</v>
      </c>
    </row>
    <row r="33" spans="1:7" x14ac:dyDescent="0.2">
      <c r="A33" s="11" t="s">
        <v>31</v>
      </c>
      <c r="B33" s="69">
        <v>5539</v>
      </c>
      <c r="C33" s="70">
        <v>512</v>
      </c>
      <c r="D33" s="69">
        <v>18317</v>
      </c>
      <c r="E33" s="70">
        <v>630</v>
      </c>
      <c r="F33" s="72">
        <v>2685</v>
      </c>
      <c r="G33" s="75">
        <v>268</v>
      </c>
    </row>
    <row r="34" spans="1:7" x14ac:dyDescent="0.2">
      <c r="A34" s="11" t="s">
        <v>32</v>
      </c>
      <c r="B34" s="69">
        <v>13610</v>
      </c>
      <c r="C34" s="70">
        <v>374</v>
      </c>
      <c r="D34" s="69">
        <v>28546</v>
      </c>
      <c r="E34" s="70">
        <v>355</v>
      </c>
      <c r="F34" s="72">
        <v>6120</v>
      </c>
      <c r="G34" s="75">
        <v>179</v>
      </c>
    </row>
    <row r="35" spans="1:7" x14ac:dyDescent="0.2">
      <c r="A35" s="11" t="s">
        <v>33</v>
      </c>
      <c r="B35" s="69">
        <v>5195</v>
      </c>
      <c r="C35" s="70">
        <v>237</v>
      </c>
      <c r="D35" s="69">
        <v>18955</v>
      </c>
      <c r="E35" s="70">
        <v>506</v>
      </c>
      <c r="F35" s="72">
        <v>3007</v>
      </c>
      <c r="G35" s="75">
        <v>196</v>
      </c>
    </row>
    <row r="36" spans="1:7" x14ac:dyDescent="0.2">
      <c r="A36" s="11" t="s">
        <v>34</v>
      </c>
      <c r="B36" s="69">
        <v>2422</v>
      </c>
      <c r="C36" s="70">
        <v>129</v>
      </c>
      <c r="D36" s="69">
        <v>9820</v>
      </c>
      <c r="E36" s="70">
        <v>217</v>
      </c>
      <c r="F36" s="72">
        <v>1400</v>
      </c>
      <c r="G36" s="75">
        <v>93</v>
      </c>
    </row>
    <row r="37" spans="1:7" x14ac:dyDescent="0.2">
      <c r="A37" s="11" t="s">
        <v>35</v>
      </c>
      <c r="B37" s="69">
        <v>70745</v>
      </c>
      <c r="C37" s="70">
        <v>5474</v>
      </c>
      <c r="D37" s="69">
        <v>48906</v>
      </c>
      <c r="E37" s="70">
        <v>3396</v>
      </c>
      <c r="F37" s="72">
        <v>17907</v>
      </c>
      <c r="G37" s="75">
        <v>2541</v>
      </c>
    </row>
    <row r="38" spans="1:7" x14ac:dyDescent="0.2">
      <c r="A38" s="11" t="s">
        <v>36</v>
      </c>
      <c r="B38" s="69">
        <v>106236</v>
      </c>
      <c r="C38" s="70">
        <v>5912</v>
      </c>
      <c r="D38" s="69">
        <v>178330</v>
      </c>
      <c r="E38" s="70">
        <v>5581</v>
      </c>
      <c r="F38" s="72">
        <v>62288</v>
      </c>
      <c r="G38" s="75">
        <v>4413</v>
      </c>
    </row>
    <row r="39" spans="1:7" x14ac:dyDescent="0.2">
      <c r="A39" s="11" t="s">
        <v>37</v>
      </c>
      <c r="B39" s="69">
        <v>18721</v>
      </c>
      <c r="C39" s="70">
        <v>992</v>
      </c>
      <c r="D39" s="69">
        <v>29239</v>
      </c>
      <c r="E39" s="70">
        <v>909</v>
      </c>
      <c r="F39" s="72">
        <v>6946</v>
      </c>
      <c r="G39" s="75">
        <v>541</v>
      </c>
    </row>
    <row r="40" spans="1:7" x14ac:dyDescent="0.2">
      <c r="A40" s="11" t="s">
        <v>38</v>
      </c>
      <c r="B40" s="69">
        <v>23681</v>
      </c>
      <c r="C40" s="70">
        <v>1642</v>
      </c>
      <c r="D40" s="69">
        <v>51090</v>
      </c>
      <c r="E40" s="70">
        <v>1582</v>
      </c>
      <c r="F40" s="72">
        <v>14484</v>
      </c>
      <c r="G40" s="75">
        <v>1278</v>
      </c>
    </row>
    <row r="41" spans="1:7" x14ac:dyDescent="0.2">
      <c r="A41" s="11" t="s">
        <v>39</v>
      </c>
      <c r="B41" s="69">
        <v>103831</v>
      </c>
      <c r="C41" s="70">
        <v>7042</v>
      </c>
      <c r="D41" s="69">
        <v>86376</v>
      </c>
      <c r="E41" s="70">
        <v>3439</v>
      </c>
      <c r="F41" s="72">
        <v>48092</v>
      </c>
      <c r="G41" s="75">
        <v>4269</v>
      </c>
    </row>
    <row r="42" spans="1:7" x14ac:dyDescent="0.2">
      <c r="A42" s="11" t="s">
        <v>40</v>
      </c>
      <c r="B42" s="69">
        <v>79406</v>
      </c>
      <c r="C42" s="70">
        <v>4710</v>
      </c>
      <c r="D42" s="69">
        <v>87832</v>
      </c>
      <c r="E42" s="70">
        <v>3399</v>
      </c>
      <c r="F42" s="72">
        <v>28334</v>
      </c>
      <c r="G42" s="75">
        <v>2602</v>
      </c>
    </row>
    <row r="43" spans="1:7" x14ac:dyDescent="0.2">
      <c r="A43" s="11" t="s">
        <v>41</v>
      </c>
      <c r="B43" s="69">
        <v>16626</v>
      </c>
      <c r="C43" s="70">
        <v>1509</v>
      </c>
      <c r="D43" s="69">
        <v>42059</v>
      </c>
      <c r="E43" s="70">
        <v>1829</v>
      </c>
      <c r="F43" s="72">
        <v>9437</v>
      </c>
      <c r="G43" s="75">
        <v>1074</v>
      </c>
    </row>
    <row r="44" spans="1:7" x14ac:dyDescent="0.2">
      <c r="A44" s="11" t="s">
        <v>42</v>
      </c>
      <c r="B44" s="69">
        <v>4980</v>
      </c>
      <c r="C44" s="70">
        <v>300</v>
      </c>
      <c r="D44" s="69">
        <v>15553</v>
      </c>
      <c r="E44" s="70">
        <v>601</v>
      </c>
      <c r="F44" s="72">
        <v>3369</v>
      </c>
      <c r="G44" s="75">
        <v>345</v>
      </c>
    </row>
    <row r="45" spans="1:7" x14ac:dyDescent="0.2">
      <c r="A45" s="11" t="s">
        <v>43</v>
      </c>
      <c r="B45" s="69">
        <v>21911</v>
      </c>
      <c r="C45" s="70">
        <v>1263</v>
      </c>
      <c r="D45" s="69">
        <v>37007</v>
      </c>
      <c r="E45" s="70">
        <v>1328</v>
      </c>
      <c r="F45" s="72">
        <v>9630</v>
      </c>
      <c r="G45" s="75">
        <v>736</v>
      </c>
    </row>
    <row r="46" spans="1:7" x14ac:dyDescent="0.2">
      <c r="A46" s="11" t="s">
        <v>44</v>
      </c>
      <c r="B46" s="69">
        <v>5069</v>
      </c>
      <c r="C46" s="70">
        <v>294</v>
      </c>
      <c r="D46" s="69">
        <v>18053</v>
      </c>
      <c r="E46" s="70">
        <v>584</v>
      </c>
      <c r="F46" s="72">
        <v>2900</v>
      </c>
      <c r="G46" s="75">
        <v>217</v>
      </c>
    </row>
    <row r="47" spans="1:7" x14ac:dyDescent="0.2">
      <c r="A47" s="11" t="s">
        <v>45</v>
      </c>
      <c r="B47" s="69">
        <v>42511</v>
      </c>
      <c r="C47" s="70">
        <v>5782</v>
      </c>
      <c r="D47" s="69">
        <v>40043</v>
      </c>
      <c r="E47" s="70">
        <v>3162</v>
      </c>
      <c r="F47" s="72">
        <v>22042</v>
      </c>
      <c r="G47" s="75">
        <v>3248</v>
      </c>
    </row>
    <row r="48" spans="1:7" x14ac:dyDescent="0.2">
      <c r="A48" s="11" t="s">
        <v>46</v>
      </c>
      <c r="B48" s="69">
        <v>286701</v>
      </c>
      <c r="C48" s="70">
        <v>17692</v>
      </c>
      <c r="D48" s="69">
        <v>198864</v>
      </c>
      <c r="E48" s="70">
        <v>9421</v>
      </c>
      <c r="F48" s="72">
        <v>100354</v>
      </c>
      <c r="G48" s="75">
        <v>8866</v>
      </c>
    </row>
    <row r="49" spans="1:7" x14ac:dyDescent="0.2">
      <c r="A49" s="11" t="s">
        <v>47</v>
      </c>
      <c r="B49" s="69">
        <v>3550</v>
      </c>
      <c r="C49" s="70">
        <v>195</v>
      </c>
      <c r="D49" s="69">
        <v>6356</v>
      </c>
      <c r="E49" s="70">
        <v>206</v>
      </c>
      <c r="F49" s="72">
        <v>1839</v>
      </c>
      <c r="G49" s="75">
        <v>156</v>
      </c>
    </row>
    <row r="50" spans="1:7" x14ac:dyDescent="0.2">
      <c r="A50" s="11" t="s">
        <v>48</v>
      </c>
      <c r="B50" s="69">
        <v>89267</v>
      </c>
      <c r="C50" s="70">
        <v>6312</v>
      </c>
      <c r="D50" s="69">
        <v>83257</v>
      </c>
      <c r="E50" s="70">
        <v>3690</v>
      </c>
      <c r="F50" s="72">
        <v>44608</v>
      </c>
      <c r="G50" s="75">
        <v>4119</v>
      </c>
    </row>
    <row r="51" spans="1:7" x14ac:dyDescent="0.2">
      <c r="A51" s="11" t="s">
        <v>49</v>
      </c>
      <c r="B51" s="69">
        <v>14211</v>
      </c>
      <c r="C51" s="70">
        <v>1107</v>
      </c>
      <c r="D51" s="69">
        <v>30508</v>
      </c>
      <c r="E51" s="70">
        <v>1441</v>
      </c>
      <c r="F51" s="72">
        <v>7246</v>
      </c>
      <c r="G51" s="75">
        <v>764</v>
      </c>
    </row>
    <row r="52" spans="1:7" x14ac:dyDescent="0.2">
      <c r="A52" s="11" t="s">
        <v>50</v>
      </c>
      <c r="B52" s="69">
        <v>5852</v>
      </c>
      <c r="C52" s="70">
        <v>133</v>
      </c>
      <c r="D52" s="69">
        <v>20640</v>
      </c>
      <c r="E52" s="70">
        <v>337</v>
      </c>
      <c r="F52" s="72">
        <v>4042</v>
      </c>
      <c r="G52" s="75">
        <v>170</v>
      </c>
    </row>
    <row r="53" spans="1:7" x14ac:dyDescent="0.2">
      <c r="A53" s="11" t="s">
        <v>51</v>
      </c>
      <c r="B53" s="69">
        <v>687013</v>
      </c>
      <c r="C53" s="70">
        <v>85542</v>
      </c>
      <c r="D53" s="69">
        <v>118278</v>
      </c>
      <c r="E53" s="70">
        <v>13004</v>
      </c>
      <c r="F53" s="72">
        <v>150968</v>
      </c>
      <c r="G53" s="75">
        <v>23373</v>
      </c>
    </row>
    <row r="54" spans="1:7" x14ac:dyDescent="0.2">
      <c r="A54" s="11" t="s">
        <v>52</v>
      </c>
      <c r="B54" s="69">
        <v>12501</v>
      </c>
      <c r="C54" s="70">
        <v>1046</v>
      </c>
      <c r="D54" s="69">
        <v>21731</v>
      </c>
      <c r="E54" s="70">
        <v>1221</v>
      </c>
      <c r="F54" s="72">
        <v>9574</v>
      </c>
      <c r="G54" s="75">
        <v>944</v>
      </c>
    </row>
    <row r="55" spans="1:7" x14ac:dyDescent="0.2">
      <c r="A55" s="11" t="s">
        <v>53</v>
      </c>
      <c r="B55" s="69">
        <v>1647</v>
      </c>
      <c r="C55" s="70">
        <v>91</v>
      </c>
      <c r="D55" s="69">
        <v>7757</v>
      </c>
      <c r="E55" s="70">
        <v>282</v>
      </c>
      <c r="F55" s="72">
        <v>1163</v>
      </c>
      <c r="G55" s="75">
        <v>104</v>
      </c>
    </row>
    <row r="56" spans="1:7" x14ac:dyDescent="0.2">
      <c r="A56" s="11" t="s">
        <v>54</v>
      </c>
      <c r="B56" s="69">
        <v>23556</v>
      </c>
      <c r="C56" s="70">
        <v>1801</v>
      </c>
      <c r="D56" s="69">
        <v>50993</v>
      </c>
      <c r="E56" s="70">
        <v>2207</v>
      </c>
      <c r="F56" s="72">
        <v>12388</v>
      </c>
      <c r="G56" s="75">
        <v>1307</v>
      </c>
    </row>
    <row r="57" spans="1:7" x14ac:dyDescent="0.2">
      <c r="A57" s="11" t="s">
        <v>55</v>
      </c>
      <c r="B57" s="69">
        <v>4566</v>
      </c>
      <c r="C57" s="70">
        <v>325</v>
      </c>
      <c r="D57" s="69">
        <v>15536</v>
      </c>
      <c r="E57" s="70">
        <v>443</v>
      </c>
      <c r="F57" s="72">
        <v>2755</v>
      </c>
      <c r="G57" s="75">
        <v>258</v>
      </c>
    </row>
    <row r="58" spans="1:7" x14ac:dyDescent="0.2">
      <c r="A58" s="11" t="s">
        <v>56</v>
      </c>
      <c r="B58" s="69">
        <v>10124</v>
      </c>
      <c r="C58" s="70">
        <v>391</v>
      </c>
      <c r="D58" s="69">
        <v>32219</v>
      </c>
      <c r="E58" s="70">
        <v>633</v>
      </c>
      <c r="F58" s="72">
        <v>4859</v>
      </c>
      <c r="G58" s="75">
        <v>255</v>
      </c>
    </row>
    <row r="59" spans="1:7" x14ac:dyDescent="0.2">
      <c r="A59" s="11" t="s">
        <v>57</v>
      </c>
      <c r="B59" s="69">
        <v>1025</v>
      </c>
      <c r="C59" s="70">
        <v>37</v>
      </c>
      <c r="D59" s="69">
        <v>2778</v>
      </c>
      <c r="E59" s="70">
        <v>66</v>
      </c>
      <c r="F59" s="72">
        <v>494</v>
      </c>
      <c r="G59" s="75">
        <v>34</v>
      </c>
    </row>
    <row r="60" spans="1:7" x14ac:dyDescent="0.2">
      <c r="A60" s="11" t="s">
        <v>58</v>
      </c>
      <c r="B60" s="69">
        <v>5741</v>
      </c>
      <c r="C60" s="70">
        <v>516</v>
      </c>
      <c r="D60" s="69">
        <v>16697</v>
      </c>
      <c r="E60" s="70">
        <v>887</v>
      </c>
      <c r="F60" s="72">
        <v>3684</v>
      </c>
      <c r="G60" s="75">
        <v>392</v>
      </c>
    </row>
    <row r="61" spans="1:7" x14ac:dyDescent="0.2">
      <c r="A61" s="11" t="s">
        <v>59</v>
      </c>
      <c r="B61" s="69">
        <v>4693</v>
      </c>
      <c r="C61" s="70">
        <v>224</v>
      </c>
      <c r="D61" s="69">
        <v>17551</v>
      </c>
      <c r="E61" s="70">
        <v>565</v>
      </c>
      <c r="F61" s="72">
        <v>3448</v>
      </c>
      <c r="G61" s="75">
        <v>264</v>
      </c>
    </row>
    <row r="62" spans="1:7" x14ac:dyDescent="0.2">
      <c r="A62" s="11" t="s">
        <v>60</v>
      </c>
      <c r="B62" s="69">
        <v>7050</v>
      </c>
      <c r="C62" s="70">
        <v>710</v>
      </c>
      <c r="D62" s="69">
        <v>13781</v>
      </c>
      <c r="E62" s="70">
        <v>634</v>
      </c>
      <c r="F62" s="72">
        <v>3725</v>
      </c>
      <c r="G62" s="75">
        <v>463</v>
      </c>
    </row>
    <row r="63" spans="1:7" x14ac:dyDescent="0.2">
      <c r="A63" s="11" t="s">
        <v>61</v>
      </c>
      <c r="B63" s="69">
        <v>7678</v>
      </c>
      <c r="C63" s="70">
        <v>371</v>
      </c>
      <c r="D63" s="69">
        <v>19561</v>
      </c>
      <c r="E63" s="70">
        <v>612</v>
      </c>
      <c r="F63" s="72">
        <v>4280</v>
      </c>
      <c r="G63" s="75">
        <v>304</v>
      </c>
    </row>
    <row r="64" spans="1:7" x14ac:dyDescent="0.2">
      <c r="A64" s="11" t="s">
        <v>62</v>
      </c>
      <c r="B64" s="69">
        <v>6146</v>
      </c>
      <c r="C64" s="70">
        <v>220</v>
      </c>
      <c r="D64" s="69">
        <v>14836</v>
      </c>
      <c r="E64" s="70">
        <v>428</v>
      </c>
      <c r="F64" s="72">
        <v>3636</v>
      </c>
      <c r="G64" s="75">
        <v>171</v>
      </c>
    </row>
    <row r="65" spans="1:7" x14ac:dyDescent="0.2">
      <c r="A65" s="11" t="s">
        <v>63</v>
      </c>
      <c r="B65" s="69">
        <v>49337</v>
      </c>
      <c r="C65" s="70">
        <v>3549</v>
      </c>
      <c r="D65" s="69">
        <v>69717</v>
      </c>
      <c r="E65" s="70">
        <v>3238</v>
      </c>
      <c r="F65" s="72">
        <v>17708</v>
      </c>
      <c r="G65" s="75">
        <v>1939</v>
      </c>
    </row>
    <row r="66" spans="1:7" x14ac:dyDescent="0.2">
      <c r="A66" s="11" t="s">
        <v>64</v>
      </c>
      <c r="B66" s="69">
        <v>7932</v>
      </c>
      <c r="C66" s="70">
        <v>738</v>
      </c>
      <c r="D66" s="69">
        <v>20458</v>
      </c>
      <c r="E66" s="70">
        <v>1232</v>
      </c>
      <c r="F66" s="72">
        <v>5468</v>
      </c>
      <c r="G66" s="75">
        <v>679</v>
      </c>
    </row>
    <row r="67" spans="1:7" x14ac:dyDescent="0.2">
      <c r="A67" s="11" t="s">
        <v>65</v>
      </c>
      <c r="B67" s="69">
        <v>83501</v>
      </c>
      <c r="C67" s="70">
        <v>3416</v>
      </c>
      <c r="D67" s="69">
        <v>127329</v>
      </c>
      <c r="E67" s="70">
        <v>3612</v>
      </c>
      <c r="F67" s="72">
        <v>30920</v>
      </c>
      <c r="G67" s="75">
        <v>1917</v>
      </c>
    </row>
    <row r="68" spans="1:7" x14ac:dyDescent="0.2">
      <c r="A68" s="11" t="s">
        <v>66</v>
      </c>
      <c r="B68" s="69">
        <v>4357</v>
      </c>
      <c r="C68" s="70">
        <v>333</v>
      </c>
      <c r="D68" s="69">
        <v>10781</v>
      </c>
      <c r="E68" s="70">
        <v>564</v>
      </c>
      <c r="F68" s="72">
        <v>2163</v>
      </c>
      <c r="G68" s="75">
        <v>264</v>
      </c>
    </row>
    <row r="69" spans="1:7" x14ac:dyDescent="0.2">
      <c r="A69" s="19" t="s">
        <v>67</v>
      </c>
      <c r="B69" s="68">
        <v>89773</v>
      </c>
      <c r="C69" s="71">
        <v>6084</v>
      </c>
      <c r="D69" s="68">
        <v>161606</v>
      </c>
      <c r="E69" s="71">
        <v>6728</v>
      </c>
      <c r="F69" s="73">
        <v>56831</v>
      </c>
      <c r="G69" s="76">
        <v>4714</v>
      </c>
    </row>
    <row r="70" spans="1:7" x14ac:dyDescent="0.2">
      <c r="A70" s="32" t="s">
        <v>68</v>
      </c>
      <c r="B70" s="14">
        <f>SUM(B3:B69)</f>
        <v>3545688</v>
      </c>
      <c r="C70" s="14">
        <f t="shared" ref="C70:G70" si="0">SUM(C3:C69)</f>
        <v>284887</v>
      </c>
      <c r="D70" s="14">
        <f t="shared" si="0"/>
        <v>3488616</v>
      </c>
      <c r="E70" s="14">
        <f t="shared" si="0"/>
        <v>153578</v>
      </c>
      <c r="F70" s="14">
        <f t="shared" si="0"/>
        <v>1345649</v>
      </c>
      <c r="G70" s="14">
        <f t="shared" si="0"/>
        <v>134421</v>
      </c>
    </row>
    <row r="71" spans="1:7" x14ac:dyDescent="0.2">
      <c r="G71" s="11"/>
    </row>
    <row r="72" spans="1:7" x14ac:dyDescent="0.2">
      <c r="G72" s="11"/>
    </row>
    <row r="73" spans="1:7" x14ac:dyDescent="0.2">
      <c r="A73" s="32" t="s">
        <v>80</v>
      </c>
      <c r="B73" s="14">
        <f>SUM(B70:G70)</f>
        <v>8952839</v>
      </c>
      <c r="D73" s="11"/>
      <c r="E73" s="11"/>
      <c r="G73" s="11"/>
    </row>
    <row r="74" spans="1:7" x14ac:dyDescent="0.2">
      <c r="D74" s="11"/>
      <c r="E74" s="11"/>
      <c r="G74" s="11"/>
    </row>
    <row r="75" spans="1:7" x14ac:dyDescent="0.2">
      <c r="D75" s="11"/>
      <c r="E75" s="11"/>
      <c r="G75" s="11"/>
    </row>
    <row r="76" spans="1:7" x14ac:dyDescent="0.2">
      <c r="D76" s="11"/>
      <c r="E76" s="11"/>
      <c r="G76" s="11"/>
    </row>
    <row r="77" spans="1:7" x14ac:dyDescent="0.2">
      <c r="D77" s="11"/>
      <c r="E77" s="11"/>
      <c r="G77" s="11"/>
    </row>
    <row r="78" spans="1:7" x14ac:dyDescent="0.2">
      <c r="D78" s="11"/>
      <c r="E78" s="11"/>
      <c r="G78" s="11"/>
    </row>
    <row r="79" spans="1:7" x14ac:dyDescent="0.2">
      <c r="D79" s="11"/>
      <c r="E79" s="11"/>
      <c r="G79" s="11"/>
    </row>
    <row r="80" spans="1:7" x14ac:dyDescent="0.2">
      <c r="D80" s="11"/>
      <c r="E80" s="11"/>
      <c r="G80" s="11"/>
    </row>
    <row r="81" spans="2:7" x14ac:dyDescent="0.2">
      <c r="D81" s="11"/>
      <c r="E81" s="11"/>
      <c r="G81" s="11"/>
    </row>
    <row r="82" spans="2:7" x14ac:dyDescent="0.2">
      <c r="B82" s="11"/>
      <c r="G82" s="11"/>
    </row>
    <row r="83" spans="2:7" x14ac:dyDescent="0.2">
      <c r="B83" s="11"/>
      <c r="G83" s="11"/>
    </row>
    <row r="84" spans="2:7" x14ac:dyDescent="0.2">
      <c r="G84" s="11"/>
    </row>
    <row r="85" spans="2:7" x14ac:dyDescent="0.2">
      <c r="B85" s="11"/>
      <c r="G85" s="11"/>
    </row>
    <row r="86" spans="2:7" x14ac:dyDescent="0.2">
      <c r="B86" s="11"/>
      <c r="G86" s="11"/>
    </row>
    <row r="87" spans="2:7" x14ac:dyDescent="0.2">
      <c r="G87" s="11"/>
    </row>
    <row r="88" spans="2:7" x14ac:dyDescent="0.2">
      <c r="G88" s="11"/>
    </row>
    <row r="89" spans="2:7" x14ac:dyDescent="0.2">
      <c r="G89" s="11"/>
    </row>
    <row r="90" spans="2:7" x14ac:dyDescent="0.2">
      <c r="G90" s="11"/>
    </row>
    <row r="91" spans="2:7" x14ac:dyDescent="0.2">
      <c r="G91" s="11"/>
    </row>
    <row r="92" spans="2:7" x14ac:dyDescent="0.2">
      <c r="G92" s="11"/>
    </row>
    <row r="93" spans="2:7" x14ac:dyDescent="0.2">
      <c r="G93" s="11"/>
    </row>
    <row r="94" spans="2:7" x14ac:dyDescent="0.2">
      <c r="G94" s="11"/>
    </row>
    <row r="95" spans="2:7" x14ac:dyDescent="0.2">
      <c r="G95" s="11"/>
    </row>
    <row r="96" spans="2:7" x14ac:dyDescent="0.2">
      <c r="G96" s="11"/>
    </row>
    <row r="97" spans="7:7" x14ac:dyDescent="0.2">
      <c r="G97" s="11"/>
    </row>
    <row r="98" spans="7:7" x14ac:dyDescent="0.2">
      <c r="G98" s="11"/>
    </row>
    <row r="99" spans="7:7" x14ac:dyDescent="0.2">
      <c r="G99" s="11"/>
    </row>
    <row r="100" spans="7:7" x14ac:dyDescent="0.2">
      <c r="G100" s="11"/>
    </row>
    <row r="101" spans="7:7" x14ac:dyDescent="0.2">
      <c r="G101" s="11"/>
    </row>
    <row r="102" spans="7:7" x14ac:dyDescent="0.2">
      <c r="G102" s="11"/>
    </row>
    <row r="103" spans="7:7" x14ac:dyDescent="0.2">
      <c r="G103" s="11"/>
    </row>
    <row r="104" spans="7:7" x14ac:dyDescent="0.2">
      <c r="G104" s="11"/>
    </row>
    <row r="105" spans="7:7" x14ac:dyDescent="0.2">
      <c r="G105" s="11"/>
    </row>
    <row r="106" spans="7:7" x14ac:dyDescent="0.2">
      <c r="G106" s="11"/>
    </row>
    <row r="107" spans="7:7" x14ac:dyDescent="0.2">
      <c r="G107" s="11"/>
    </row>
    <row r="108" spans="7:7" x14ac:dyDescent="0.2">
      <c r="G108" s="11"/>
    </row>
    <row r="109" spans="7:7" x14ac:dyDescent="0.2">
      <c r="G109" s="11"/>
    </row>
    <row r="110" spans="7:7" x14ac:dyDescent="0.2">
      <c r="G110" s="11"/>
    </row>
    <row r="111" spans="7:7" x14ac:dyDescent="0.2">
      <c r="G111" s="11"/>
    </row>
    <row r="112" spans="7:7" x14ac:dyDescent="0.2">
      <c r="G112" s="11"/>
    </row>
    <row r="113" spans="7:7" x14ac:dyDescent="0.2">
      <c r="G113" s="11"/>
    </row>
    <row r="114" spans="7:7" x14ac:dyDescent="0.2">
      <c r="G114" s="11"/>
    </row>
    <row r="115" spans="7:7" x14ac:dyDescent="0.2">
      <c r="G115" s="11"/>
    </row>
    <row r="116" spans="7:7" x14ac:dyDescent="0.2">
      <c r="G116" s="11"/>
    </row>
    <row r="117" spans="7:7" x14ac:dyDescent="0.2">
      <c r="G117" s="11"/>
    </row>
    <row r="118" spans="7:7" x14ac:dyDescent="0.2">
      <c r="G118" s="11"/>
    </row>
    <row r="119" spans="7:7" x14ac:dyDescent="0.2">
      <c r="G119" s="11"/>
    </row>
    <row r="120" spans="7:7" x14ac:dyDescent="0.2">
      <c r="G120" s="11"/>
    </row>
    <row r="121" spans="7:7" x14ac:dyDescent="0.2">
      <c r="G121" s="11"/>
    </row>
    <row r="122" spans="7:7" x14ac:dyDescent="0.2">
      <c r="G122" s="11"/>
    </row>
    <row r="123" spans="7:7" x14ac:dyDescent="0.2">
      <c r="G123" s="11"/>
    </row>
    <row r="124" spans="7:7" x14ac:dyDescent="0.2">
      <c r="G124" s="11"/>
    </row>
    <row r="125" spans="7:7" x14ac:dyDescent="0.2">
      <c r="G125" s="11"/>
    </row>
    <row r="126" spans="7:7" x14ac:dyDescent="0.2">
      <c r="G126" s="11"/>
    </row>
    <row r="127" spans="7:7" x14ac:dyDescent="0.2">
      <c r="G127" s="11"/>
    </row>
    <row r="128" spans="7:7" x14ac:dyDescent="0.2">
      <c r="G128" s="11"/>
    </row>
    <row r="129" spans="7:7" x14ac:dyDescent="0.2">
      <c r="G129" s="11"/>
    </row>
    <row r="130" spans="7:7" x14ac:dyDescent="0.2">
      <c r="G130" s="11"/>
    </row>
    <row r="131" spans="7:7" x14ac:dyDescent="0.2">
      <c r="G131" s="11"/>
    </row>
    <row r="132" spans="7:7" x14ac:dyDescent="0.2">
      <c r="G132" s="11"/>
    </row>
    <row r="133" spans="7:7" x14ac:dyDescent="0.2">
      <c r="G133" s="11"/>
    </row>
    <row r="134" spans="7:7" x14ac:dyDescent="0.2">
      <c r="G134" s="11"/>
    </row>
    <row r="135" spans="7:7" x14ac:dyDescent="0.2">
      <c r="G135" s="11"/>
    </row>
    <row r="136" spans="7:7" x14ac:dyDescent="0.2">
      <c r="G136" s="11"/>
    </row>
    <row r="137" spans="7:7" x14ac:dyDescent="0.2">
      <c r="G137" s="11"/>
    </row>
    <row r="138" spans="7:7" x14ac:dyDescent="0.2">
      <c r="G138" s="11"/>
    </row>
    <row r="139" spans="7:7" x14ac:dyDescent="0.2">
      <c r="G139" s="11"/>
    </row>
    <row r="140" spans="7:7" x14ac:dyDescent="0.2">
      <c r="G140" s="11"/>
    </row>
    <row r="141" spans="7:7" x14ac:dyDescent="0.2">
      <c r="G141" s="11"/>
    </row>
    <row r="142" spans="7:7" x14ac:dyDescent="0.2">
      <c r="G142" s="11"/>
    </row>
    <row r="143" spans="7:7" x14ac:dyDescent="0.2">
      <c r="G143" s="11"/>
    </row>
    <row r="144" spans="7:7" x14ac:dyDescent="0.2">
      <c r="G144" s="11"/>
    </row>
    <row r="145" spans="7:7" x14ac:dyDescent="0.2">
      <c r="G145" s="11"/>
    </row>
    <row r="146" spans="7:7" x14ac:dyDescent="0.2">
      <c r="G146" s="11"/>
    </row>
    <row r="147" spans="7:7" x14ac:dyDescent="0.2">
      <c r="G147" s="11"/>
    </row>
    <row r="148" spans="7:7" x14ac:dyDescent="0.2">
      <c r="G148" s="11"/>
    </row>
    <row r="149" spans="7:7" x14ac:dyDescent="0.2">
      <c r="G149" s="11"/>
    </row>
    <row r="150" spans="7:7" x14ac:dyDescent="0.2">
      <c r="G150" s="11"/>
    </row>
    <row r="151" spans="7:7" x14ac:dyDescent="0.2">
      <c r="G151" s="11"/>
    </row>
    <row r="152" spans="7:7" x14ac:dyDescent="0.2">
      <c r="G152" s="11"/>
    </row>
    <row r="153" spans="7:7" x14ac:dyDescent="0.2">
      <c r="G153" s="11"/>
    </row>
    <row r="154" spans="7:7" x14ac:dyDescent="0.2">
      <c r="G154" s="11"/>
    </row>
    <row r="155" spans="7:7" x14ac:dyDescent="0.2">
      <c r="G155" s="11"/>
    </row>
    <row r="156" spans="7:7" x14ac:dyDescent="0.2">
      <c r="G156" s="11"/>
    </row>
    <row r="157" spans="7:7" x14ac:dyDescent="0.2">
      <c r="G157" s="11"/>
    </row>
    <row r="158" spans="7:7" x14ac:dyDescent="0.2">
      <c r="G158" s="11"/>
    </row>
    <row r="159" spans="7:7" x14ac:dyDescent="0.2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4.25" x14ac:dyDescent="0.2"/>
  <cols>
    <col min="1" max="1" width="19.85546875" style="24" customWidth="1"/>
    <col min="2" max="2" width="9" style="10" customWidth="1"/>
    <col min="3" max="8" width="12.28515625" style="10" customWidth="1"/>
    <col min="10" max="10" width="6.42578125" customWidth="1"/>
    <col min="12" max="12" width="5.28515625" customWidth="1"/>
  </cols>
  <sheetData>
    <row r="1" spans="1:9" ht="15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5" thickBot="1" x14ac:dyDescent="0.25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ht="15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ht="15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Charpentier, William A.</cp:lastModifiedBy>
  <cp:lastPrinted>2013-07-08T13:20:55Z</cp:lastPrinted>
  <dcterms:created xsi:type="dcterms:W3CDTF">2008-03-11T20:46:20Z</dcterms:created>
  <dcterms:modified xsi:type="dcterms:W3CDTF">2026-05-04T14:07:29Z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