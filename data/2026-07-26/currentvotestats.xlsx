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D98CEDF5-7A40-40BF-9476-CE6C4B8882F1}" xr6:coauthVersionLast="47" xr6:coauthVersionMax="47" xr10:uidLastSave="{00000000-0000-0000-0000-000000000000}"/>
  <bookViews>
    <workbookView xWindow="1740" yWindow="1248" windowWidth="17280" windowHeight="996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<sst xmlns="http://schemas.openxmlformats.org/spreadsheetml/2006/main" count="1139" uniqueCount="131">
  <si>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</si>
  <si>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</si>
  <si>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</si>
  <si>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</si>
  <si>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</si>
  <si>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</si>
  <si>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</si>
  <si>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</si>
  <si>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</si>
  <si>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</si>
  <si>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</si>
  <si>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</si>
  <si>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</si>
  <si>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</si>
  <si>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</si>
  <si>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</si>
  <si>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</si>
  <si>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</si>
  <si>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</si>
  <si>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</si>
  <si>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</si>
  <si>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</si>
  <si>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</si>
  <si>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</si>
  <si>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</si>
  <si>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</si>
  <si>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</si>
  <si>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</si>
  <si>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</si>
  <si>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</si>
  <si>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</si>
  <si>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</si>
  <si>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</si>
  <si>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</si>
  <si>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</si>
  <si>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</si>
  <si>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</si>
  <si>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</si>
  <si>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</si>
  <si>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</si>
  <si>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</si>
  <si>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</si>
  <si>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</si>
  <si>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</si>
  <si>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</si>
  <si>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</si>
  <si>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</si>
  <si>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</si>
  <si>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</si>
  <si>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</si>
  <si>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</si>
  <si>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</si>
  <si>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</si>
  <si>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</si>
  <si>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</si>
  <si>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</si>
  <si>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</si>
  <si>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</si>
  <si>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</si>
  <si>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</si>
  <si>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</si>
  <si>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</si>
  <si>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</si>
  <si>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</si>
  <si>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</si>
  <si>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</si>
  <si>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</si>
  <si>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</si>
  <si>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</si>
  <si>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</si>
  <si>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</si>
  <si>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</si>
  <si>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</si>
  <si>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</si>
  <si>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</si>
  <si>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</si>
  <si>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</si>
  <si>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</si>
  <si>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</si>
  <si>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</si>
  <si>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</si>
  <si>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</si>
  <si>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</si>
  <si>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</si>
  <si>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</si>
  <si>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</si>
  <si>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</si>
  <si>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</si>
  <si>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</si>
  <si>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</si>
  <si>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</si>
  <si>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</si>
  <si>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</si>
  <si>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</si>
  <si>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</si>
  <si>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</si>
  <si>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</si>
  <si>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</si>
  <si>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</si>
  <si>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</si>
  <si>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</si>
  <si>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</si>
  <si>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</si>
  <si>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</si>
  <si>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</si>
  <si>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</si>
  <si>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</si>
  <si>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</si>
  <si>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</si>
  <si>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</si>
  <si>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</si>
  <si>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</si>
  <si>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</si>
  <si>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</si>
  <si>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</si>
  <si>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</si>
  <si>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</si>
  <si>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</si>
  <si>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</si>
  <si>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</si>
  <si>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</si>
  <si>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</si>
  <si>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</si>
  <si>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</si>
  <si>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</si>
  <si>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</si>
  <si>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</si>
  <si>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</si>
  <si>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</si>
  <si>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07/20/2026</t>
  </si>
  <si>
    <t>Week Of 07-13-2026 to 07-20-2026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</si>
</sst>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19170</v>
      </c>
      <c r="D3"/>
      <c r="E3">
        <v>44019</v>
      </c>
      <c r="F3"/>
      <c r="G3">
        <v>10581</v>
      </c>
      <c r="H3"/>
      <c r="I3">
        <v>2791</v>
      </c>
      <c r="K3" s="10">
        <f t="shared" ref="K3:K34" si="0">SUM(C3+E3+G3+I3)</f>
        <v>76561</v>
      </c>
    </row>
    <row r="4" spans="1:12" x14ac:dyDescent="0.25">
      <c r="A4" t="s">
        <v>2</v>
      </c>
      <c r="B4" s="1">
        <v>2291</v>
      </c>
      <c r="C4">
        <v>503003</v>
      </c>
      <c r="D4"/>
      <c r="E4">
        <v>263238</v>
      </c>
      <c r="F4"/>
      <c r="G4">
        <v>113345</v>
      </c>
      <c r="H4"/>
      <c r="I4">
        <v>36795</v>
      </c>
      <c r="K4" s="10">
        <f t="shared" si="0"/>
        <v>916381</v>
      </c>
    </row>
    <row r="5" spans="1:12" x14ac:dyDescent="0.25">
      <c r="A5" t="s">
        <v>3</v>
      </c>
      <c r="B5" s="1">
        <v>2292</v>
      </c>
      <c r="C5">
        <v>10660</v>
      </c>
      <c r="D5"/>
      <c r="E5">
        <v>27633</v>
      </c>
      <c r="F5"/>
      <c r="G5">
        <v>3696</v>
      </c>
      <c r="H5"/>
      <c r="I5">
        <v>1587</v>
      </c>
      <c r="K5" s="10">
        <f t="shared" si="0"/>
        <v>43576</v>
      </c>
    </row>
    <row r="6" spans="1:12" x14ac:dyDescent="0.25">
      <c r="A6" t="s">
        <v>4</v>
      </c>
      <c r="B6" s="1">
        <v>2293</v>
      </c>
      <c r="C6">
        <v>45767</v>
      </c>
      <c r="D6"/>
      <c r="E6">
        <v>51894</v>
      </c>
      <c r="F6"/>
      <c r="G6">
        <v>11760</v>
      </c>
      <c r="H6"/>
      <c r="I6">
        <v>4712</v>
      </c>
      <c r="K6" s="10">
        <f t="shared" si="0"/>
        <v>114133</v>
      </c>
    </row>
    <row r="7" spans="1:12" x14ac:dyDescent="0.25">
      <c r="A7" t="s">
        <v>5</v>
      </c>
      <c r="B7" s="1">
        <v>2294</v>
      </c>
      <c r="C7">
        <v>5267</v>
      </c>
      <c r="D7"/>
      <c r="E7">
        <v>24577</v>
      </c>
      <c r="F7"/>
      <c r="G7">
        <v>2304</v>
      </c>
      <c r="H7"/>
      <c r="I7">
        <v>891</v>
      </c>
      <c r="K7" s="10">
        <f t="shared" si="0"/>
        <v>33039</v>
      </c>
    </row>
    <row r="8" spans="1:12" x14ac:dyDescent="0.25">
      <c r="A8" t="s">
        <v>6</v>
      </c>
      <c r="B8" s="1">
        <v>2295</v>
      </c>
      <c r="C8">
        <v>104308</v>
      </c>
      <c r="D8"/>
      <c r="E8">
        <v>118094</v>
      </c>
      <c r="F8"/>
      <c r="G8">
        <v>41292</v>
      </c>
      <c r="H8"/>
      <c r="I8">
        <v>10391</v>
      </c>
      <c r="K8" s="10">
        <f t="shared" si="0"/>
        <v>274085</v>
      </c>
    </row>
    <row r="9" spans="1:12" x14ac:dyDescent="0.25">
      <c r="A9" t="s">
        <v>7</v>
      </c>
      <c r="B9" s="1">
        <v>2296</v>
      </c>
      <c r="C9">
        <v>19783</v>
      </c>
      <c r="D9"/>
      <c r="E9">
        <v>50631</v>
      </c>
      <c r="F9"/>
      <c r="G9">
        <v>8441</v>
      </c>
      <c r="H9"/>
      <c r="I9">
        <v>2713</v>
      </c>
      <c r="K9" s="10">
        <f t="shared" si="0"/>
        <v>81568</v>
      </c>
    </row>
    <row r="10" spans="1:12" x14ac:dyDescent="0.25">
      <c r="A10" t="s">
        <v>8</v>
      </c>
      <c r="B10" s="1">
        <v>2297</v>
      </c>
      <c r="C10">
        <v>7808</v>
      </c>
      <c r="D10"/>
      <c r="E10">
        <v>25632</v>
      </c>
      <c r="F10"/>
      <c r="G10">
        <v>3866</v>
      </c>
      <c r="H10"/>
      <c r="I10">
        <v>1529</v>
      </c>
      <c r="K10" s="10">
        <f t="shared" si="0"/>
        <v>38835</v>
      </c>
    </row>
    <row r="11" spans="1:12" x14ac:dyDescent="0.25">
      <c r="A11" t="s">
        <v>9</v>
      </c>
      <c r="B11" s="1">
        <v>2298</v>
      </c>
      <c r="C11">
        <v>193815</v>
      </c>
      <c r="D11"/>
      <c r="E11">
        <v>201992</v>
      </c>
      <c r="F11"/>
      <c r="G11">
        <v>69800</v>
      </c>
      <c r="H11"/>
      <c r="I11">
        <v>18354</v>
      </c>
      <c r="K11" s="10">
        <f t="shared" si="0"/>
        <v>483961</v>
      </c>
    </row>
    <row r="12" spans="1:12" x14ac:dyDescent="0.25">
      <c r="A12" t="s">
        <v>10</v>
      </c>
      <c r="B12" s="1">
        <v>2299</v>
      </c>
      <c r="C12">
        <v>39177</v>
      </c>
      <c r="D12"/>
      <c r="E12">
        <v>82953</v>
      </c>
      <c r="F12"/>
      <c r="G12">
        <v>16292</v>
      </c>
      <c r="H12"/>
      <c r="I12">
        <v>5168</v>
      </c>
      <c r="K12" s="10">
        <f t="shared" si="0"/>
        <v>143590</v>
      </c>
    </row>
    <row r="13" spans="1:12" x14ac:dyDescent="0.25">
      <c r="A13" t="s">
        <v>11</v>
      </c>
      <c r="B13" s="1">
        <v>2300</v>
      </c>
      <c r="C13">
        <v>29429</v>
      </c>
      <c r="D13"/>
      <c r="E13">
        <v>46510</v>
      </c>
      <c r="F13"/>
      <c r="G13">
        <v>7836</v>
      </c>
      <c r="H13"/>
      <c r="I13">
        <v>2127</v>
      </c>
      <c r="K13" s="10">
        <f t="shared" si="0"/>
        <v>85902</v>
      </c>
    </row>
    <row r="14" spans="1:12" x14ac:dyDescent="0.25">
      <c r="A14" t="s">
        <v>12</v>
      </c>
      <c r="B14" s="1">
        <v>2301</v>
      </c>
      <c r="C14">
        <v>666</v>
      </c>
      <c r="D14"/>
      <c r="E14">
        <v>1840</v>
      </c>
      <c r="F14"/>
      <c r="G14">
        <v>254</v>
      </c>
      <c r="H14"/>
      <c r="I14">
        <v>123</v>
      </c>
      <c r="K14" s="10">
        <f t="shared" si="0"/>
        <v>2883</v>
      </c>
    </row>
    <row r="15" spans="1:12" x14ac:dyDescent="0.25">
      <c r="A15" t="s">
        <v>13</v>
      </c>
      <c r="B15" s="1">
        <v>2302</v>
      </c>
      <c r="C15">
        <v>14069</v>
      </c>
      <c r="D15"/>
      <c r="E15">
        <v>23860</v>
      </c>
      <c r="F15"/>
      <c r="G15">
        <v>5814</v>
      </c>
      <c r="H15"/>
      <c r="I15">
        <v>1918</v>
      </c>
      <c r="K15" s="10">
        <f t="shared" si="0"/>
        <v>45661</v>
      </c>
    </row>
    <row r="16" spans="1:12" x14ac:dyDescent="0.25">
      <c r="A16" t="s">
        <v>14</v>
      </c>
      <c r="B16" s="1">
        <v>2303</v>
      </c>
      <c r="C16">
        <v>41421</v>
      </c>
      <c r="D16"/>
      <c r="E16">
        <v>41813</v>
      </c>
      <c r="F16"/>
      <c r="G16">
        <v>16078</v>
      </c>
      <c r="H16"/>
      <c r="I16">
        <v>2688</v>
      </c>
      <c r="K16" s="10">
        <f t="shared" si="0"/>
        <v>102000</v>
      </c>
    </row>
    <row r="17" spans="1:11" x14ac:dyDescent="0.25">
      <c r="A17" t="s">
        <v>15</v>
      </c>
      <c r="B17" s="1">
        <v>2304</v>
      </c>
      <c r="C17">
        <v>160690</v>
      </c>
      <c r="D17"/>
      <c r="E17">
        <v>151880</v>
      </c>
      <c r="F17"/>
      <c r="G17">
        <v>58441</v>
      </c>
      <c r="H17"/>
      <c r="I17">
        <v>17949</v>
      </c>
      <c r="K17" s="10">
        <f t="shared" si="0"/>
        <v>388960</v>
      </c>
    </row>
    <row r="18" spans="1:11" x14ac:dyDescent="0.25">
      <c r="A18" t="s">
        <v>16</v>
      </c>
      <c r="B18" s="1">
        <v>2305</v>
      </c>
      <c r="C18">
        <v>5051</v>
      </c>
      <c r="D18"/>
      <c r="E18">
        <v>15534</v>
      </c>
      <c r="F18"/>
      <c r="G18">
        <v>2083</v>
      </c>
      <c r="H18"/>
      <c r="I18">
        <v>644</v>
      </c>
      <c r="K18" s="10">
        <f t="shared" si="0"/>
        <v>23312</v>
      </c>
    </row>
    <row r="19" spans="1:11" x14ac:dyDescent="0.25">
      <c r="A19" t="s">
        <v>17</v>
      </c>
      <c r="B19" s="1">
        <v>2306</v>
      </c>
      <c r="C19">
        <v>12019</v>
      </c>
      <c r="D19"/>
      <c r="E19">
        <v>31444</v>
      </c>
      <c r="F19"/>
      <c r="G19">
        <v>4291</v>
      </c>
      <c r="H19"/>
      <c r="I19">
        <v>1791</v>
      </c>
      <c r="K19" s="10">
        <f t="shared" si="0"/>
        <v>49545</v>
      </c>
    </row>
    <row r="20" spans="1:11" x14ac:dyDescent="0.25">
      <c r="A20" t="s">
        <v>18</v>
      </c>
      <c r="B20" s="1">
        <v>2307</v>
      </c>
      <c r="C20">
        <v>6063</v>
      </c>
      <c r="D20"/>
      <c r="E20">
        <v>13302</v>
      </c>
      <c r="F20"/>
      <c r="G20">
        <v>2405</v>
      </c>
      <c r="H20"/>
      <c r="I20">
        <v>742</v>
      </c>
      <c r="K20" s="10">
        <f t="shared" si="0"/>
        <v>22512</v>
      </c>
    </row>
    <row r="21" spans="1:11" x14ac:dyDescent="0.25">
      <c r="A21" t="s">
        <v>19</v>
      </c>
      <c r="B21" s="1">
        <v>2308</v>
      </c>
      <c r="C21">
        <v>11792</v>
      </c>
      <c r="D21"/>
      <c r="E21">
        <v>22482</v>
      </c>
      <c r="F21"/>
      <c r="G21">
        <v>4869</v>
      </c>
      <c r="H21"/>
      <c r="I21">
        <v>1491</v>
      </c>
      <c r="K21" s="10">
        <f t="shared" si="0"/>
        <v>40634</v>
      </c>
    </row>
    <row r="22" spans="1:11" x14ac:dyDescent="0.25">
      <c r="A22" t="s">
        <v>20</v>
      </c>
      <c r="B22" s="1">
        <v>2309</v>
      </c>
      <c r="C22">
        <v>14452</v>
      </c>
      <c r="D22"/>
      <c r="E22">
        <v>31879</v>
      </c>
      <c r="F22"/>
      <c r="G22">
        <v>4948</v>
      </c>
      <c r="H22"/>
      <c r="I22">
        <v>1839</v>
      </c>
      <c r="K22" s="10">
        <f t="shared" si="0"/>
        <v>53118</v>
      </c>
    </row>
    <row r="23" spans="1:11" x14ac:dyDescent="0.25">
      <c r="A23" t="s">
        <v>21</v>
      </c>
      <c r="B23" s="1">
        <v>2310</v>
      </c>
      <c r="C23">
        <v>61531</v>
      </c>
      <c r="D23"/>
      <c r="E23">
        <v>88329</v>
      </c>
      <c r="F23"/>
      <c r="G23">
        <v>27035</v>
      </c>
      <c r="H23"/>
      <c r="I23">
        <v>6485</v>
      </c>
      <c r="K23" s="10">
        <f t="shared" si="0"/>
        <v>183380</v>
      </c>
    </row>
    <row r="24" spans="1:11" x14ac:dyDescent="0.25">
      <c r="A24" t="s">
        <v>22</v>
      </c>
      <c r="B24" s="1">
        <v>2311</v>
      </c>
      <c r="C24">
        <v>86293</v>
      </c>
      <c r="D24"/>
      <c r="E24">
        <v>76086</v>
      </c>
      <c r="F24"/>
      <c r="G24">
        <v>30889</v>
      </c>
      <c r="H24"/>
      <c r="I24">
        <v>7235</v>
      </c>
      <c r="K24" s="10">
        <f t="shared" si="0"/>
        <v>200503</v>
      </c>
    </row>
    <row r="25" spans="1:11" x14ac:dyDescent="0.25">
      <c r="A25" t="s">
        <v>23</v>
      </c>
      <c r="B25" s="1">
        <v>2312</v>
      </c>
      <c r="C25">
        <v>202678</v>
      </c>
      <c r="D25"/>
      <c r="E25">
        <v>142944</v>
      </c>
      <c r="F25"/>
      <c r="G25">
        <v>48958</v>
      </c>
      <c r="H25"/>
      <c r="I25">
        <v>15691</v>
      </c>
      <c r="K25" s="10">
        <f t="shared" si="0"/>
        <v>410271</v>
      </c>
    </row>
    <row r="26" spans="1:11" x14ac:dyDescent="0.25">
      <c r="A26" t="s">
        <v>24</v>
      </c>
      <c r="B26" s="1">
        <v>2313</v>
      </c>
      <c r="C26">
        <v>5788</v>
      </c>
      <c r="D26"/>
      <c r="E26">
        <v>12126</v>
      </c>
      <c r="F26"/>
      <c r="G26">
        <v>1767</v>
      </c>
      <c r="H26"/>
      <c r="I26">
        <v>785</v>
      </c>
      <c r="K26" s="10">
        <f t="shared" si="0"/>
        <v>20466</v>
      </c>
    </row>
    <row r="27" spans="1:11" x14ac:dyDescent="0.25">
      <c r="A27" t="s">
        <v>25</v>
      </c>
      <c r="B27" s="1">
        <v>2314</v>
      </c>
      <c r="C27">
        <v>76472</v>
      </c>
      <c r="D27"/>
      <c r="E27">
        <v>70857</v>
      </c>
      <c r="F27"/>
      <c r="G27">
        <v>20784</v>
      </c>
      <c r="H27"/>
      <c r="I27">
        <v>6652</v>
      </c>
      <c r="K27" s="10">
        <f t="shared" si="0"/>
        <v>174765</v>
      </c>
    </row>
    <row r="28" spans="1:11" x14ac:dyDescent="0.25">
      <c r="A28" t="s">
        <v>26</v>
      </c>
      <c r="B28" s="1">
        <v>2315</v>
      </c>
      <c r="C28">
        <v>29534</v>
      </c>
      <c r="D28"/>
      <c r="E28">
        <v>41311</v>
      </c>
      <c r="F28"/>
      <c r="G28">
        <v>6665</v>
      </c>
      <c r="H28"/>
      <c r="I28">
        <v>2067</v>
      </c>
      <c r="K28" s="10">
        <f t="shared" si="0"/>
        <v>79577</v>
      </c>
    </row>
    <row r="29" spans="1:11" x14ac:dyDescent="0.25">
      <c r="A29" t="s">
        <v>27</v>
      </c>
      <c r="B29" s="1">
        <v>2316</v>
      </c>
      <c r="C29">
        <v>776</v>
      </c>
      <c r="D29"/>
      <c r="E29">
        <v>2039</v>
      </c>
      <c r="F29"/>
      <c r="G29">
        <v>274</v>
      </c>
      <c r="H29"/>
      <c r="I29">
        <v>123</v>
      </c>
      <c r="K29" s="10">
        <f t="shared" si="0"/>
        <v>3212</v>
      </c>
    </row>
    <row r="30" spans="1:11" x14ac:dyDescent="0.25">
      <c r="A30" t="s">
        <v>28</v>
      </c>
      <c r="B30" s="1">
        <v>2317</v>
      </c>
      <c r="C30">
        <v>23464</v>
      </c>
      <c r="D30"/>
      <c r="E30">
        <v>64364</v>
      </c>
      <c r="F30"/>
      <c r="G30">
        <v>14024</v>
      </c>
      <c r="H30"/>
      <c r="I30">
        <v>3415</v>
      </c>
      <c r="K30" s="10">
        <f t="shared" si="0"/>
        <v>105267</v>
      </c>
    </row>
    <row r="31" spans="1:11" x14ac:dyDescent="0.25">
      <c r="A31" t="s">
        <v>29</v>
      </c>
      <c r="B31" s="1">
        <v>2318</v>
      </c>
      <c r="C31">
        <v>1472</v>
      </c>
      <c r="D31"/>
      <c r="E31">
        <v>7466</v>
      </c>
      <c r="F31"/>
      <c r="G31">
        <v>904</v>
      </c>
      <c r="H31"/>
      <c r="I31">
        <v>265</v>
      </c>
      <c r="K31" s="10">
        <f t="shared" si="0"/>
        <v>10107</v>
      </c>
    </row>
    <row r="32" spans="1:11" x14ac:dyDescent="0.25">
      <c r="A32" t="s">
        <v>30</v>
      </c>
      <c r="B32" s="1">
        <v>2319</v>
      </c>
      <c r="C32">
        <v>7391</v>
      </c>
      <c r="D32"/>
      <c r="E32">
        <v>12166</v>
      </c>
      <c r="F32"/>
      <c r="G32">
        <v>1642</v>
      </c>
      <c r="H32"/>
      <c r="I32">
        <v>602</v>
      </c>
      <c r="K32" s="10">
        <f t="shared" si="0"/>
        <v>21801</v>
      </c>
    </row>
    <row r="33" spans="1:11" x14ac:dyDescent="0.25">
      <c r="A33" t="s">
        <v>31</v>
      </c>
      <c r="B33" s="1">
        <v>2320</v>
      </c>
      <c r="C33">
        <v>6016</v>
      </c>
      <c r="D33"/>
      <c r="E33">
        <v>18911</v>
      </c>
      <c r="F33"/>
      <c r="G33">
        <v>2366</v>
      </c>
      <c r="H33"/>
      <c r="I33">
        <v>598</v>
      </c>
      <c r="K33" s="10">
        <f t="shared" si="0"/>
        <v>27891</v>
      </c>
    </row>
    <row r="34" spans="1:11" x14ac:dyDescent="0.25">
      <c r="A34" t="s">
        <v>32</v>
      </c>
      <c r="B34" s="1">
        <v>2321</v>
      </c>
      <c r="C34">
        <v>13915</v>
      </c>
      <c r="D34"/>
      <c r="E34">
        <v>28878</v>
      </c>
      <c r="F34"/>
      <c r="G34">
        <v>4660</v>
      </c>
      <c r="H34"/>
      <c r="I34">
        <v>1685</v>
      </c>
      <c r="K34" s="10">
        <f t="shared" si="0"/>
        <v>49138</v>
      </c>
    </row>
    <row r="35" spans="1:11" x14ac:dyDescent="0.25">
      <c r="A35" t="s">
        <v>33</v>
      </c>
      <c r="B35" s="1">
        <v>2322</v>
      </c>
      <c r="C35">
        <v>5428</v>
      </c>
      <c r="D35"/>
      <c r="E35">
        <v>19437</v>
      </c>
      <c r="F35"/>
      <c r="G35">
        <v>2281</v>
      </c>
      <c r="H35"/>
      <c r="I35">
        <v>931</v>
      </c>
      <c r="K35" s="10">
        <f t="shared" ref="K35:K69" si="1">SUM(C35+E35+G35+I35)</f>
        <v>28077</v>
      </c>
    </row>
    <row r="36" spans="1:11" x14ac:dyDescent="0.25">
      <c r="A36" t="s">
        <v>34</v>
      </c>
      <c r="B36" s="1">
        <v>2323</v>
      </c>
      <c r="C36">
        <v>2542</v>
      </c>
      <c r="D36"/>
      <c r="E36">
        <v>10024</v>
      </c>
      <c r="F36"/>
      <c r="G36">
        <v>1174</v>
      </c>
      <c r="H36"/>
      <c r="I36">
        <v>338</v>
      </c>
      <c r="K36" s="10">
        <f t="shared" si="1"/>
        <v>14078</v>
      </c>
    </row>
    <row r="37" spans="1:11" x14ac:dyDescent="0.25">
      <c r="A37" t="s">
        <v>35</v>
      </c>
      <c r="B37" s="1">
        <v>2324</v>
      </c>
      <c r="C37">
        <v>76599</v>
      </c>
      <c r="D37"/>
      <c r="E37">
        <v>52301</v>
      </c>
      <c r="F37"/>
      <c r="G37">
        <v>17233</v>
      </c>
      <c r="H37"/>
      <c r="I37">
        <v>3493</v>
      </c>
      <c r="K37" s="10">
        <f t="shared" si="1"/>
        <v>149626</v>
      </c>
    </row>
    <row r="38" spans="1:11" x14ac:dyDescent="0.25">
      <c r="A38" t="s">
        <v>36</v>
      </c>
      <c r="B38" s="1">
        <v>2325</v>
      </c>
      <c r="C38">
        <v>112825</v>
      </c>
      <c r="D38"/>
      <c r="E38">
        <v>183840</v>
      </c>
      <c r="F38"/>
      <c r="G38">
        <v>51332</v>
      </c>
      <c r="H38"/>
      <c r="I38">
        <v>15995</v>
      </c>
      <c r="K38" s="10">
        <f t="shared" si="1"/>
        <v>363992</v>
      </c>
    </row>
    <row r="39" spans="1:11" x14ac:dyDescent="0.25">
      <c r="A39" t="s">
        <v>37</v>
      </c>
      <c r="B39" s="1">
        <v>2326</v>
      </c>
      <c r="C39">
        <v>19677</v>
      </c>
      <c r="D39"/>
      <c r="E39">
        <v>30128</v>
      </c>
      <c r="F39"/>
      <c r="G39">
        <v>5612</v>
      </c>
      <c r="H39"/>
      <c r="I39">
        <v>1897</v>
      </c>
      <c r="K39" s="10">
        <f t="shared" si="1"/>
        <v>57314</v>
      </c>
    </row>
    <row r="40" spans="1:11" x14ac:dyDescent="0.25">
      <c r="A40" t="s">
        <v>38</v>
      </c>
      <c r="B40" s="1">
        <v>2327</v>
      </c>
      <c r="C40">
        <v>25390</v>
      </c>
      <c r="D40"/>
      <c r="E40">
        <v>52632</v>
      </c>
      <c r="F40"/>
      <c r="G40">
        <v>12229</v>
      </c>
      <c r="H40"/>
      <c r="I40">
        <v>3678</v>
      </c>
      <c r="K40" s="10">
        <f t="shared" si="1"/>
        <v>93929</v>
      </c>
    </row>
    <row r="41" spans="1:11" x14ac:dyDescent="0.25">
      <c r="A41" t="s">
        <v>39</v>
      </c>
      <c r="B41" s="1">
        <v>2328</v>
      </c>
      <c r="C41">
        <v>111393</v>
      </c>
      <c r="D41"/>
      <c r="E41">
        <v>89600</v>
      </c>
      <c r="F41"/>
      <c r="G41">
        <v>45478</v>
      </c>
      <c r="H41"/>
      <c r="I41">
        <v>7342</v>
      </c>
      <c r="K41" s="10">
        <f t="shared" si="1"/>
        <v>253813</v>
      </c>
    </row>
    <row r="42" spans="1:11" x14ac:dyDescent="0.25">
      <c r="A42" t="s">
        <v>40</v>
      </c>
      <c r="B42" s="1">
        <v>2329</v>
      </c>
      <c r="C42">
        <v>84837</v>
      </c>
      <c r="D42"/>
      <c r="E42">
        <v>91001</v>
      </c>
      <c r="F42"/>
      <c r="G42">
        <v>25597</v>
      </c>
      <c r="H42"/>
      <c r="I42">
        <v>5657</v>
      </c>
      <c r="K42" s="10">
        <f t="shared" si="1"/>
        <v>207092</v>
      </c>
    </row>
    <row r="43" spans="1:11" x14ac:dyDescent="0.25">
      <c r="A43" t="s">
        <v>41</v>
      </c>
      <c r="B43" s="1">
        <v>2330</v>
      </c>
      <c r="C43">
        <v>18200</v>
      </c>
      <c r="D43"/>
      <c r="E43">
        <v>43779</v>
      </c>
      <c r="F43"/>
      <c r="G43">
        <v>7913</v>
      </c>
      <c r="H43"/>
      <c r="I43">
        <v>2720</v>
      </c>
      <c r="K43" s="10">
        <f t="shared" si="1"/>
        <v>72612</v>
      </c>
    </row>
    <row r="44" spans="1:11" x14ac:dyDescent="0.25">
      <c r="A44" t="s">
        <v>91</v>
      </c>
      <c r="B44" s="1">
        <v>2331</v>
      </c>
      <c r="C44">
        <v>5284</v>
      </c>
      <c r="D44"/>
      <c r="E44">
        <v>16165</v>
      </c>
      <c r="F44"/>
      <c r="G44">
        <v>2699</v>
      </c>
      <c r="H44"/>
      <c r="I44">
        <v>1027</v>
      </c>
      <c r="K44" s="10">
        <f t="shared" si="1"/>
        <v>25175</v>
      </c>
    </row>
    <row r="45" spans="1:11" x14ac:dyDescent="0.25">
      <c r="A45" t="s">
        <v>43</v>
      </c>
      <c r="B45" s="1">
        <v>2332</v>
      </c>
      <c r="C45">
        <v>23114</v>
      </c>
      <c r="D45"/>
      <c r="E45">
        <v>38275</v>
      </c>
      <c r="F45"/>
      <c r="G45">
        <v>8399</v>
      </c>
      <c r="H45"/>
      <c r="I45">
        <v>2025</v>
      </c>
      <c r="K45" s="10">
        <f t="shared" si="1"/>
        <v>71813</v>
      </c>
    </row>
    <row r="46" spans="1:11" x14ac:dyDescent="0.25">
      <c r="A46" t="s">
        <v>44</v>
      </c>
      <c r="B46" s="1">
        <v>2333</v>
      </c>
      <c r="C46">
        <v>5374</v>
      </c>
      <c r="D46"/>
      <c r="E46">
        <v>18620</v>
      </c>
      <c r="F46"/>
      <c r="G46">
        <v>2511</v>
      </c>
      <c r="H46"/>
      <c r="I46">
        <v>622</v>
      </c>
      <c r="K46" s="10">
        <f t="shared" si="1"/>
        <v>27127</v>
      </c>
    </row>
    <row r="47" spans="1:11" x14ac:dyDescent="0.25">
      <c r="A47" t="s">
        <v>45</v>
      </c>
      <c r="B47" s="1">
        <v>2334</v>
      </c>
      <c r="C47">
        <v>48445</v>
      </c>
      <c r="D47"/>
      <c r="E47">
        <v>43274</v>
      </c>
      <c r="F47"/>
      <c r="G47">
        <v>20537</v>
      </c>
      <c r="H47"/>
      <c r="I47">
        <v>4998</v>
      </c>
      <c r="K47" s="10">
        <f t="shared" si="1"/>
        <v>117254</v>
      </c>
    </row>
    <row r="48" spans="1:11" x14ac:dyDescent="0.25">
      <c r="A48" t="s">
        <v>46</v>
      </c>
      <c r="B48" s="1">
        <v>2335</v>
      </c>
      <c r="C48">
        <v>305274</v>
      </c>
      <c r="D48"/>
      <c r="E48">
        <v>207909</v>
      </c>
      <c r="F48"/>
      <c r="G48">
        <v>84098</v>
      </c>
      <c r="H48"/>
      <c r="I48">
        <v>26039</v>
      </c>
      <c r="K48" s="10">
        <f t="shared" si="1"/>
        <v>623320</v>
      </c>
    </row>
    <row r="49" spans="1:11" x14ac:dyDescent="0.25">
      <c r="A49" t="s">
        <v>47</v>
      </c>
      <c r="B49" s="1">
        <v>2336</v>
      </c>
      <c r="C49">
        <v>3774</v>
      </c>
      <c r="D49"/>
      <c r="E49">
        <v>6557</v>
      </c>
      <c r="F49"/>
      <c r="G49">
        <v>1619</v>
      </c>
      <c r="H49"/>
      <c r="I49">
        <v>411</v>
      </c>
      <c r="K49" s="10">
        <f t="shared" si="1"/>
        <v>12361</v>
      </c>
    </row>
    <row r="50" spans="1:11" x14ac:dyDescent="0.25">
      <c r="A50" t="s">
        <v>48</v>
      </c>
      <c r="B50" s="1">
        <v>2337</v>
      </c>
      <c r="C50">
        <v>95890</v>
      </c>
      <c r="D50"/>
      <c r="E50">
        <v>86882</v>
      </c>
      <c r="F50"/>
      <c r="G50">
        <v>39615</v>
      </c>
      <c r="H50"/>
      <c r="I50">
        <v>9575</v>
      </c>
      <c r="K50" s="10">
        <f t="shared" si="1"/>
        <v>231962</v>
      </c>
    </row>
    <row r="51" spans="1:11" x14ac:dyDescent="0.25">
      <c r="A51" t="s">
        <v>49</v>
      </c>
      <c r="B51" s="1">
        <v>2338</v>
      </c>
      <c r="C51">
        <v>15340</v>
      </c>
      <c r="D51"/>
      <c r="E51">
        <v>31943</v>
      </c>
      <c r="F51"/>
      <c r="G51">
        <v>5810</v>
      </c>
      <c r="H51"/>
      <c r="I51">
        <v>2240</v>
      </c>
      <c r="K51" s="10">
        <f t="shared" si="1"/>
        <v>55333</v>
      </c>
    </row>
    <row r="52" spans="1:11" x14ac:dyDescent="0.25">
      <c r="A52" t="s">
        <v>50</v>
      </c>
      <c r="B52" s="1">
        <v>2339</v>
      </c>
      <c r="C52">
        <v>6025</v>
      </c>
      <c r="D52"/>
      <c r="E52">
        <v>20956</v>
      </c>
      <c r="F52"/>
      <c r="G52">
        <v>3420</v>
      </c>
      <c r="H52"/>
      <c r="I52">
        <v>846</v>
      </c>
      <c r="K52" s="10">
        <f t="shared" si="1"/>
        <v>31247</v>
      </c>
    </row>
    <row r="53" spans="1:11" x14ac:dyDescent="0.25">
      <c r="A53" t="s">
        <v>51</v>
      </c>
      <c r="B53" s="1">
        <v>2340</v>
      </c>
      <c r="C53">
        <v>776420</v>
      </c>
      <c r="D53"/>
      <c r="E53">
        <v>131158</v>
      </c>
      <c r="F53"/>
      <c r="G53">
        <v>150493</v>
      </c>
      <c r="H53"/>
      <c r="I53">
        <v>26334</v>
      </c>
      <c r="K53" s="10">
        <f t="shared" si="1"/>
        <v>1084405</v>
      </c>
    </row>
    <row r="54" spans="1:11" x14ac:dyDescent="0.25">
      <c r="A54" t="s">
        <v>52</v>
      </c>
      <c r="B54" s="1">
        <v>2341</v>
      </c>
      <c r="C54">
        <v>13571</v>
      </c>
      <c r="D54"/>
      <c r="E54">
        <v>23015</v>
      </c>
      <c r="F54"/>
      <c r="G54">
        <v>8435</v>
      </c>
      <c r="H54"/>
      <c r="I54">
        <v>2151</v>
      </c>
      <c r="K54" s="10">
        <f t="shared" si="1"/>
        <v>47172</v>
      </c>
    </row>
    <row r="55" spans="1:11" x14ac:dyDescent="0.25">
      <c r="A55" t="s">
        <v>53</v>
      </c>
      <c r="B55" s="1">
        <v>2342</v>
      </c>
      <c r="C55">
        <v>1740</v>
      </c>
      <c r="D55"/>
      <c r="E55">
        <v>8004</v>
      </c>
      <c r="F55"/>
      <c r="G55">
        <v>995</v>
      </c>
      <c r="H55"/>
      <c r="I55">
        <v>274</v>
      </c>
      <c r="K55" s="10">
        <f t="shared" si="1"/>
        <v>11013</v>
      </c>
    </row>
    <row r="56" spans="1:11" x14ac:dyDescent="0.25">
      <c r="A56" t="s">
        <v>54</v>
      </c>
      <c r="B56" s="1">
        <v>2343</v>
      </c>
      <c r="C56">
        <v>25317</v>
      </c>
      <c r="D56"/>
      <c r="E56">
        <v>53120</v>
      </c>
      <c r="F56"/>
      <c r="G56">
        <v>10058</v>
      </c>
      <c r="H56"/>
      <c r="I56">
        <v>3773</v>
      </c>
      <c r="K56" s="10">
        <f t="shared" si="1"/>
        <v>92268</v>
      </c>
    </row>
    <row r="57" spans="1:11" x14ac:dyDescent="0.25">
      <c r="A57" t="s">
        <v>55</v>
      </c>
      <c r="B57" s="1">
        <v>2344</v>
      </c>
      <c r="C57">
        <v>4882</v>
      </c>
      <c r="D57"/>
      <c r="E57">
        <v>15960</v>
      </c>
      <c r="F57"/>
      <c r="G57">
        <v>2353</v>
      </c>
      <c r="H57"/>
      <c r="I57">
        <v>672</v>
      </c>
      <c r="K57" s="10">
        <f t="shared" si="1"/>
        <v>23867</v>
      </c>
    </row>
    <row r="58" spans="1:11" x14ac:dyDescent="0.25">
      <c r="A58" t="s">
        <v>56</v>
      </c>
      <c r="B58" s="1">
        <v>2345</v>
      </c>
      <c r="C58">
        <v>10506</v>
      </c>
      <c r="D58"/>
      <c r="E58">
        <v>32840</v>
      </c>
      <c r="F58"/>
      <c r="G58">
        <v>4379</v>
      </c>
      <c r="H58"/>
      <c r="I58">
        <v>764</v>
      </c>
      <c r="K58" s="10">
        <f t="shared" si="1"/>
        <v>48489</v>
      </c>
    </row>
    <row r="59" spans="1:11" x14ac:dyDescent="0.25">
      <c r="A59" t="s">
        <v>57</v>
      </c>
      <c r="B59" s="1">
        <v>2346</v>
      </c>
      <c r="C59">
        <v>1061</v>
      </c>
      <c r="D59"/>
      <c r="E59">
        <v>2848</v>
      </c>
      <c r="F59"/>
      <c r="G59">
        <v>378</v>
      </c>
      <c r="H59"/>
      <c r="I59">
        <v>162</v>
      </c>
      <c r="K59" s="10">
        <f t="shared" si="1"/>
        <v>4449</v>
      </c>
    </row>
    <row r="60" spans="1:11" x14ac:dyDescent="0.25">
      <c r="A60" t="s">
        <v>58</v>
      </c>
      <c r="B60" s="1">
        <v>2347</v>
      </c>
      <c r="C60">
        <v>6243</v>
      </c>
      <c r="D60"/>
      <c r="E60">
        <v>17477</v>
      </c>
      <c r="F60"/>
      <c r="G60">
        <v>2920</v>
      </c>
      <c r="H60"/>
      <c r="I60">
        <v>1151</v>
      </c>
      <c r="K60" s="10">
        <f t="shared" si="1"/>
        <v>27791</v>
      </c>
    </row>
    <row r="61" spans="1:11" x14ac:dyDescent="0.25">
      <c r="A61" t="s">
        <v>59</v>
      </c>
      <c r="B61" s="1">
        <v>2348</v>
      </c>
      <c r="C61">
        <v>4933</v>
      </c>
      <c r="D61"/>
      <c r="E61">
        <v>18115</v>
      </c>
      <c r="F61"/>
      <c r="G61">
        <v>2962</v>
      </c>
      <c r="H61"/>
      <c r="I61">
        <v>793</v>
      </c>
      <c r="K61" s="10">
        <f t="shared" si="1"/>
        <v>26803</v>
      </c>
    </row>
    <row r="62" spans="1:11" x14ac:dyDescent="0.25">
      <c r="A62" t="s">
        <v>60</v>
      </c>
      <c r="B62" s="1">
        <v>2349</v>
      </c>
      <c r="C62">
        <v>7784</v>
      </c>
      <c r="D62"/>
      <c r="E62">
        <v>14405</v>
      </c>
      <c r="F62"/>
      <c r="G62">
        <v>3233</v>
      </c>
      <c r="H62"/>
      <c r="I62">
        <v>977</v>
      </c>
      <c r="K62" s="10">
        <f t="shared" si="1"/>
        <v>26399</v>
      </c>
    </row>
    <row r="63" spans="1:11" x14ac:dyDescent="0.25">
      <c r="A63" t="s">
        <v>61</v>
      </c>
      <c r="B63" s="1">
        <v>2350</v>
      </c>
      <c r="C63">
        <v>8033</v>
      </c>
      <c r="D63"/>
      <c r="E63">
        <v>20119</v>
      </c>
      <c r="F63"/>
      <c r="G63">
        <v>3397</v>
      </c>
      <c r="H63"/>
      <c r="I63">
        <v>1218</v>
      </c>
      <c r="K63" s="10">
        <f t="shared" si="1"/>
        <v>32767</v>
      </c>
    </row>
    <row r="64" spans="1:11" x14ac:dyDescent="0.25">
      <c r="A64" t="s">
        <v>62</v>
      </c>
      <c r="B64" s="1">
        <v>2351</v>
      </c>
      <c r="C64">
        <v>6340</v>
      </c>
      <c r="D64"/>
      <c r="E64">
        <v>15222</v>
      </c>
      <c r="F64"/>
      <c r="G64">
        <v>2582</v>
      </c>
      <c r="H64"/>
      <c r="I64">
        <v>1254</v>
      </c>
      <c r="K64" s="10">
        <f t="shared" si="1"/>
        <v>25398</v>
      </c>
    </row>
    <row r="65" spans="1:11" x14ac:dyDescent="0.25">
      <c r="A65" t="s">
        <v>63</v>
      </c>
      <c r="B65" s="1">
        <v>2352</v>
      </c>
      <c r="C65">
        <v>52858</v>
      </c>
      <c r="D65"/>
      <c r="E65">
        <v>72979</v>
      </c>
      <c r="F65"/>
      <c r="G65">
        <v>15977</v>
      </c>
      <c r="H65"/>
      <c r="I65">
        <v>3800</v>
      </c>
      <c r="K65" s="10">
        <f t="shared" si="1"/>
        <v>145614</v>
      </c>
    </row>
    <row r="66" spans="1:11" x14ac:dyDescent="0.25">
      <c r="A66" t="s">
        <v>64</v>
      </c>
      <c r="B66" s="1">
        <v>2353</v>
      </c>
      <c r="C66">
        <v>8697</v>
      </c>
      <c r="D66"/>
      <c r="E66">
        <v>21737</v>
      </c>
      <c r="F66"/>
      <c r="G66">
        <v>5147</v>
      </c>
      <c r="H66"/>
      <c r="I66">
        <v>1057</v>
      </c>
      <c r="K66" s="10">
        <f t="shared" si="1"/>
        <v>36638</v>
      </c>
    </row>
    <row r="67" spans="1:11" x14ac:dyDescent="0.25">
      <c r="A67" t="s">
        <v>65</v>
      </c>
      <c r="B67" s="1">
        <v>2354</v>
      </c>
      <c r="C67">
        <v>86823</v>
      </c>
      <c r="D67"/>
      <c r="E67">
        <v>130909</v>
      </c>
      <c r="F67"/>
      <c r="G67">
        <v>23879</v>
      </c>
      <c r="H67"/>
      <c r="I67">
        <v>9210</v>
      </c>
      <c r="K67" s="10">
        <f t="shared" si="1"/>
        <v>250821</v>
      </c>
    </row>
    <row r="68" spans="1:11" x14ac:dyDescent="0.25">
      <c r="A68" t="s">
        <v>66</v>
      </c>
      <c r="B68" s="1">
        <v>2355</v>
      </c>
      <c r="C68">
        <v>4674</v>
      </c>
      <c r="D68"/>
      <c r="E68">
        <v>11331</v>
      </c>
      <c r="F68"/>
      <c r="G68">
        <v>1811</v>
      </c>
      <c r="H68"/>
      <c r="I68">
        <v>661</v>
      </c>
      <c r="K68" s="10">
        <f t="shared" si="1"/>
        <v>18477</v>
      </c>
    </row>
    <row r="69" spans="1:11" ht="13.8" thickBot="1" x14ac:dyDescent="0.3">
      <c r="A69" s="2" t="s">
        <v>67</v>
      </c>
      <c r="B69" s="5">
        <v>2356</v>
      </c>
      <c r="C69">
        <v>96400</v>
      </c>
      <c r="D69"/>
      <c r="E69">
        <v>168280</v>
      </c>
      <c r="F69"/>
      <c r="G69">
        <v>53536</v>
      </c>
      <c r="H69"/>
      <c r="I69">
        <v>8826</v>
      </c>
      <c r="J69" s="13"/>
      <c r="K69" s="10">
        <f t="shared" si="1"/>
        <v>327042</v>
      </c>
    </row>
    <row r="70" spans="1:11" ht="21.75" customHeight="1" x14ac:dyDescent="0.25">
      <c r="A70" s="6" t="s">
        <v>68</v>
      </c>
      <c r="C70" s="14">
        <f>SUM(C3:C69)</f>
        <v>3841433</v>
      </c>
      <c r="D70" s="14"/>
      <c r="E70" s="14">
        <f>SUM(E3:E69)</f>
        <v>3637526</v>
      </c>
      <c r="F70" s="14"/>
      <c r="G70" s="14">
        <f>SUM(G3:G69)</f>
        <v>1178456</v>
      </c>
      <c r="H70" s="14"/>
      <c r="I70" s="14">
        <f>SUM(I3:I69)</f>
        <v>314757</v>
      </c>
      <c r="J70" s="14"/>
      <c r="K70" s="44">
        <f>SUM(K3:K69)</f>
        <v>8972172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M15" sqref="M15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3</v>
      </c>
      <c r="C4" s="42">
        <v>0</v>
      </c>
      <c r="D4" s="42">
        <v>3</v>
      </c>
      <c r="E4" s="42">
        <v>1</v>
      </c>
      <c r="F4" s="42">
        <v>104</v>
      </c>
      <c r="G4" s="42">
        <v>132</v>
      </c>
      <c r="H4" s="42">
        <v>103</v>
      </c>
      <c r="I4" s="42">
        <v>139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52</v>
      </c>
      <c r="C5" s="42">
        <v>71</v>
      </c>
      <c r="D5" s="42">
        <v>36</v>
      </c>
      <c r="E5" s="42">
        <v>20</v>
      </c>
      <c r="F5" s="42">
        <v>1143</v>
      </c>
      <c r="G5" s="42">
        <v>1988</v>
      </c>
      <c r="H5" s="42">
        <v>1106</v>
      </c>
      <c r="I5" s="42">
        <v>547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1</v>
      </c>
      <c r="C6" s="42">
        <v>0</v>
      </c>
      <c r="D6" s="42">
        <v>5</v>
      </c>
      <c r="E6" s="42">
        <v>0</v>
      </c>
      <c r="F6" s="42">
        <v>33</v>
      </c>
      <c r="G6" s="42">
        <v>34</v>
      </c>
      <c r="H6" s="42">
        <v>92</v>
      </c>
      <c r="I6" s="42">
        <v>35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3</v>
      </c>
      <c r="C7" s="42">
        <v>6</v>
      </c>
      <c r="D7" s="42">
        <v>10</v>
      </c>
      <c r="E7" s="42">
        <v>2</v>
      </c>
      <c r="F7" s="42">
        <v>115</v>
      </c>
      <c r="G7" s="42">
        <v>167</v>
      </c>
      <c r="H7" s="42">
        <v>223</v>
      </c>
      <c r="I7" s="42">
        <v>84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1</v>
      </c>
      <c r="C8" s="42">
        <v>0</v>
      </c>
      <c r="D8" s="42">
        <v>2</v>
      </c>
      <c r="E8" s="42">
        <v>0</v>
      </c>
      <c r="F8" s="42">
        <v>19</v>
      </c>
      <c r="G8" s="42">
        <v>18</v>
      </c>
      <c r="H8" s="42">
        <v>25</v>
      </c>
      <c r="I8" s="42">
        <v>19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10</v>
      </c>
      <c r="C9" s="42">
        <v>22</v>
      </c>
      <c r="D9" s="42">
        <v>13</v>
      </c>
      <c r="E9" s="42">
        <v>11</v>
      </c>
      <c r="F9" s="42">
        <v>449</v>
      </c>
      <c r="G9" s="42">
        <v>670</v>
      </c>
      <c r="H9" s="42">
        <v>555</v>
      </c>
      <c r="I9" s="42">
        <v>435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4</v>
      </c>
      <c r="C10" s="42">
        <v>0</v>
      </c>
      <c r="D10" s="42">
        <v>3</v>
      </c>
      <c r="E10" s="42">
        <v>1</v>
      </c>
      <c r="F10" s="42">
        <v>91</v>
      </c>
      <c r="G10" s="42">
        <v>111</v>
      </c>
      <c r="H10" s="42">
        <v>84</v>
      </c>
      <c r="I10" s="42">
        <v>81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4</v>
      </c>
      <c r="C11" s="42">
        <v>0</v>
      </c>
      <c r="D11" s="42">
        <v>0</v>
      </c>
      <c r="E11" s="42">
        <v>1</v>
      </c>
      <c r="F11" s="42">
        <v>42</v>
      </c>
      <c r="G11" s="42">
        <v>44</v>
      </c>
      <c r="H11" s="42">
        <v>54</v>
      </c>
      <c r="I11" s="42">
        <v>65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36</v>
      </c>
      <c r="C12" s="42">
        <v>25</v>
      </c>
      <c r="D12" s="42">
        <v>20</v>
      </c>
      <c r="E12" s="42">
        <v>12</v>
      </c>
      <c r="F12" s="42">
        <v>868</v>
      </c>
      <c r="G12" s="42">
        <v>1396</v>
      </c>
      <c r="H12" s="42">
        <v>748</v>
      </c>
      <c r="I12" s="42">
        <v>772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4</v>
      </c>
      <c r="C13" s="42">
        <v>6</v>
      </c>
      <c r="D13" s="42">
        <v>4</v>
      </c>
      <c r="E13" s="42">
        <v>2</v>
      </c>
      <c r="F13" s="42">
        <v>177</v>
      </c>
      <c r="G13" s="42">
        <v>221</v>
      </c>
      <c r="H13" s="42">
        <v>136</v>
      </c>
      <c r="I13" s="42">
        <v>158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6</v>
      </c>
      <c r="C14" s="42">
        <v>1</v>
      </c>
      <c r="D14" s="42">
        <v>6</v>
      </c>
      <c r="E14" s="42">
        <v>0</v>
      </c>
      <c r="F14" s="42">
        <v>106</v>
      </c>
      <c r="G14" s="42">
        <v>84</v>
      </c>
      <c r="H14" s="42">
        <v>218</v>
      </c>
      <c r="I14" s="42">
        <v>85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1</v>
      </c>
      <c r="C15" s="42">
        <v>1</v>
      </c>
      <c r="D15" s="42">
        <v>0</v>
      </c>
      <c r="E15" s="42">
        <v>0</v>
      </c>
      <c r="F15" s="42">
        <v>2</v>
      </c>
      <c r="G15" s="42">
        <v>2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5</v>
      </c>
      <c r="C16" s="42">
        <v>1</v>
      </c>
      <c r="D16" s="42">
        <v>4</v>
      </c>
      <c r="E16" s="42">
        <v>2</v>
      </c>
      <c r="F16" s="42">
        <v>53</v>
      </c>
      <c r="G16" s="42">
        <v>89</v>
      </c>
      <c r="H16" s="42">
        <v>76</v>
      </c>
      <c r="I16" s="42">
        <v>60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7</v>
      </c>
      <c r="C17" s="42">
        <v>0</v>
      </c>
      <c r="D17" s="42">
        <v>3</v>
      </c>
      <c r="E17" s="42">
        <v>1</v>
      </c>
      <c r="F17" s="42">
        <v>129</v>
      </c>
      <c r="G17" s="42">
        <v>169</v>
      </c>
      <c r="H17" s="42">
        <v>67</v>
      </c>
      <c r="I17" s="42">
        <v>93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20</v>
      </c>
      <c r="C18" s="42">
        <v>40</v>
      </c>
      <c r="D18" s="42">
        <v>17</v>
      </c>
      <c r="E18" s="42">
        <v>12</v>
      </c>
      <c r="F18" s="42">
        <v>690</v>
      </c>
      <c r="G18" s="42">
        <v>1171</v>
      </c>
      <c r="H18" s="42">
        <v>364</v>
      </c>
      <c r="I18" s="42">
        <v>560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13</v>
      </c>
      <c r="G19" s="42">
        <v>15</v>
      </c>
      <c r="H19" s="42">
        <v>24</v>
      </c>
      <c r="I19" s="42">
        <v>11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1</v>
      </c>
      <c r="C20" s="42">
        <v>0</v>
      </c>
      <c r="D20" s="42">
        <v>5</v>
      </c>
      <c r="E20" s="42">
        <v>3</v>
      </c>
      <c r="F20" s="42">
        <v>31</v>
      </c>
      <c r="G20" s="42">
        <v>43</v>
      </c>
      <c r="H20" s="42">
        <v>94</v>
      </c>
      <c r="I20" s="42">
        <v>60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1</v>
      </c>
      <c r="C21" s="42">
        <v>0</v>
      </c>
      <c r="D21" s="42">
        <v>4</v>
      </c>
      <c r="E21" s="42">
        <v>3</v>
      </c>
      <c r="F21" s="42">
        <v>23</v>
      </c>
      <c r="G21" s="42">
        <v>35</v>
      </c>
      <c r="H21" s="42">
        <v>35</v>
      </c>
      <c r="I21" s="42">
        <v>35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1</v>
      </c>
      <c r="C22" s="42">
        <v>0</v>
      </c>
      <c r="D22" s="42">
        <v>3</v>
      </c>
      <c r="E22" s="42">
        <v>1</v>
      </c>
      <c r="F22" s="42">
        <v>42</v>
      </c>
      <c r="G22" s="42">
        <v>48</v>
      </c>
      <c r="H22" s="42">
        <v>46</v>
      </c>
      <c r="I22" s="42">
        <v>37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0</v>
      </c>
      <c r="C23" s="42">
        <v>0</v>
      </c>
      <c r="D23" s="42">
        <v>0</v>
      </c>
      <c r="E23" s="42">
        <v>0</v>
      </c>
      <c r="F23" s="42">
        <v>48</v>
      </c>
      <c r="G23" s="42">
        <v>42</v>
      </c>
      <c r="H23" s="42">
        <v>57</v>
      </c>
      <c r="I23" s="42">
        <v>40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10</v>
      </c>
      <c r="C24" s="42">
        <v>8</v>
      </c>
      <c r="D24" s="42">
        <v>8</v>
      </c>
      <c r="E24" s="42">
        <v>8</v>
      </c>
      <c r="F24" s="42">
        <v>376</v>
      </c>
      <c r="G24" s="42">
        <v>520</v>
      </c>
      <c r="H24" s="42">
        <v>224</v>
      </c>
      <c r="I24" s="42">
        <v>350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12</v>
      </c>
      <c r="C25" s="42">
        <v>33</v>
      </c>
      <c r="D25" s="42">
        <v>12</v>
      </c>
      <c r="E25" s="42">
        <v>9</v>
      </c>
      <c r="F25" s="42">
        <v>558</v>
      </c>
      <c r="G25" s="42">
        <v>1110</v>
      </c>
      <c r="H25" s="42">
        <v>330</v>
      </c>
      <c r="I25" s="42">
        <v>299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15</v>
      </c>
      <c r="C26" s="42">
        <v>25</v>
      </c>
      <c r="D26" s="42">
        <v>13</v>
      </c>
      <c r="E26" s="42">
        <v>8</v>
      </c>
      <c r="F26" s="42">
        <v>646</v>
      </c>
      <c r="G26" s="42">
        <v>805</v>
      </c>
      <c r="H26" s="42">
        <v>398</v>
      </c>
      <c r="I26" s="42">
        <v>211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1</v>
      </c>
      <c r="D27" s="42">
        <v>1</v>
      </c>
      <c r="E27" s="42">
        <v>0</v>
      </c>
      <c r="F27" s="42">
        <v>18</v>
      </c>
      <c r="G27" s="42">
        <v>16</v>
      </c>
      <c r="H27" s="42">
        <v>40</v>
      </c>
      <c r="I27" s="42">
        <v>13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9</v>
      </c>
      <c r="C28" s="42">
        <v>8</v>
      </c>
      <c r="D28" s="42">
        <v>9</v>
      </c>
      <c r="E28" s="42">
        <v>4</v>
      </c>
      <c r="F28" s="42">
        <v>267</v>
      </c>
      <c r="G28" s="42">
        <v>279</v>
      </c>
      <c r="H28" s="42">
        <v>274</v>
      </c>
      <c r="I28" s="42">
        <v>126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1</v>
      </c>
      <c r="C29" s="42">
        <v>1</v>
      </c>
      <c r="D29" s="42">
        <v>5</v>
      </c>
      <c r="E29" s="42">
        <v>2</v>
      </c>
      <c r="F29" s="42">
        <v>98</v>
      </c>
      <c r="G29" s="42">
        <v>71</v>
      </c>
      <c r="H29" s="42">
        <v>245</v>
      </c>
      <c r="I29" s="42">
        <v>75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4</v>
      </c>
      <c r="I30" s="42">
        <v>2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9</v>
      </c>
      <c r="C31" s="42">
        <v>5</v>
      </c>
      <c r="D31" s="42">
        <v>6</v>
      </c>
      <c r="E31" s="42">
        <v>7</v>
      </c>
      <c r="F31" s="42">
        <v>160</v>
      </c>
      <c r="G31" s="42">
        <v>166</v>
      </c>
      <c r="H31" s="42">
        <v>118</v>
      </c>
      <c r="I31" s="42">
        <v>177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5</v>
      </c>
      <c r="G32" s="42">
        <v>2</v>
      </c>
      <c r="H32" s="42">
        <v>15</v>
      </c>
      <c r="I32" s="42">
        <v>11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4</v>
      </c>
      <c r="C33" s="42">
        <v>1</v>
      </c>
      <c r="D33" s="42">
        <v>4</v>
      </c>
      <c r="E33" s="42">
        <v>2</v>
      </c>
      <c r="F33" s="42">
        <v>20</v>
      </c>
      <c r="G33" s="42">
        <v>12</v>
      </c>
      <c r="H33" s="42">
        <v>90</v>
      </c>
      <c r="I33" s="42">
        <v>44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1</v>
      </c>
      <c r="E34" s="42">
        <v>0</v>
      </c>
      <c r="F34" s="42">
        <v>20</v>
      </c>
      <c r="G34" s="42">
        <v>26</v>
      </c>
      <c r="H34" s="42">
        <v>38</v>
      </c>
      <c r="I34" s="42">
        <v>21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1</v>
      </c>
      <c r="C35" s="42">
        <v>1</v>
      </c>
      <c r="D35" s="42">
        <v>0</v>
      </c>
      <c r="E35" s="42">
        <v>0</v>
      </c>
      <c r="F35" s="42">
        <v>33</v>
      </c>
      <c r="G35" s="42">
        <v>43</v>
      </c>
      <c r="H35" s="42">
        <v>75</v>
      </c>
      <c r="I35" s="42">
        <v>59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1</v>
      </c>
      <c r="D36" s="42">
        <v>0</v>
      </c>
      <c r="E36" s="42">
        <v>1</v>
      </c>
      <c r="F36" s="42">
        <v>15</v>
      </c>
      <c r="G36" s="42">
        <v>24</v>
      </c>
      <c r="H36" s="42">
        <v>13</v>
      </c>
      <c r="I36" s="42">
        <v>17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1</v>
      </c>
      <c r="E37" s="42">
        <v>0</v>
      </c>
      <c r="F37" s="42">
        <v>12</v>
      </c>
      <c r="G37" s="42">
        <v>8</v>
      </c>
      <c r="H37" s="42">
        <v>12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13</v>
      </c>
      <c r="C38" s="42">
        <v>12</v>
      </c>
      <c r="D38" s="42">
        <v>9</v>
      </c>
      <c r="E38" s="42">
        <v>7</v>
      </c>
      <c r="F38" s="42">
        <v>333</v>
      </c>
      <c r="G38" s="42">
        <v>333</v>
      </c>
      <c r="H38" s="42">
        <v>337</v>
      </c>
      <c r="I38" s="42">
        <v>139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27</v>
      </c>
      <c r="C39" s="42">
        <v>22</v>
      </c>
      <c r="D39" s="42">
        <v>23</v>
      </c>
      <c r="E39" s="42">
        <v>19</v>
      </c>
      <c r="F39" s="42">
        <v>691</v>
      </c>
      <c r="G39" s="42">
        <v>1030</v>
      </c>
      <c r="H39" s="42">
        <v>508</v>
      </c>
      <c r="I39" s="42">
        <v>696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0</v>
      </c>
      <c r="C40" s="42">
        <v>0</v>
      </c>
      <c r="D40" s="42">
        <v>3</v>
      </c>
      <c r="E40" s="42">
        <v>1</v>
      </c>
      <c r="F40" s="42">
        <v>52</v>
      </c>
      <c r="G40" s="42">
        <v>51</v>
      </c>
      <c r="H40" s="42">
        <v>95</v>
      </c>
      <c r="I40" s="42">
        <v>61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3</v>
      </c>
      <c r="C41" s="42">
        <v>1</v>
      </c>
      <c r="D41" s="42">
        <v>1</v>
      </c>
      <c r="E41" s="42">
        <v>5</v>
      </c>
      <c r="F41" s="42">
        <v>164</v>
      </c>
      <c r="G41" s="42">
        <v>152</v>
      </c>
      <c r="H41" s="42">
        <v>136</v>
      </c>
      <c r="I41" s="42">
        <v>153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14</v>
      </c>
      <c r="C42" s="42">
        <v>23</v>
      </c>
      <c r="D42" s="42">
        <v>11</v>
      </c>
      <c r="E42" s="42">
        <v>6</v>
      </c>
      <c r="F42" s="42">
        <v>580</v>
      </c>
      <c r="G42" s="42">
        <v>839</v>
      </c>
      <c r="H42" s="42">
        <v>364</v>
      </c>
      <c r="I42" s="42">
        <v>278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21</v>
      </c>
      <c r="C43" s="42">
        <v>37</v>
      </c>
      <c r="D43" s="42">
        <v>11</v>
      </c>
      <c r="E43" s="42">
        <v>5</v>
      </c>
      <c r="F43" s="42">
        <v>345</v>
      </c>
      <c r="G43" s="42">
        <v>432</v>
      </c>
      <c r="H43" s="42">
        <v>484</v>
      </c>
      <c r="I43" s="42">
        <v>219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3</v>
      </c>
      <c r="C44" s="42">
        <v>1</v>
      </c>
      <c r="D44" s="42">
        <v>2</v>
      </c>
      <c r="E44" s="42">
        <v>1</v>
      </c>
      <c r="F44" s="42">
        <v>108</v>
      </c>
      <c r="G44" s="42">
        <v>112</v>
      </c>
      <c r="H44" s="42">
        <v>102</v>
      </c>
      <c r="I44" s="42">
        <v>126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8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0</v>
      </c>
      <c r="C46" s="42">
        <v>2</v>
      </c>
      <c r="D46" s="42">
        <v>2</v>
      </c>
      <c r="E46" s="42">
        <v>1</v>
      </c>
      <c r="F46" s="42">
        <v>77</v>
      </c>
      <c r="G46" s="42">
        <v>96</v>
      </c>
      <c r="H46" s="42">
        <v>109</v>
      </c>
      <c r="I46" s="42">
        <v>67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0</v>
      </c>
      <c r="C47" s="42">
        <v>1</v>
      </c>
      <c r="D47" s="42">
        <v>1</v>
      </c>
      <c r="E47" s="42">
        <v>0</v>
      </c>
      <c r="F47" s="42">
        <v>29</v>
      </c>
      <c r="G47" s="42">
        <v>30</v>
      </c>
      <c r="H47" s="42">
        <v>32</v>
      </c>
      <c r="I47" s="42">
        <v>21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5</v>
      </c>
      <c r="C48" s="42">
        <v>8</v>
      </c>
      <c r="D48" s="42">
        <v>8</v>
      </c>
      <c r="E48" s="42">
        <v>5</v>
      </c>
      <c r="F48" s="42">
        <v>128</v>
      </c>
      <c r="G48" s="42">
        <v>272</v>
      </c>
      <c r="H48" s="42">
        <v>175</v>
      </c>
      <c r="I48" s="42">
        <v>192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24</v>
      </c>
      <c r="C49" s="42">
        <v>34</v>
      </c>
      <c r="D49" s="42">
        <v>23</v>
      </c>
      <c r="E49" s="42">
        <v>18</v>
      </c>
      <c r="F49" s="42">
        <v>1163</v>
      </c>
      <c r="G49" s="42">
        <v>1623</v>
      </c>
      <c r="H49" s="42">
        <v>825</v>
      </c>
      <c r="I49" s="42">
        <v>683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12</v>
      </c>
      <c r="G50" s="42">
        <v>9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6</v>
      </c>
      <c r="C51" s="42">
        <v>21</v>
      </c>
      <c r="D51" s="42">
        <v>13</v>
      </c>
      <c r="E51" s="42">
        <v>6</v>
      </c>
      <c r="F51" s="42">
        <v>401</v>
      </c>
      <c r="G51" s="42">
        <v>697</v>
      </c>
      <c r="H51" s="42">
        <v>399</v>
      </c>
      <c r="I51" s="42">
        <v>378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1</v>
      </c>
      <c r="C52" s="42">
        <v>2</v>
      </c>
      <c r="D52" s="42">
        <v>0</v>
      </c>
      <c r="E52" s="42">
        <v>0</v>
      </c>
      <c r="F52" s="42">
        <v>66</v>
      </c>
      <c r="G52" s="42">
        <v>66</v>
      </c>
      <c r="H52" s="42">
        <v>75</v>
      </c>
      <c r="I52" s="42">
        <v>40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0</v>
      </c>
      <c r="C53" s="42">
        <v>3</v>
      </c>
      <c r="D53" s="42">
        <v>1</v>
      </c>
      <c r="E53" s="42">
        <v>1</v>
      </c>
      <c r="F53" s="42">
        <v>37</v>
      </c>
      <c r="G53" s="42">
        <v>56</v>
      </c>
      <c r="H53" s="42">
        <v>40</v>
      </c>
      <c r="I53" s="42">
        <v>44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116</v>
      </c>
      <c r="C54" s="42">
        <v>336</v>
      </c>
      <c r="D54" s="42">
        <v>100</v>
      </c>
      <c r="E54" s="42">
        <v>53</v>
      </c>
      <c r="F54" s="42">
        <v>1518</v>
      </c>
      <c r="G54" s="42">
        <v>4597</v>
      </c>
      <c r="H54" s="42">
        <v>1574</v>
      </c>
      <c r="I54" s="42">
        <v>645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2</v>
      </c>
      <c r="C55" s="42">
        <v>2</v>
      </c>
      <c r="D55" s="42">
        <v>3</v>
      </c>
      <c r="E55" s="42">
        <v>3</v>
      </c>
      <c r="F55" s="42">
        <v>45</v>
      </c>
      <c r="G55" s="42">
        <v>75</v>
      </c>
      <c r="H55" s="42">
        <v>58</v>
      </c>
      <c r="I55" s="42">
        <v>97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5</v>
      </c>
      <c r="G56" s="42">
        <v>4</v>
      </c>
      <c r="H56" s="42">
        <v>9</v>
      </c>
      <c r="I56" s="42">
        <v>9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5</v>
      </c>
      <c r="C57" s="42">
        <v>2</v>
      </c>
      <c r="D57" s="42">
        <v>10</v>
      </c>
      <c r="E57" s="42">
        <v>5</v>
      </c>
      <c r="F57" s="42">
        <v>112</v>
      </c>
      <c r="G57" s="42">
        <v>110</v>
      </c>
      <c r="H57" s="42">
        <v>182</v>
      </c>
      <c r="I57" s="42">
        <v>108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1</v>
      </c>
      <c r="C58" s="42">
        <v>1</v>
      </c>
      <c r="D58" s="42">
        <v>1</v>
      </c>
      <c r="E58" s="42">
        <v>1</v>
      </c>
      <c r="F58" s="42">
        <v>17</v>
      </c>
      <c r="G58" s="42">
        <v>19</v>
      </c>
      <c r="H58" s="42">
        <v>10</v>
      </c>
      <c r="I58" s="42">
        <v>24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1</v>
      </c>
      <c r="C59" s="42">
        <v>0</v>
      </c>
      <c r="D59" s="42">
        <v>3</v>
      </c>
      <c r="E59" s="42">
        <v>2</v>
      </c>
      <c r="F59" s="42">
        <v>48</v>
      </c>
      <c r="G59" s="42">
        <v>46</v>
      </c>
      <c r="H59" s="42">
        <v>115</v>
      </c>
      <c r="I59" s="42">
        <v>82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6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1</v>
      </c>
      <c r="C61" s="42">
        <v>1</v>
      </c>
      <c r="D61" s="42">
        <v>0</v>
      </c>
      <c r="E61" s="42">
        <v>1</v>
      </c>
      <c r="F61" s="42">
        <v>35</v>
      </c>
      <c r="G61" s="42">
        <v>32</v>
      </c>
      <c r="H61" s="42">
        <v>32</v>
      </c>
      <c r="I61" s="42">
        <v>32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1</v>
      </c>
      <c r="D62" s="42">
        <v>0</v>
      </c>
      <c r="E62" s="42">
        <v>1</v>
      </c>
      <c r="F62" s="42">
        <v>32</v>
      </c>
      <c r="G62" s="42">
        <v>36</v>
      </c>
      <c r="H62" s="42">
        <v>37</v>
      </c>
      <c r="I62" s="42">
        <v>41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1</v>
      </c>
      <c r="D63" s="42">
        <v>0</v>
      </c>
      <c r="E63" s="42">
        <v>0</v>
      </c>
      <c r="F63" s="42">
        <v>14</v>
      </c>
      <c r="G63" s="42">
        <v>31</v>
      </c>
      <c r="H63" s="42">
        <v>19</v>
      </c>
      <c r="I63" s="42">
        <v>19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1</v>
      </c>
      <c r="D64" s="42">
        <v>1</v>
      </c>
      <c r="E64" s="42">
        <v>2</v>
      </c>
      <c r="F64" s="42">
        <v>37</v>
      </c>
      <c r="G64" s="42">
        <v>46</v>
      </c>
      <c r="H64" s="42">
        <v>41</v>
      </c>
      <c r="I64" s="42">
        <v>37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1</v>
      </c>
      <c r="E65" s="42">
        <v>0</v>
      </c>
      <c r="F65" s="42">
        <v>28</v>
      </c>
      <c r="G65" s="42">
        <v>37</v>
      </c>
      <c r="H65" s="42">
        <v>27</v>
      </c>
      <c r="I65" s="42">
        <v>28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2</v>
      </c>
      <c r="C66" s="42">
        <v>1</v>
      </c>
      <c r="D66" s="42">
        <v>9</v>
      </c>
      <c r="E66" s="42">
        <v>4</v>
      </c>
      <c r="F66" s="42">
        <v>155</v>
      </c>
      <c r="G66" s="42">
        <v>179</v>
      </c>
      <c r="H66" s="42">
        <v>263</v>
      </c>
      <c r="I66" s="42">
        <v>157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0</v>
      </c>
      <c r="C67" s="42">
        <v>0</v>
      </c>
      <c r="D67" s="42">
        <v>0</v>
      </c>
      <c r="E67" s="42">
        <v>1</v>
      </c>
      <c r="F67" s="42">
        <v>26</v>
      </c>
      <c r="G67" s="42">
        <v>47</v>
      </c>
      <c r="H67" s="42">
        <v>51</v>
      </c>
      <c r="I67" s="42">
        <v>53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8</v>
      </c>
      <c r="C68" s="42">
        <v>7</v>
      </c>
      <c r="D68" s="42">
        <v>27</v>
      </c>
      <c r="E68" s="42">
        <v>6</v>
      </c>
      <c r="F68" s="42">
        <v>292</v>
      </c>
      <c r="G68" s="42">
        <v>319</v>
      </c>
      <c r="H68" s="42">
        <v>437</v>
      </c>
      <c r="I68" s="42">
        <v>227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0</v>
      </c>
      <c r="C69" s="42">
        <v>0</v>
      </c>
      <c r="D69" s="42">
        <v>0</v>
      </c>
      <c r="E69" s="42">
        <v>0</v>
      </c>
      <c r="F69" s="42">
        <v>29</v>
      </c>
      <c r="G69" s="42">
        <v>24</v>
      </c>
      <c r="H69" s="42">
        <v>38</v>
      </c>
      <c r="I69" s="42">
        <v>25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15</v>
      </c>
      <c r="C70" s="42">
        <v>16</v>
      </c>
      <c r="D70" s="42">
        <v>10</v>
      </c>
      <c r="E70" s="42">
        <v>17</v>
      </c>
      <c r="F70" s="42">
        <v>584</v>
      </c>
      <c r="G70" s="42">
        <v>910</v>
      </c>
      <c r="H70" s="42">
        <v>430</v>
      </c>
      <c r="I70" s="42">
        <v>559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489</v>
      </c>
      <c r="C71" s="67">
        <f>SUM(C4:C70)</f>
        <v>793</v>
      </c>
      <c r="D71" s="67">
        <f>SUM(D4:D70)</f>
        <v>471</v>
      </c>
      <c r="E71" s="67">
        <f>SUM(E4:E70)</f>
        <v>284</v>
      </c>
      <c r="F71" s="67">
        <f t="shared" ref="F71:I71" si="0">SUM(F4:F70)</f>
        <v>13593</v>
      </c>
      <c r="G71" s="67">
        <f t="shared" si="0"/>
        <v>21883</v>
      </c>
      <c r="H71" s="67">
        <f t="shared" si="0"/>
        <v>13015</v>
      </c>
      <c r="I71" s="67">
        <f t="shared" si="0"/>
        <v>9991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5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G1" sqref="G1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1" t="s">
        <v>130</v>
      </c>
      <c r="C1" s="92"/>
      <c r="D1" s="93" t="s">
        <v>126</v>
      </c>
      <c r="E1" s="94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3</v>
      </c>
      <c r="C3" s="53">
        <v>6</v>
      </c>
      <c r="D3" s="53">
        <v>98</v>
      </c>
      <c r="E3" s="53">
        <v>192</v>
      </c>
    </row>
    <row r="4" spans="1:5" x14ac:dyDescent="0.25">
      <c r="A4" s="42" t="s">
        <v>2</v>
      </c>
      <c r="B4" s="53">
        <v>97</v>
      </c>
      <c r="C4" s="53">
        <v>32</v>
      </c>
      <c r="D4" s="53">
        <v>1340</v>
      </c>
      <c r="E4" s="53">
        <v>859</v>
      </c>
    </row>
    <row r="5" spans="1:5" x14ac:dyDescent="0.25">
      <c r="A5" s="42" t="s">
        <v>3</v>
      </c>
      <c r="B5" s="53">
        <v>0</v>
      </c>
      <c r="C5" s="53">
        <v>1</v>
      </c>
      <c r="D5" s="53">
        <v>18</v>
      </c>
      <c r="E5" s="53">
        <v>43</v>
      </c>
    </row>
    <row r="6" spans="1:5" x14ac:dyDescent="0.25">
      <c r="A6" s="42" t="s">
        <v>4</v>
      </c>
      <c r="B6" s="53">
        <v>3</v>
      </c>
      <c r="C6" s="53">
        <v>1</v>
      </c>
      <c r="D6" s="53">
        <v>72</v>
      </c>
      <c r="E6" s="53">
        <v>99</v>
      </c>
    </row>
    <row r="7" spans="1:5" x14ac:dyDescent="0.25">
      <c r="A7" s="42" t="s">
        <v>5</v>
      </c>
      <c r="B7" s="53">
        <v>0</v>
      </c>
      <c r="C7" s="53">
        <v>0</v>
      </c>
      <c r="D7" s="53">
        <v>5</v>
      </c>
      <c r="E7" s="53">
        <v>10</v>
      </c>
    </row>
    <row r="8" spans="1:5" x14ac:dyDescent="0.25">
      <c r="A8" s="42" t="s">
        <v>6</v>
      </c>
      <c r="B8" s="53">
        <v>30</v>
      </c>
      <c r="C8" s="53">
        <v>32</v>
      </c>
      <c r="D8" s="53">
        <v>733</v>
      </c>
      <c r="E8" s="53">
        <v>636</v>
      </c>
    </row>
    <row r="9" spans="1:5" x14ac:dyDescent="0.25">
      <c r="A9" s="42" t="s">
        <v>7</v>
      </c>
      <c r="B9" s="53">
        <v>3</v>
      </c>
      <c r="C9" s="53">
        <v>5</v>
      </c>
      <c r="D9" s="53">
        <v>69</v>
      </c>
      <c r="E9" s="53">
        <v>94</v>
      </c>
    </row>
    <row r="10" spans="1:5" x14ac:dyDescent="0.25">
      <c r="A10" s="42" t="s">
        <v>8</v>
      </c>
      <c r="B10" s="53">
        <v>0</v>
      </c>
      <c r="C10" s="53">
        <v>2</v>
      </c>
      <c r="D10" s="53">
        <v>30</v>
      </c>
      <c r="E10" s="53">
        <v>51</v>
      </c>
    </row>
    <row r="11" spans="1:5" x14ac:dyDescent="0.25">
      <c r="A11" s="42" t="s">
        <v>9</v>
      </c>
      <c r="B11" s="53">
        <v>32</v>
      </c>
      <c r="C11" s="53">
        <v>38</v>
      </c>
      <c r="D11" s="53">
        <v>894</v>
      </c>
      <c r="E11" s="53">
        <v>1032</v>
      </c>
    </row>
    <row r="12" spans="1:5" x14ac:dyDescent="0.25">
      <c r="A12" s="42" t="s">
        <v>10</v>
      </c>
      <c r="B12" s="53">
        <v>10</v>
      </c>
      <c r="C12" s="53">
        <v>11</v>
      </c>
      <c r="D12" s="53">
        <v>104</v>
      </c>
      <c r="E12" s="53">
        <v>192</v>
      </c>
    </row>
    <row r="13" spans="1:5" x14ac:dyDescent="0.25">
      <c r="A13" s="42" t="s">
        <v>11</v>
      </c>
      <c r="B13" s="53">
        <v>0</v>
      </c>
      <c r="C13" s="53">
        <v>4</v>
      </c>
      <c r="D13" s="53">
        <v>87</v>
      </c>
      <c r="E13" s="53">
        <v>96</v>
      </c>
    </row>
    <row r="14" spans="1:5" x14ac:dyDescent="0.25">
      <c r="A14" s="42" t="s">
        <v>12</v>
      </c>
      <c r="B14" s="53">
        <v>1</v>
      </c>
      <c r="C14" s="53">
        <v>0</v>
      </c>
      <c r="D14" s="53">
        <v>2</v>
      </c>
      <c r="E14" s="53">
        <v>3</v>
      </c>
    </row>
    <row r="15" spans="1:5" x14ac:dyDescent="0.25">
      <c r="A15" s="42" t="s">
        <v>13</v>
      </c>
      <c r="B15" s="53">
        <v>1</v>
      </c>
      <c r="C15" s="53">
        <v>1</v>
      </c>
      <c r="D15" s="53">
        <v>45</v>
      </c>
      <c r="E15" s="53">
        <v>58</v>
      </c>
    </row>
    <row r="16" spans="1:5" x14ac:dyDescent="0.25">
      <c r="A16" s="42" t="s">
        <v>14</v>
      </c>
      <c r="B16" s="53">
        <v>4</v>
      </c>
      <c r="C16" s="53">
        <v>1</v>
      </c>
      <c r="D16" s="53">
        <v>111</v>
      </c>
      <c r="E16" s="53">
        <v>103</v>
      </c>
    </row>
    <row r="17" spans="1:5" x14ac:dyDescent="0.25">
      <c r="A17" s="42" t="s">
        <v>15</v>
      </c>
      <c r="B17" s="53">
        <v>27</v>
      </c>
      <c r="C17" s="53">
        <v>31</v>
      </c>
      <c r="D17" s="53">
        <v>702</v>
      </c>
      <c r="E17" s="53">
        <v>732</v>
      </c>
    </row>
    <row r="18" spans="1:5" x14ac:dyDescent="0.25">
      <c r="A18" s="42" t="s">
        <v>16</v>
      </c>
      <c r="B18" s="53">
        <v>0</v>
      </c>
      <c r="C18" s="53">
        <v>1</v>
      </c>
      <c r="D18" s="53">
        <v>11</v>
      </c>
      <c r="E18" s="53">
        <v>18</v>
      </c>
    </row>
    <row r="19" spans="1:5" x14ac:dyDescent="0.25">
      <c r="A19" s="42" t="s">
        <v>17</v>
      </c>
      <c r="B19" s="53">
        <v>4</v>
      </c>
      <c r="C19" s="53">
        <v>1</v>
      </c>
      <c r="D19" s="53">
        <v>36</v>
      </c>
      <c r="E19" s="53">
        <v>47</v>
      </c>
    </row>
    <row r="20" spans="1:5" x14ac:dyDescent="0.25">
      <c r="A20" s="42" t="s">
        <v>18</v>
      </c>
      <c r="B20" s="53">
        <v>0</v>
      </c>
      <c r="C20" s="53">
        <v>0</v>
      </c>
      <c r="D20" s="53">
        <v>24</v>
      </c>
      <c r="E20" s="53">
        <v>35</v>
      </c>
    </row>
    <row r="21" spans="1:5" x14ac:dyDescent="0.25">
      <c r="A21" s="42" t="s">
        <v>19</v>
      </c>
      <c r="B21" s="53">
        <v>0</v>
      </c>
      <c r="C21" s="53">
        <v>0</v>
      </c>
      <c r="D21" s="53">
        <v>24</v>
      </c>
      <c r="E21" s="53">
        <v>47</v>
      </c>
    </row>
    <row r="22" spans="1:5" x14ac:dyDescent="0.25">
      <c r="A22" s="42" t="s">
        <v>20</v>
      </c>
      <c r="B22" s="53">
        <v>1</v>
      </c>
      <c r="C22" s="53">
        <v>0</v>
      </c>
      <c r="D22" s="53">
        <v>40</v>
      </c>
      <c r="E22" s="53">
        <v>47</v>
      </c>
    </row>
    <row r="23" spans="1:5" x14ac:dyDescent="0.25">
      <c r="A23" s="42" t="s">
        <v>21</v>
      </c>
      <c r="B23" s="53">
        <v>9</v>
      </c>
      <c r="C23" s="53">
        <v>16</v>
      </c>
      <c r="D23" s="53">
        <v>346</v>
      </c>
      <c r="E23" s="53">
        <v>400</v>
      </c>
    </row>
    <row r="24" spans="1:5" x14ac:dyDescent="0.25">
      <c r="A24" s="42" t="s">
        <v>22</v>
      </c>
      <c r="B24" s="53">
        <v>36</v>
      </c>
      <c r="C24" s="53">
        <v>13</v>
      </c>
      <c r="D24" s="53">
        <v>746</v>
      </c>
      <c r="E24" s="53">
        <v>444</v>
      </c>
    </row>
    <row r="25" spans="1:5" x14ac:dyDescent="0.25">
      <c r="A25" s="42" t="s">
        <v>23</v>
      </c>
      <c r="B25" s="53">
        <v>31</v>
      </c>
      <c r="C25" s="53">
        <v>17</v>
      </c>
      <c r="D25" s="53">
        <v>585</v>
      </c>
      <c r="E25" s="53">
        <v>421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5</v>
      </c>
      <c r="E26" s="53">
        <v>18</v>
      </c>
    </row>
    <row r="27" spans="1:5" x14ac:dyDescent="0.25">
      <c r="A27" s="42" t="s">
        <v>25</v>
      </c>
      <c r="B27" s="53">
        <v>3</v>
      </c>
      <c r="C27" s="53">
        <v>6</v>
      </c>
      <c r="D27" s="53">
        <v>187</v>
      </c>
      <c r="E27" s="53">
        <v>166</v>
      </c>
    </row>
    <row r="28" spans="1:5" x14ac:dyDescent="0.25">
      <c r="A28" s="42" t="s">
        <v>26</v>
      </c>
      <c r="B28" s="53">
        <v>0</v>
      </c>
      <c r="C28" s="53">
        <v>2</v>
      </c>
      <c r="D28" s="53">
        <v>66</v>
      </c>
      <c r="E28" s="53">
        <v>74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11</v>
      </c>
      <c r="C30" s="53">
        <v>15</v>
      </c>
      <c r="D30" s="53">
        <v>157</v>
      </c>
      <c r="E30" s="53">
        <v>263</v>
      </c>
    </row>
    <row r="31" spans="1:5" x14ac:dyDescent="0.25">
      <c r="A31" s="42" t="s">
        <v>29</v>
      </c>
      <c r="B31" s="53">
        <v>0</v>
      </c>
      <c r="C31" s="53">
        <v>2</v>
      </c>
      <c r="D31" s="53">
        <v>8</v>
      </c>
      <c r="E31" s="53">
        <v>12</v>
      </c>
    </row>
    <row r="32" spans="1:5" x14ac:dyDescent="0.25">
      <c r="A32" s="42" t="s">
        <v>30</v>
      </c>
      <c r="B32" s="53">
        <v>1</v>
      </c>
      <c r="C32" s="53">
        <v>0</v>
      </c>
      <c r="D32" s="53">
        <v>20</v>
      </c>
      <c r="E32" s="53">
        <v>19</v>
      </c>
    </row>
    <row r="33" spans="1:5" x14ac:dyDescent="0.25">
      <c r="A33" s="42" t="s">
        <v>31</v>
      </c>
      <c r="B33" s="53">
        <v>0</v>
      </c>
      <c r="C33" s="53">
        <v>2</v>
      </c>
      <c r="D33" s="53">
        <v>12</v>
      </c>
      <c r="E33" s="53">
        <v>15</v>
      </c>
    </row>
    <row r="34" spans="1:5" x14ac:dyDescent="0.25">
      <c r="A34" s="42" t="s">
        <v>32</v>
      </c>
      <c r="B34" s="53">
        <v>1</v>
      </c>
      <c r="C34" s="53">
        <v>1</v>
      </c>
      <c r="D34" s="53">
        <v>36</v>
      </c>
      <c r="E34" s="53">
        <v>38</v>
      </c>
    </row>
    <row r="35" spans="1:5" x14ac:dyDescent="0.25">
      <c r="A35" s="42" t="s">
        <v>33</v>
      </c>
      <c r="B35" s="53">
        <v>1</v>
      </c>
      <c r="C35" s="53">
        <v>1</v>
      </c>
      <c r="D35" s="53">
        <v>7</v>
      </c>
      <c r="E35" s="53">
        <v>13</v>
      </c>
    </row>
    <row r="36" spans="1:5" x14ac:dyDescent="0.25">
      <c r="A36" s="42" t="s">
        <v>34</v>
      </c>
      <c r="B36" s="53">
        <v>0</v>
      </c>
      <c r="C36" s="53">
        <v>2</v>
      </c>
      <c r="D36" s="53">
        <v>16</v>
      </c>
      <c r="E36" s="53">
        <v>12</v>
      </c>
    </row>
    <row r="37" spans="1:5" x14ac:dyDescent="0.25">
      <c r="A37" s="42" t="s">
        <v>35</v>
      </c>
      <c r="B37" s="53">
        <v>13</v>
      </c>
      <c r="C37" s="53">
        <v>7</v>
      </c>
      <c r="D37" s="53">
        <v>270</v>
      </c>
      <c r="E37" s="53">
        <v>221</v>
      </c>
    </row>
    <row r="38" spans="1:5" x14ac:dyDescent="0.25">
      <c r="A38" s="42" t="s">
        <v>36</v>
      </c>
      <c r="B38" s="53">
        <v>30</v>
      </c>
      <c r="C38" s="53">
        <v>33</v>
      </c>
      <c r="D38" s="53">
        <v>778</v>
      </c>
      <c r="E38" s="53">
        <v>892</v>
      </c>
    </row>
    <row r="39" spans="1:5" x14ac:dyDescent="0.25">
      <c r="A39" s="42" t="s">
        <v>37</v>
      </c>
      <c r="B39" s="53">
        <v>0</v>
      </c>
      <c r="C39" s="53">
        <v>1</v>
      </c>
      <c r="D39" s="53">
        <v>41</v>
      </c>
      <c r="E39" s="53">
        <v>48</v>
      </c>
    </row>
    <row r="40" spans="1:5" x14ac:dyDescent="0.25">
      <c r="A40" s="42" t="s">
        <v>38</v>
      </c>
      <c r="B40" s="53">
        <v>3</v>
      </c>
      <c r="C40" s="53">
        <v>3</v>
      </c>
      <c r="D40" s="53">
        <v>117</v>
      </c>
      <c r="E40" s="53">
        <v>131</v>
      </c>
    </row>
    <row r="41" spans="1:5" x14ac:dyDescent="0.25">
      <c r="A41" s="42" t="s">
        <v>39</v>
      </c>
      <c r="B41" s="53">
        <v>23</v>
      </c>
      <c r="C41" s="53">
        <v>11</v>
      </c>
      <c r="D41" s="53">
        <v>536</v>
      </c>
      <c r="E41" s="53">
        <v>365</v>
      </c>
    </row>
    <row r="42" spans="1:5" x14ac:dyDescent="0.25">
      <c r="A42" s="42" t="s">
        <v>40</v>
      </c>
      <c r="B42" s="53">
        <v>17</v>
      </c>
      <c r="C42" s="53">
        <v>11</v>
      </c>
      <c r="D42" s="53">
        <v>317</v>
      </c>
      <c r="E42" s="53">
        <v>255</v>
      </c>
    </row>
    <row r="43" spans="1:5" x14ac:dyDescent="0.25">
      <c r="A43" s="42" t="s">
        <v>41</v>
      </c>
      <c r="B43" s="53">
        <v>3</v>
      </c>
      <c r="C43" s="53">
        <v>5</v>
      </c>
      <c r="D43" s="53">
        <v>95</v>
      </c>
      <c r="E43" s="53">
        <v>127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11</v>
      </c>
    </row>
    <row r="45" spans="1:5" x14ac:dyDescent="0.25">
      <c r="A45" s="42" t="s">
        <v>43</v>
      </c>
      <c r="B45" s="53">
        <v>2</v>
      </c>
      <c r="C45" s="53">
        <v>0</v>
      </c>
      <c r="D45" s="53">
        <v>73</v>
      </c>
      <c r="E45" s="53">
        <v>70</v>
      </c>
    </row>
    <row r="46" spans="1:5" x14ac:dyDescent="0.25">
      <c r="A46" s="42" t="s">
        <v>44</v>
      </c>
      <c r="B46" s="53">
        <v>0</v>
      </c>
      <c r="C46" s="53">
        <v>2</v>
      </c>
      <c r="D46" s="53">
        <v>10</v>
      </c>
      <c r="E46" s="53">
        <v>26</v>
      </c>
    </row>
    <row r="47" spans="1:5" x14ac:dyDescent="0.25">
      <c r="A47" s="42" t="s">
        <v>45</v>
      </c>
      <c r="B47" s="53">
        <v>5</v>
      </c>
      <c r="C47" s="53">
        <v>11</v>
      </c>
      <c r="D47" s="53">
        <v>233</v>
      </c>
      <c r="E47" s="53">
        <v>174</v>
      </c>
    </row>
    <row r="48" spans="1:5" x14ac:dyDescent="0.25">
      <c r="A48" s="42" t="s">
        <v>46</v>
      </c>
      <c r="B48" s="53">
        <v>54</v>
      </c>
      <c r="C48" s="53">
        <v>35</v>
      </c>
      <c r="D48" s="53">
        <v>1305</v>
      </c>
      <c r="E48" s="53">
        <v>1095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5</v>
      </c>
      <c r="E49" s="53">
        <v>10</v>
      </c>
    </row>
    <row r="50" spans="1:5" x14ac:dyDescent="0.25">
      <c r="A50" s="42" t="s">
        <v>48</v>
      </c>
      <c r="B50" s="53">
        <v>15</v>
      </c>
      <c r="C50" s="53">
        <v>7</v>
      </c>
      <c r="D50" s="53">
        <v>506</v>
      </c>
      <c r="E50" s="53">
        <v>428</v>
      </c>
    </row>
    <row r="51" spans="1:5" x14ac:dyDescent="0.25">
      <c r="A51" s="42" t="s">
        <v>49</v>
      </c>
      <c r="B51" s="53">
        <v>2</v>
      </c>
      <c r="C51" s="53">
        <v>1</v>
      </c>
      <c r="D51" s="53">
        <v>50</v>
      </c>
      <c r="E51" s="53">
        <v>59</v>
      </c>
    </row>
    <row r="52" spans="1:5" x14ac:dyDescent="0.25">
      <c r="A52" s="42" t="s">
        <v>50</v>
      </c>
      <c r="B52" s="53">
        <v>0</v>
      </c>
      <c r="C52" s="53">
        <v>3</v>
      </c>
      <c r="D52" s="53">
        <v>38</v>
      </c>
      <c r="E52" s="53">
        <v>68</v>
      </c>
    </row>
    <row r="53" spans="1:5" x14ac:dyDescent="0.25">
      <c r="A53" s="42" t="s">
        <v>51</v>
      </c>
      <c r="B53" s="53">
        <v>345</v>
      </c>
      <c r="C53" s="53">
        <v>70</v>
      </c>
      <c r="D53" s="53">
        <v>3348</v>
      </c>
      <c r="E53" s="53">
        <v>904</v>
      </c>
    </row>
    <row r="54" spans="1:5" x14ac:dyDescent="0.25">
      <c r="A54" s="42" t="s">
        <v>52</v>
      </c>
      <c r="B54" s="53">
        <v>2</v>
      </c>
      <c r="C54" s="53">
        <v>1</v>
      </c>
      <c r="D54" s="53">
        <v>63</v>
      </c>
      <c r="E54" s="53">
        <v>76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7</v>
      </c>
      <c r="E55" s="53">
        <v>12</v>
      </c>
    </row>
    <row r="56" spans="1:5" x14ac:dyDescent="0.25">
      <c r="A56" s="42" t="s">
        <v>54</v>
      </c>
      <c r="B56" s="53">
        <v>2</v>
      </c>
      <c r="C56" s="53">
        <v>7</v>
      </c>
      <c r="D56" s="53">
        <v>104</v>
      </c>
      <c r="E56" s="53">
        <v>129</v>
      </c>
    </row>
    <row r="57" spans="1:5" x14ac:dyDescent="0.25">
      <c r="A57" s="42" t="s">
        <v>55</v>
      </c>
      <c r="B57" s="53">
        <v>0</v>
      </c>
      <c r="C57" s="53">
        <v>2</v>
      </c>
      <c r="D57" s="53">
        <v>6</v>
      </c>
      <c r="E57" s="53">
        <v>9</v>
      </c>
    </row>
    <row r="58" spans="1:5" x14ac:dyDescent="0.25">
      <c r="A58" s="42" t="s">
        <v>56</v>
      </c>
      <c r="B58" s="53">
        <v>0</v>
      </c>
      <c r="C58" s="53">
        <v>3</v>
      </c>
      <c r="D58" s="53">
        <v>49</v>
      </c>
      <c r="E58" s="53">
        <v>64</v>
      </c>
    </row>
    <row r="59" spans="1:5" x14ac:dyDescent="0.25">
      <c r="A59" s="42" t="s">
        <v>57</v>
      </c>
      <c r="B59" s="53">
        <v>0</v>
      </c>
      <c r="C59" s="53">
        <v>1</v>
      </c>
      <c r="D59" s="53">
        <v>1</v>
      </c>
      <c r="E59" s="53">
        <v>8</v>
      </c>
    </row>
    <row r="60" spans="1:5" x14ac:dyDescent="0.25">
      <c r="A60" s="42" t="s">
        <v>58</v>
      </c>
      <c r="B60" s="53">
        <v>0</v>
      </c>
      <c r="C60" s="53">
        <v>2</v>
      </c>
      <c r="D60" s="53">
        <v>24</v>
      </c>
      <c r="E60" s="53">
        <v>31</v>
      </c>
    </row>
    <row r="61" spans="1:5" x14ac:dyDescent="0.25">
      <c r="A61" s="42" t="s">
        <v>59</v>
      </c>
      <c r="B61" s="53">
        <v>0</v>
      </c>
      <c r="C61" s="53">
        <v>2</v>
      </c>
      <c r="D61" s="53">
        <v>20</v>
      </c>
      <c r="E61" s="53">
        <v>39</v>
      </c>
    </row>
    <row r="62" spans="1:5" x14ac:dyDescent="0.25">
      <c r="A62" s="42" t="s">
        <v>60</v>
      </c>
      <c r="B62" s="53">
        <v>0</v>
      </c>
      <c r="C62" s="53">
        <v>0</v>
      </c>
      <c r="D62" s="53">
        <v>10</v>
      </c>
      <c r="E62" s="53">
        <v>28</v>
      </c>
    </row>
    <row r="63" spans="1:5" x14ac:dyDescent="0.25">
      <c r="A63" s="42" t="s">
        <v>61</v>
      </c>
      <c r="B63" s="53">
        <v>0</v>
      </c>
      <c r="C63" s="53">
        <v>0</v>
      </c>
      <c r="D63" s="53">
        <v>31</v>
      </c>
      <c r="E63" s="53">
        <v>46</v>
      </c>
    </row>
    <row r="64" spans="1:5" x14ac:dyDescent="0.25">
      <c r="A64" s="42" t="s">
        <v>62</v>
      </c>
      <c r="B64" s="53">
        <v>0</v>
      </c>
      <c r="C64" s="53">
        <v>0</v>
      </c>
      <c r="D64" s="53">
        <v>20</v>
      </c>
      <c r="E64" s="53">
        <v>32</v>
      </c>
    </row>
    <row r="65" spans="1:5" x14ac:dyDescent="0.25">
      <c r="A65" s="42" t="s">
        <v>63</v>
      </c>
      <c r="B65" s="53">
        <v>3</v>
      </c>
      <c r="C65" s="53">
        <v>3</v>
      </c>
      <c r="D65" s="53">
        <v>132</v>
      </c>
      <c r="E65" s="53">
        <v>155</v>
      </c>
    </row>
    <row r="66" spans="1:5" x14ac:dyDescent="0.25">
      <c r="A66" s="42" t="s">
        <v>64</v>
      </c>
      <c r="B66" s="53">
        <v>1</v>
      </c>
      <c r="C66" s="53">
        <v>0</v>
      </c>
      <c r="D66" s="53">
        <v>36</v>
      </c>
      <c r="E66" s="53">
        <v>34</v>
      </c>
    </row>
    <row r="67" spans="1:5" x14ac:dyDescent="0.25">
      <c r="A67" s="42" t="s">
        <v>65</v>
      </c>
      <c r="B67" s="53">
        <v>12</v>
      </c>
      <c r="C67" s="53">
        <v>11</v>
      </c>
      <c r="D67" s="53">
        <v>231</v>
      </c>
      <c r="E67" s="53">
        <v>255</v>
      </c>
    </row>
    <row r="68" spans="1:5" x14ac:dyDescent="0.25">
      <c r="A68" s="42" t="s">
        <v>66</v>
      </c>
      <c r="B68" s="53">
        <v>0</v>
      </c>
      <c r="C68" s="53">
        <v>2</v>
      </c>
      <c r="D68" s="53">
        <v>25</v>
      </c>
      <c r="E68" s="53">
        <v>39</v>
      </c>
    </row>
    <row r="69" spans="1:5" x14ac:dyDescent="0.25">
      <c r="A69" s="42" t="s">
        <v>67</v>
      </c>
      <c r="B69" s="53">
        <v>34</v>
      </c>
      <c r="C69" s="53">
        <v>40</v>
      </c>
      <c r="D69" s="53">
        <v>684</v>
      </c>
      <c r="E69" s="53">
        <v>740</v>
      </c>
    </row>
    <row r="70" spans="1:5" x14ac:dyDescent="0.25">
      <c r="A70" s="39" t="s">
        <v>68</v>
      </c>
      <c r="B70" s="43">
        <f>SUM(B3:B69)</f>
        <v>875</v>
      </c>
      <c r="C70" s="43">
        <f>SUM(C3:C69)</f>
        <v>518</v>
      </c>
      <c r="D70" s="43">
        <f t="shared" ref="D70:E70" si="0">SUM(D3:D69)</f>
        <v>15811</v>
      </c>
      <c r="E70" s="43">
        <f t="shared" si="0"/>
        <v>12871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0"/>
      <c r="E137" s="90"/>
    </row>
    <row r="138" spans="4:5" ht="14.4" x14ac:dyDescent="0.25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0"/>
      <c r="AA137" s="90"/>
    </row>
    <row r="138" spans="26:27" ht="14.4" x14ac:dyDescent="0.25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8" sqref="L18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6342</v>
      </c>
      <c r="C2" s="11">
        <v>10657</v>
      </c>
      <c r="D2" s="11">
        <v>10870</v>
      </c>
      <c r="E2" s="11">
        <v>10041</v>
      </c>
      <c r="F2" s="11">
        <v>13710</v>
      </c>
      <c r="G2" s="11">
        <v>14002</v>
      </c>
      <c r="H2" s="11">
        <v>10939</v>
      </c>
    </row>
    <row r="3" spans="1:8" x14ac:dyDescent="0.25">
      <c r="A3" s="11" t="s">
        <v>2</v>
      </c>
      <c r="B3" s="11">
        <v>79768</v>
      </c>
      <c r="C3" s="11">
        <v>171897</v>
      </c>
      <c r="D3" s="11">
        <v>161615</v>
      </c>
      <c r="E3" s="11">
        <v>123073</v>
      </c>
      <c r="F3" s="11">
        <v>131972</v>
      </c>
      <c r="G3" s="11">
        <v>139481</v>
      </c>
      <c r="H3" s="11">
        <v>108575</v>
      </c>
    </row>
    <row r="4" spans="1:8" x14ac:dyDescent="0.25">
      <c r="A4" s="11" t="s">
        <v>3</v>
      </c>
      <c r="B4" s="11">
        <v>3148</v>
      </c>
      <c r="C4" s="11">
        <v>5599</v>
      </c>
      <c r="D4" s="11">
        <v>6148</v>
      </c>
      <c r="E4" s="11">
        <v>6388</v>
      </c>
      <c r="F4" s="11">
        <v>7747</v>
      </c>
      <c r="G4" s="11">
        <v>8214</v>
      </c>
      <c r="H4" s="11">
        <v>6332</v>
      </c>
    </row>
    <row r="5" spans="1:8" x14ac:dyDescent="0.25">
      <c r="A5" s="11" t="s">
        <v>4</v>
      </c>
      <c r="B5" s="11">
        <v>7601</v>
      </c>
      <c r="C5" s="11">
        <v>16116</v>
      </c>
      <c r="D5" s="11">
        <v>17895</v>
      </c>
      <c r="E5" s="11">
        <v>16261</v>
      </c>
      <c r="F5" s="11">
        <v>19627</v>
      </c>
      <c r="G5" s="11">
        <v>20949</v>
      </c>
      <c r="H5" s="11">
        <v>15684</v>
      </c>
    </row>
    <row r="6" spans="1:8" x14ac:dyDescent="0.25">
      <c r="A6" s="11" t="s">
        <v>5</v>
      </c>
      <c r="B6" s="11">
        <v>2270</v>
      </c>
      <c r="C6" s="11">
        <v>4243</v>
      </c>
      <c r="D6" s="11">
        <v>4449</v>
      </c>
      <c r="E6" s="11">
        <v>4803</v>
      </c>
      <c r="F6" s="11">
        <v>6057</v>
      </c>
      <c r="G6" s="11">
        <v>6346</v>
      </c>
      <c r="H6" s="11">
        <v>4871</v>
      </c>
    </row>
    <row r="7" spans="1:8" x14ac:dyDescent="0.25">
      <c r="A7" s="11" t="s">
        <v>6</v>
      </c>
      <c r="B7" s="11">
        <v>23530</v>
      </c>
      <c r="C7" s="11">
        <v>41775</v>
      </c>
      <c r="D7" s="11">
        <v>43967</v>
      </c>
      <c r="E7" s="11">
        <v>40599</v>
      </c>
      <c r="F7" s="11">
        <v>47706</v>
      </c>
      <c r="G7" s="11">
        <v>42894</v>
      </c>
      <c r="H7" s="11">
        <v>33614</v>
      </c>
    </row>
    <row r="8" spans="1:8" x14ac:dyDescent="0.25">
      <c r="A8" s="11" t="s">
        <v>7</v>
      </c>
      <c r="B8" s="11">
        <v>6273</v>
      </c>
      <c r="C8" s="11">
        <v>11289</v>
      </c>
      <c r="D8" s="11">
        <v>12298</v>
      </c>
      <c r="E8" s="11">
        <v>12226</v>
      </c>
      <c r="F8" s="11">
        <v>13619</v>
      </c>
      <c r="G8" s="11">
        <v>13993</v>
      </c>
      <c r="H8" s="11">
        <v>11870</v>
      </c>
    </row>
    <row r="9" spans="1:8" x14ac:dyDescent="0.25">
      <c r="A9" s="11" t="s">
        <v>8</v>
      </c>
      <c r="B9" s="11">
        <v>2926</v>
      </c>
      <c r="C9" s="11">
        <v>5276</v>
      </c>
      <c r="D9" s="11">
        <v>5755</v>
      </c>
      <c r="E9" s="11">
        <v>5383</v>
      </c>
      <c r="F9" s="11">
        <v>6988</v>
      </c>
      <c r="G9" s="11">
        <v>6879</v>
      </c>
      <c r="H9" s="11">
        <v>5628</v>
      </c>
    </row>
    <row r="10" spans="1:8" x14ac:dyDescent="0.25">
      <c r="A10" s="11" t="s">
        <v>9</v>
      </c>
      <c r="B10" s="11">
        <v>39532</v>
      </c>
      <c r="C10" s="11">
        <v>68215</v>
      </c>
      <c r="D10" s="11">
        <v>73668</v>
      </c>
      <c r="E10" s="11">
        <v>71032</v>
      </c>
      <c r="F10" s="11">
        <v>86931</v>
      </c>
      <c r="G10" s="11">
        <v>82122</v>
      </c>
      <c r="H10" s="11">
        <v>62461</v>
      </c>
    </row>
    <row r="11" spans="1:8" x14ac:dyDescent="0.25">
      <c r="A11" s="11" t="s">
        <v>10</v>
      </c>
      <c r="B11" s="11">
        <v>11211</v>
      </c>
      <c r="C11" s="11">
        <v>20473</v>
      </c>
      <c r="D11" s="11">
        <v>22618</v>
      </c>
      <c r="E11" s="11">
        <v>20817</v>
      </c>
      <c r="F11" s="11">
        <v>25136</v>
      </c>
      <c r="G11" s="11">
        <v>24555</v>
      </c>
      <c r="H11" s="11">
        <v>18780</v>
      </c>
    </row>
    <row r="12" spans="1:8" x14ac:dyDescent="0.25">
      <c r="A12" s="11" t="s">
        <v>11</v>
      </c>
      <c r="B12" s="11">
        <v>6358</v>
      </c>
      <c r="C12" s="11">
        <v>11183</v>
      </c>
      <c r="D12" s="11">
        <v>12020</v>
      </c>
      <c r="E12" s="11">
        <v>12645</v>
      </c>
      <c r="F12" s="11">
        <v>14501</v>
      </c>
      <c r="G12" s="11">
        <v>16365</v>
      </c>
      <c r="H12" s="11">
        <v>12830</v>
      </c>
    </row>
    <row r="13" spans="1:8" x14ac:dyDescent="0.25">
      <c r="A13" s="11" t="s">
        <v>12</v>
      </c>
      <c r="B13" s="11">
        <v>145</v>
      </c>
      <c r="C13" s="11">
        <v>296</v>
      </c>
      <c r="D13" s="11">
        <v>358</v>
      </c>
      <c r="E13" s="11">
        <v>352</v>
      </c>
      <c r="F13" s="11">
        <v>550</v>
      </c>
      <c r="G13" s="11">
        <v>659</v>
      </c>
      <c r="H13" s="11">
        <v>523</v>
      </c>
    </row>
    <row r="14" spans="1:8" x14ac:dyDescent="0.25">
      <c r="A14" s="11" t="s">
        <v>13</v>
      </c>
      <c r="B14" s="11">
        <v>3153</v>
      </c>
      <c r="C14" s="11">
        <v>6178</v>
      </c>
      <c r="D14" s="11">
        <v>6798</v>
      </c>
      <c r="E14" s="11">
        <v>6809</v>
      </c>
      <c r="F14" s="11">
        <v>8624</v>
      </c>
      <c r="G14" s="11">
        <v>8261</v>
      </c>
      <c r="H14" s="11">
        <v>5838</v>
      </c>
    </row>
    <row r="15" spans="1:8" x14ac:dyDescent="0.25">
      <c r="A15" s="11" t="s">
        <v>14</v>
      </c>
      <c r="B15" s="11">
        <v>17714</v>
      </c>
      <c r="C15" s="11">
        <v>19291</v>
      </c>
      <c r="D15" s="11">
        <v>13800</v>
      </c>
      <c r="E15" s="11">
        <v>12327</v>
      </c>
      <c r="F15" s="11">
        <v>13915</v>
      </c>
      <c r="G15" s="11">
        <v>13520</v>
      </c>
      <c r="H15" s="11">
        <v>11433</v>
      </c>
    </row>
    <row r="16" spans="1:8" x14ac:dyDescent="0.25">
      <c r="A16" s="11" t="s">
        <v>15</v>
      </c>
      <c r="B16" s="11">
        <v>37000</v>
      </c>
      <c r="C16" s="11">
        <v>60476</v>
      </c>
      <c r="D16" s="11">
        <v>60017</v>
      </c>
      <c r="E16" s="11">
        <v>58853</v>
      </c>
      <c r="F16" s="11">
        <v>66806</v>
      </c>
      <c r="G16" s="11">
        <v>59666</v>
      </c>
      <c r="H16" s="11">
        <v>46142</v>
      </c>
    </row>
    <row r="17" spans="1:8" x14ac:dyDescent="0.25">
      <c r="A17" s="11" t="s">
        <v>16</v>
      </c>
      <c r="B17" s="11">
        <v>1683</v>
      </c>
      <c r="C17" s="11">
        <v>3075</v>
      </c>
      <c r="D17" s="11">
        <v>3271</v>
      </c>
      <c r="E17" s="11">
        <v>3394</v>
      </c>
      <c r="F17" s="11">
        <v>4202</v>
      </c>
      <c r="G17" s="11">
        <v>4300</v>
      </c>
      <c r="H17" s="11">
        <v>3387</v>
      </c>
    </row>
    <row r="18" spans="1:8" x14ac:dyDescent="0.25">
      <c r="A18" s="11" t="s">
        <v>17</v>
      </c>
      <c r="B18" s="11">
        <v>3358</v>
      </c>
      <c r="C18" s="11">
        <v>6444</v>
      </c>
      <c r="D18" s="11">
        <v>7094</v>
      </c>
      <c r="E18" s="11">
        <v>7472</v>
      </c>
      <c r="F18" s="11">
        <v>9135</v>
      </c>
      <c r="G18" s="11">
        <v>8998</v>
      </c>
      <c r="H18" s="11">
        <v>7044</v>
      </c>
    </row>
    <row r="19" spans="1:8" x14ac:dyDescent="0.25">
      <c r="A19" s="11" t="s">
        <v>18</v>
      </c>
      <c r="B19" s="11">
        <v>1719</v>
      </c>
      <c r="C19" s="11">
        <v>3283</v>
      </c>
      <c r="D19" s="11">
        <v>3294</v>
      </c>
      <c r="E19" s="11">
        <v>3338</v>
      </c>
      <c r="F19" s="11">
        <v>3835</v>
      </c>
      <c r="G19" s="11">
        <v>3955</v>
      </c>
      <c r="H19" s="11">
        <v>3088</v>
      </c>
    </row>
    <row r="20" spans="1:8" x14ac:dyDescent="0.25">
      <c r="A20" s="11" t="s">
        <v>19</v>
      </c>
      <c r="B20" s="11">
        <v>3809</v>
      </c>
      <c r="C20" s="11">
        <v>5928</v>
      </c>
      <c r="D20" s="11">
        <v>5900</v>
      </c>
      <c r="E20" s="11">
        <v>5789</v>
      </c>
      <c r="F20" s="11">
        <v>6748</v>
      </c>
      <c r="G20" s="11">
        <v>6965</v>
      </c>
      <c r="H20" s="11">
        <v>5495</v>
      </c>
    </row>
    <row r="21" spans="1:8" x14ac:dyDescent="0.25">
      <c r="A21" s="11" t="s">
        <v>20</v>
      </c>
      <c r="B21" s="11">
        <v>3967</v>
      </c>
      <c r="C21" s="11">
        <v>7041</v>
      </c>
      <c r="D21" s="11">
        <v>7474</v>
      </c>
      <c r="E21" s="11">
        <v>7413</v>
      </c>
      <c r="F21" s="11">
        <v>9320</v>
      </c>
      <c r="G21" s="11">
        <v>9763</v>
      </c>
      <c r="H21" s="11">
        <v>8140</v>
      </c>
    </row>
    <row r="22" spans="1:8" x14ac:dyDescent="0.25">
      <c r="A22" s="11" t="s">
        <v>21</v>
      </c>
      <c r="B22" s="11">
        <v>16065</v>
      </c>
      <c r="C22" s="11">
        <v>28013</v>
      </c>
      <c r="D22" s="11">
        <v>30239</v>
      </c>
      <c r="E22" s="11">
        <v>27277</v>
      </c>
      <c r="F22" s="11">
        <v>29236</v>
      </c>
      <c r="G22" s="11">
        <v>28204</v>
      </c>
      <c r="H22" s="11">
        <v>24346</v>
      </c>
    </row>
    <row r="23" spans="1:8" x14ac:dyDescent="0.25">
      <c r="A23" s="11" t="s">
        <v>22</v>
      </c>
      <c r="B23" s="11">
        <v>16888</v>
      </c>
      <c r="C23" s="11">
        <v>34489</v>
      </c>
      <c r="D23" s="11">
        <v>34615</v>
      </c>
      <c r="E23" s="11">
        <v>29934</v>
      </c>
      <c r="F23" s="11">
        <v>32527</v>
      </c>
      <c r="G23" s="11">
        <v>30344</v>
      </c>
      <c r="H23" s="11">
        <v>21706</v>
      </c>
    </row>
    <row r="24" spans="1:8" x14ac:dyDescent="0.25">
      <c r="A24" s="11" t="s">
        <v>23</v>
      </c>
      <c r="B24" s="11">
        <v>37903</v>
      </c>
      <c r="C24" s="11">
        <v>66234</v>
      </c>
      <c r="D24" s="11">
        <v>72421</v>
      </c>
      <c r="E24" s="11">
        <v>60731</v>
      </c>
      <c r="F24" s="11">
        <v>65376</v>
      </c>
      <c r="G24" s="11">
        <v>61956</v>
      </c>
      <c r="H24" s="11">
        <v>45650</v>
      </c>
    </row>
    <row r="25" spans="1:8" x14ac:dyDescent="0.25">
      <c r="A25" s="11" t="s">
        <v>24</v>
      </c>
      <c r="B25" s="11">
        <v>1481</v>
      </c>
      <c r="C25" s="11">
        <v>2542</v>
      </c>
      <c r="D25" s="11">
        <v>2752</v>
      </c>
      <c r="E25" s="11">
        <v>2838</v>
      </c>
      <c r="F25" s="11">
        <v>3895</v>
      </c>
      <c r="G25" s="11">
        <v>3952</v>
      </c>
      <c r="H25" s="11">
        <v>3006</v>
      </c>
    </row>
    <row r="26" spans="1:8" x14ac:dyDescent="0.25">
      <c r="A26" s="11" t="s">
        <v>25</v>
      </c>
      <c r="B26" s="11">
        <v>14583</v>
      </c>
      <c r="C26" s="11">
        <v>27125</v>
      </c>
      <c r="D26" s="11">
        <v>27197</v>
      </c>
      <c r="E26" s="11">
        <v>25168</v>
      </c>
      <c r="F26" s="11">
        <v>28709</v>
      </c>
      <c r="G26" s="11">
        <v>29552</v>
      </c>
      <c r="H26" s="11">
        <v>22431</v>
      </c>
    </row>
    <row r="27" spans="1:8" x14ac:dyDescent="0.25">
      <c r="A27" s="11" t="s">
        <v>26</v>
      </c>
      <c r="B27" s="11">
        <v>5097</v>
      </c>
      <c r="C27" s="11">
        <v>10738</v>
      </c>
      <c r="D27" s="11">
        <v>11671</v>
      </c>
      <c r="E27" s="11">
        <v>12078</v>
      </c>
      <c r="F27" s="11">
        <v>14080</v>
      </c>
      <c r="G27" s="11">
        <v>14653</v>
      </c>
      <c r="H27" s="11">
        <v>11260</v>
      </c>
    </row>
    <row r="28" spans="1:8" x14ac:dyDescent="0.25">
      <c r="A28" s="11" t="s">
        <v>27</v>
      </c>
      <c r="B28" s="11">
        <v>148</v>
      </c>
      <c r="C28" s="11">
        <v>242</v>
      </c>
      <c r="D28" s="11">
        <v>297</v>
      </c>
      <c r="E28" s="11">
        <v>388</v>
      </c>
      <c r="F28" s="11">
        <v>664</v>
      </c>
      <c r="G28" s="11">
        <v>837</v>
      </c>
      <c r="H28" s="11">
        <v>636</v>
      </c>
    </row>
    <row r="29" spans="1:8" x14ac:dyDescent="0.25">
      <c r="A29" s="11" t="s">
        <v>28</v>
      </c>
      <c r="B29" s="11">
        <v>8327</v>
      </c>
      <c r="C29" s="11">
        <v>15390</v>
      </c>
      <c r="D29" s="11">
        <v>16092</v>
      </c>
      <c r="E29" s="11">
        <v>15736</v>
      </c>
      <c r="F29" s="11">
        <v>18050</v>
      </c>
      <c r="G29" s="11">
        <v>16921</v>
      </c>
      <c r="H29" s="11">
        <v>14751</v>
      </c>
    </row>
    <row r="30" spans="1:8" x14ac:dyDescent="0.25">
      <c r="A30" s="11" t="s">
        <v>29</v>
      </c>
      <c r="B30" s="11">
        <v>726</v>
      </c>
      <c r="C30" s="11">
        <v>1375</v>
      </c>
      <c r="D30" s="11">
        <v>1386</v>
      </c>
      <c r="E30" s="11">
        <v>1540</v>
      </c>
      <c r="F30" s="11">
        <v>1877</v>
      </c>
      <c r="G30" s="11">
        <v>1758</v>
      </c>
      <c r="H30" s="11">
        <v>1445</v>
      </c>
    </row>
    <row r="31" spans="1:8" x14ac:dyDescent="0.25">
      <c r="A31" s="11" t="s">
        <v>30</v>
      </c>
      <c r="B31" s="11">
        <v>1534</v>
      </c>
      <c r="C31" s="11">
        <v>2993</v>
      </c>
      <c r="D31" s="11">
        <v>3070</v>
      </c>
      <c r="E31" s="11">
        <v>3418</v>
      </c>
      <c r="F31" s="11">
        <v>3796</v>
      </c>
      <c r="G31" s="11">
        <v>3989</v>
      </c>
      <c r="H31" s="11">
        <v>3001</v>
      </c>
    </row>
    <row r="32" spans="1:8" x14ac:dyDescent="0.25">
      <c r="A32" s="11" t="s">
        <v>31</v>
      </c>
      <c r="B32" s="11">
        <v>2321</v>
      </c>
      <c r="C32" s="11">
        <v>3716</v>
      </c>
      <c r="D32" s="11">
        <v>3643</v>
      </c>
      <c r="E32" s="11">
        <v>3982</v>
      </c>
      <c r="F32" s="11">
        <v>4945</v>
      </c>
      <c r="G32" s="11">
        <v>5064</v>
      </c>
      <c r="H32" s="11">
        <v>4220</v>
      </c>
    </row>
    <row r="33" spans="1:8" x14ac:dyDescent="0.25">
      <c r="A33" s="11" t="s">
        <v>32</v>
      </c>
      <c r="B33" s="11">
        <v>4531</v>
      </c>
      <c r="C33" s="11">
        <v>6599</v>
      </c>
      <c r="D33" s="11">
        <v>6752</v>
      </c>
      <c r="E33" s="11">
        <v>6929</v>
      </c>
      <c r="F33" s="11">
        <v>8326</v>
      </c>
      <c r="G33" s="11">
        <v>9010</v>
      </c>
      <c r="H33" s="11">
        <v>6991</v>
      </c>
    </row>
    <row r="34" spans="1:8" x14ac:dyDescent="0.25">
      <c r="A34" s="11" t="s">
        <v>33</v>
      </c>
      <c r="B34" s="11">
        <v>2095</v>
      </c>
      <c r="C34" s="11">
        <v>3585</v>
      </c>
      <c r="D34" s="11">
        <v>4146</v>
      </c>
      <c r="E34" s="11">
        <v>4074</v>
      </c>
      <c r="F34" s="11">
        <v>4906</v>
      </c>
      <c r="G34" s="11">
        <v>5287</v>
      </c>
      <c r="H34" s="11">
        <v>3984</v>
      </c>
    </row>
    <row r="35" spans="1:8" x14ac:dyDescent="0.25">
      <c r="A35" s="11" t="s">
        <v>34</v>
      </c>
      <c r="B35" s="11">
        <v>951</v>
      </c>
      <c r="C35" s="11">
        <v>1769</v>
      </c>
      <c r="D35" s="11">
        <v>1992</v>
      </c>
      <c r="E35" s="11">
        <v>2110</v>
      </c>
      <c r="F35" s="11">
        <v>2608</v>
      </c>
      <c r="G35" s="11">
        <v>2569</v>
      </c>
      <c r="H35" s="11">
        <v>2079</v>
      </c>
    </row>
    <row r="36" spans="1:8" x14ac:dyDescent="0.25">
      <c r="A36" s="11" t="s">
        <v>35</v>
      </c>
      <c r="B36" s="11">
        <v>12075</v>
      </c>
      <c r="C36" s="11">
        <v>22779</v>
      </c>
      <c r="D36" s="11">
        <v>24145</v>
      </c>
      <c r="E36" s="11">
        <v>21643</v>
      </c>
      <c r="F36" s="11">
        <v>25030</v>
      </c>
      <c r="G36" s="11">
        <v>24133</v>
      </c>
      <c r="H36" s="11">
        <v>19821</v>
      </c>
    </row>
    <row r="37" spans="1:8" x14ac:dyDescent="0.25">
      <c r="A37" s="11" t="s">
        <v>36</v>
      </c>
      <c r="B37" s="11">
        <v>30760</v>
      </c>
      <c r="C37" s="11">
        <v>58757</v>
      </c>
      <c r="D37" s="11">
        <v>59537</v>
      </c>
      <c r="E37" s="11">
        <v>50960</v>
      </c>
      <c r="F37" s="11">
        <v>56892</v>
      </c>
      <c r="G37" s="11">
        <v>57426</v>
      </c>
      <c r="H37" s="11">
        <v>49660</v>
      </c>
    </row>
    <row r="38" spans="1:8" x14ac:dyDescent="0.25">
      <c r="A38" s="11" t="s">
        <v>37</v>
      </c>
      <c r="B38" s="11">
        <v>4294</v>
      </c>
      <c r="C38" s="11">
        <v>7849</v>
      </c>
      <c r="D38" s="11">
        <v>8345</v>
      </c>
      <c r="E38" s="11">
        <v>8304</v>
      </c>
      <c r="F38" s="11">
        <v>9781</v>
      </c>
      <c r="G38" s="11">
        <v>10364</v>
      </c>
      <c r="H38" s="11">
        <v>8377</v>
      </c>
    </row>
    <row r="39" spans="1:8" x14ac:dyDescent="0.25">
      <c r="A39" s="11" t="s">
        <v>38</v>
      </c>
      <c r="B39" s="11">
        <v>7244</v>
      </c>
      <c r="C39" s="11">
        <v>13122</v>
      </c>
      <c r="D39" s="11">
        <v>14448</v>
      </c>
      <c r="E39" s="11">
        <v>14075</v>
      </c>
      <c r="F39" s="11">
        <v>15937</v>
      </c>
      <c r="G39" s="11">
        <v>15648</v>
      </c>
      <c r="H39" s="11">
        <v>13455</v>
      </c>
    </row>
    <row r="40" spans="1:8" x14ac:dyDescent="0.25">
      <c r="A40" s="11" t="s">
        <v>39</v>
      </c>
      <c r="B40" s="11">
        <v>21563</v>
      </c>
      <c r="C40" s="11">
        <v>41787</v>
      </c>
      <c r="D40" s="11">
        <v>42463</v>
      </c>
      <c r="E40" s="11">
        <v>38576</v>
      </c>
      <c r="F40" s="11">
        <v>41293</v>
      </c>
      <c r="G40" s="11">
        <v>38371</v>
      </c>
      <c r="H40" s="11">
        <v>29760</v>
      </c>
    </row>
    <row r="41" spans="1:8" x14ac:dyDescent="0.25">
      <c r="A41" s="11" t="s">
        <v>40</v>
      </c>
      <c r="B41" s="11">
        <v>15925</v>
      </c>
      <c r="C41" s="11">
        <v>30744</v>
      </c>
      <c r="D41" s="11">
        <v>33146</v>
      </c>
      <c r="E41" s="11">
        <v>30632</v>
      </c>
      <c r="F41" s="11">
        <v>35923</v>
      </c>
      <c r="G41" s="11">
        <v>33387</v>
      </c>
      <c r="H41" s="11">
        <v>27334</v>
      </c>
    </row>
    <row r="42" spans="1:8" x14ac:dyDescent="0.25">
      <c r="A42" s="11" t="s">
        <v>41</v>
      </c>
      <c r="B42" s="11">
        <v>5567</v>
      </c>
      <c r="C42" s="11">
        <v>10042</v>
      </c>
      <c r="D42" s="11">
        <v>11425</v>
      </c>
      <c r="E42" s="11">
        <v>10452</v>
      </c>
      <c r="F42" s="11">
        <v>12189</v>
      </c>
      <c r="G42" s="11">
        <v>12979</v>
      </c>
      <c r="H42" s="11">
        <v>9958</v>
      </c>
    </row>
    <row r="43" spans="1:8" x14ac:dyDescent="0.25">
      <c r="A43" s="11" t="s">
        <v>91</v>
      </c>
      <c r="B43" s="11">
        <v>1776</v>
      </c>
      <c r="C43" s="11">
        <v>3241</v>
      </c>
      <c r="D43" s="11">
        <v>3650</v>
      </c>
      <c r="E43" s="11">
        <v>3760</v>
      </c>
      <c r="F43" s="11">
        <v>4537</v>
      </c>
      <c r="G43" s="11">
        <v>4641</v>
      </c>
      <c r="H43" s="11">
        <v>3570</v>
      </c>
    </row>
    <row r="44" spans="1:8" x14ac:dyDescent="0.25">
      <c r="A44" s="11" t="s">
        <v>43</v>
      </c>
      <c r="B44" s="11">
        <v>5536</v>
      </c>
      <c r="C44" s="11">
        <v>9794</v>
      </c>
      <c r="D44" s="11">
        <v>9964</v>
      </c>
      <c r="E44" s="11">
        <v>9881</v>
      </c>
      <c r="F44" s="11">
        <v>12349</v>
      </c>
      <c r="G44" s="11">
        <v>13458</v>
      </c>
      <c r="H44" s="11">
        <v>10831</v>
      </c>
    </row>
    <row r="45" spans="1:8" x14ac:dyDescent="0.25">
      <c r="A45" s="11" t="s">
        <v>44</v>
      </c>
      <c r="B45" s="11">
        <v>1734</v>
      </c>
      <c r="C45" s="11">
        <v>3655</v>
      </c>
      <c r="D45" s="11">
        <v>3879</v>
      </c>
      <c r="E45" s="11">
        <v>3908</v>
      </c>
      <c r="F45" s="11">
        <v>5015</v>
      </c>
      <c r="G45" s="11">
        <v>4765</v>
      </c>
      <c r="H45" s="11">
        <v>4171</v>
      </c>
    </row>
    <row r="46" spans="1:8" x14ac:dyDescent="0.25">
      <c r="A46" s="11" t="s">
        <v>45</v>
      </c>
      <c r="B46" s="11">
        <v>9612</v>
      </c>
      <c r="C46" s="11">
        <v>17499</v>
      </c>
      <c r="D46" s="11">
        <v>17668</v>
      </c>
      <c r="E46" s="11">
        <v>17417</v>
      </c>
      <c r="F46" s="11">
        <v>22528</v>
      </c>
      <c r="G46" s="11">
        <v>20191</v>
      </c>
      <c r="H46" s="11">
        <v>12339</v>
      </c>
    </row>
    <row r="47" spans="1:8" x14ac:dyDescent="0.25">
      <c r="A47" s="11" t="s">
        <v>46</v>
      </c>
      <c r="B47" s="11">
        <v>53931</v>
      </c>
      <c r="C47" s="11">
        <v>96573</v>
      </c>
      <c r="D47" s="11">
        <v>104854</v>
      </c>
      <c r="E47" s="11">
        <v>93505</v>
      </c>
      <c r="F47" s="11">
        <v>101776</v>
      </c>
      <c r="G47" s="11">
        <v>95353</v>
      </c>
      <c r="H47" s="11">
        <v>77328</v>
      </c>
    </row>
    <row r="48" spans="1:8" x14ac:dyDescent="0.25">
      <c r="A48" s="11" t="s">
        <v>47</v>
      </c>
      <c r="B48" s="11">
        <v>833</v>
      </c>
      <c r="C48" s="11">
        <v>1870</v>
      </c>
      <c r="D48" s="11">
        <v>2014</v>
      </c>
      <c r="E48" s="11">
        <v>1655</v>
      </c>
      <c r="F48" s="11">
        <v>1984</v>
      </c>
      <c r="G48" s="11">
        <v>2162</v>
      </c>
      <c r="H48" s="11">
        <v>1843</v>
      </c>
    </row>
    <row r="49" spans="1:8" x14ac:dyDescent="0.25">
      <c r="A49" s="11" t="s">
        <v>48</v>
      </c>
      <c r="B49" s="11">
        <v>22589</v>
      </c>
      <c r="C49" s="11">
        <v>36773</v>
      </c>
      <c r="D49" s="11">
        <v>35772</v>
      </c>
      <c r="E49" s="11">
        <v>33128</v>
      </c>
      <c r="F49" s="11">
        <v>38532</v>
      </c>
      <c r="G49" s="11">
        <v>36315</v>
      </c>
      <c r="H49" s="11">
        <v>28853</v>
      </c>
    </row>
    <row r="50" spans="1:8" x14ac:dyDescent="0.25">
      <c r="A50" s="11" t="s">
        <v>49</v>
      </c>
      <c r="B50" s="11">
        <v>3675</v>
      </c>
      <c r="C50" s="11">
        <v>7170</v>
      </c>
      <c r="D50" s="11">
        <v>8586</v>
      </c>
      <c r="E50" s="11">
        <v>8195</v>
      </c>
      <c r="F50" s="11">
        <v>9709</v>
      </c>
      <c r="G50" s="11">
        <v>10031</v>
      </c>
      <c r="H50" s="11">
        <v>7965</v>
      </c>
    </row>
    <row r="51" spans="1:8" x14ac:dyDescent="0.25">
      <c r="A51" s="11" t="s">
        <v>50</v>
      </c>
      <c r="B51" s="11">
        <v>2379</v>
      </c>
      <c r="C51" s="11">
        <v>4324</v>
      </c>
      <c r="D51" s="11">
        <v>4864</v>
      </c>
      <c r="E51" s="11">
        <v>4758</v>
      </c>
      <c r="F51" s="11">
        <v>5818</v>
      </c>
      <c r="G51" s="11">
        <v>5365</v>
      </c>
      <c r="H51" s="11">
        <v>3739</v>
      </c>
    </row>
    <row r="52" spans="1:8" x14ac:dyDescent="0.25">
      <c r="A52" s="11" t="s">
        <v>51</v>
      </c>
      <c r="B52" s="11">
        <v>98901</v>
      </c>
      <c r="C52" s="11">
        <v>257992</v>
      </c>
      <c r="D52" s="11">
        <v>220923</v>
      </c>
      <c r="E52" s="11">
        <v>143618</v>
      </c>
      <c r="F52" s="11">
        <v>144654</v>
      </c>
      <c r="G52" s="11">
        <v>126762</v>
      </c>
      <c r="H52" s="11">
        <v>91555</v>
      </c>
    </row>
    <row r="53" spans="1:8" x14ac:dyDescent="0.25">
      <c r="A53" s="11" t="s">
        <v>52</v>
      </c>
      <c r="B53" s="11">
        <v>3142</v>
      </c>
      <c r="C53" s="11">
        <v>5918</v>
      </c>
      <c r="D53" s="11">
        <v>6445</v>
      </c>
      <c r="E53" s="11">
        <v>6618</v>
      </c>
      <c r="F53" s="11">
        <v>9538</v>
      </c>
      <c r="G53" s="11">
        <v>9177</v>
      </c>
      <c r="H53" s="11">
        <v>6334</v>
      </c>
    </row>
    <row r="54" spans="1:8" x14ac:dyDescent="0.25">
      <c r="A54" s="11" t="s">
        <v>53</v>
      </c>
      <c r="B54" s="11">
        <v>744</v>
      </c>
      <c r="C54" s="11">
        <v>1276</v>
      </c>
      <c r="D54" s="11">
        <v>1465</v>
      </c>
      <c r="E54" s="11">
        <v>1498</v>
      </c>
      <c r="F54" s="11">
        <v>2047</v>
      </c>
      <c r="G54" s="11">
        <v>2216</v>
      </c>
      <c r="H54" s="11">
        <v>1767</v>
      </c>
    </row>
    <row r="55" spans="1:8" x14ac:dyDescent="0.25">
      <c r="A55" s="11" t="s">
        <v>54</v>
      </c>
      <c r="B55" s="11">
        <v>6884</v>
      </c>
      <c r="C55" s="11">
        <v>12429</v>
      </c>
      <c r="D55" s="11">
        <v>13823</v>
      </c>
      <c r="E55" s="11">
        <v>14185</v>
      </c>
      <c r="F55" s="11">
        <v>16645</v>
      </c>
      <c r="G55" s="11">
        <v>16117</v>
      </c>
      <c r="H55" s="11">
        <v>12185</v>
      </c>
    </row>
    <row r="56" spans="1:8" x14ac:dyDescent="0.25">
      <c r="A56" s="11" t="s">
        <v>55</v>
      </c>
      <c r="B56" s="11">
        <v>2265</v>
      </c>
      <c r="C56" s="11">
        <v>3196</v>
      </c>
      <c r="D56" s="11">
        <v>3477</v>
      </c>
      <c r="E56" s="11">
        <v>3436</v>
      </c>
      <c r="F56" s="11">
        <v>4149</v>
      </c>
      <c r="G56" s="11">
        <v>3965</v>
      </c>
      <c r="H56" s="11">
        <v>3379</v>
      </c>
    </row>
    <row r="57" spans="1:8" x14ac:dyDescent="0.25">
      <c r="A57" s="11" t="s">
        <v>56</v>
      </c>
      <c r="B57" s="11">
        <v>3296</v>
      </c>
      <c r="C57" s="11">
        <v>5971</v>
      </c>
      <c r="D57" s="11">
        <v>6744</v>
      </c>
      <c r="E57" s="11">
        <v>7061</v>
      </c>
      <c r="F57" s="11">
        <v>8577</v>
      </c>
      <c r="G57" s="11">
        <v>9374</v>
      </c>
      <c r="H57" s="11">
        <v>7466</v>
      </c>
    </row>
    <row r="58" spans="1:8" x14ac:dyDescent="0.25">
      <c r="A58" s="11" t="s">
        <v>57</v>
      </c>
      <c r="B58" s="11">
        <v>239</v>
      </c>
      <c r="C58" s="11">
        <v>414</v>
      </c>
      <c r="D58" s="11">
        <v>566</v>
      </c>
      <c r="E58" s="11">
        <v>557</v>
      </c>
      <c r="F58" s="11">
        <v>803</v>
      </c>
      <c r="G58" s="11">
        <v>1079</v>
      </c>
      <c r="H58" s="11">
        <v>791</v>
      </c>
    </row>
    <row r="59" spans="1:8" x14ac:dyDescent="0.25">
      <c r="A59" s="11" t="s">
        <v>58</v>
      </c>
      <c r="B59" s="11">
        <v>1894</v>
      </c>
      <c r="C59" s="11">
        <v>3632</v>
      </c>
      <c r="D59" s="11">
        <v>3976</v>
      </c>
      <c r="E59" s="11">
        <v>3687</v>
      </c>
      <c r="F59" s="11">
        <v>5049</v>
      </c>
      <c r="G59" s="11">
        <v>5346</v>
      </c>
      <c r="H59" s="11">
        <v>4207</v>
      </c>
    </row>
    <row r="60" spans="1:8" x14ac:dyDescent="0.25">
      <c r="A60" s="11" t="s">
        <v>59</v>
      </c>
      <c r="B60" s="11">
        <v>1901</v>
      </c>
      <c r="C60" s="11">
        <v>3276</v>
      </c>
      <c r="D60" s="11">
        <v>3917</v>
      </c>
      <c r="E60" s="11">
        <v>3737</v>
      </c>
      <c r="F60" s="11">
        <v>4770</v>
      </c>
      <c r="G60" s="11">
        <v>5059</v>
      </c>
      <c r="H60" s="11">
        <v>4143</v>
      </c>
    </row>
    <row r="61" spans="1:8" x14ac:dyDescent="0.25">
      <c r="A61" s="11" t="s">
        <v>60</v>
      </c>
      <c r="B61" s="11">
        <v>3663</v>
      </c>
      <c r="C61" s="11">
        <v>4023</v>
      </c>
      <c r="D61" s="11">
        <v>3643</v>
      </c>
      <c r="E61" s="11">
        <v>3458</v>
      </c>
      <c r="F61" s="11">
        <v>3986</v>
      </c>
      <c r="G61" s="11">
        <v>3893</v>
      </c>
      <c r="H61" s="11">
        <v>3733</v>
      </c>
    </row>
    <row r="62" spans="1:8" x14ac:dyDescent="0.25">
      <c r="A62" s="11" t="s">
        <v>61</v>
      </c>
      <c r="B62" s="11">
        <v>2213</v>
      </c>
      <c r="C62" s="11">
        <v>3929</v>
      </c>
      <c r="D62" s="11">
        <v>4641</v>
      </c>
      <c r="E62" s="11">
        <v>4776</v>
      </c>
      <c r="F62" s="11">
        <v>5691</v>
      </c>
      <c r="G62" s="11">
        <v>6595</v>
      </c>
      <c r="H62" s="11">
        <v>4922</v>
      </c>
    </row>
    <row r="63" spans="1:8" x14ac:dyDescent="0.25">
      <c r="A63" s="11" t="s">
        <v>62</v>
      </c>
      <c r="B63" s="11">
        <v>1733</v>
      </c>
      <c r="C63" s="11">
        <v>3053</v>
      </c>
      <c r="D63" s="11">
        <v>3607</v>
      </c>
      <c r="E63" s="11">
        <v>3508</v>
      </c>
      <c r="F63" s="11">
        <v>4696</v>
      </c>
      <c r="G63" s="11">
        <v>4996</v>
      </c>
      <c r="H63" s="11">
        <v>3805</v>
      </c>
    </row>
    <row r="64" spans="1:8" x14ac:dyDescent="0.25">
      <c r="A64" s="11" t="s">
        <v>63</v>
      </c>
      <c r="B64" s="11">
        <v>10512</v>
      </c>
      <c r="C64" s="11">
        <v>19793</v>
      </c>
      <c r="D64" s="11">
        <v>22636</v>
      </c>
      <c r="E64" s="11">
        <v>21345</v>
      </c>
      <c r="F64" s="11">
        <v>25147</v>
      </c>
      <c r="G64" s="11">
        <v>26118</v>
      </c>
      <c r="H64" s="11">
        <v>20063</v>
      </c>
    </row>
    <row r="65" spans="1:8" x14ac:dyDescent="0.25">
      <c r="A65" s="11" t="s">
        <v>64</v>
      </c>
      <c r="B65" s="11">
        <v>2214</v>
      </c>
      <c r="C65" s="11">
        <v>4544</v>
      </c>
      <c r="D65" s="11">
        <v>5031</v>
      </c>
      <c r="E65" s="11">
        <v>4903</v>
      </c>
      <c r="F65" s="11">
        <v>6917</v>
      </c>
      <c r="G65" s="11">
        <v>7411</v>
      </c>
      <c r="H65" s="11">
        <v>5618</v>
      </c>
    </row>
    <row r="66" spans="1:8" x14ac:dyDescent="0.25">
      <c r="A66" s="11" t="s">
        <v>65</v>
      </c>
      <c r="B66" s="11">
        <v>17532</v>
      </c>
      <c r="C66" s="11">
        <v>33094</v>
      </c>
      <c r="D66" s="11">
        <v>36327</v>
      </c>
      <c r="E66" s="11">
        <v>35178</v>
      </c>
      <c r="F66" s="11">
        <v>44203</v>
      </c>
      <c r="G66" s="11">
        <v>46599</v>
      </c>
      <c r="H66" s="11">
        <v>37888</v>
      </c>
    </row>
    <row r="67" spans="1:8" x14ac:dyDescent="0.25">
      <c r="A67" s="11" t="s">
        <v>66</v>
      </c>
      <c r="B67" s="11">
        <v>1364</v>
      </c>
      <c r="C67" s="11">
        <v>2487</v>
      </c>
      <c r="D67" s="11">
        <v>2717</v>
      </c>
      <c r="E67" s="11">
        <v>2695</v>
      </c>
      <c r="F67" s="11">
        <v>3233</v>
      </c>
      <c r="G67" s="11">
        <v>3349</v>
      </c>
      <c r="H67" s="11">
        <v>2632</v>
      </c>
    </row>
    <row r="68" spans="1:8" ht="13.8" thickBot="1" x14ac:dyDescent="0.3">
      <c r="A68" s="13" t="s">
        <v>67</v>
      </c>
      <c r="B68" s="13">
        <v>26653</v>
      </c>
      <c r="C68" s="13">
        <v>50183</v>
      </c>
      <c r="D68" s="13">
        <v>54576</v>
      </c>
      <c r="E68" s="13">
        <v>50173</v>
      </c>
      <c r="F68" s="13">
        <v>57058</v>
      </c>
      <c r="G68" s="13">
        <v>50357</v>
      </c>
      <c r="H68" s="13">
        <v>38042</v>
      </c>
    </row>
    <row r="69" spans="1:8" x14ac:dyDescent="0.25">
      <c r="A69" s="32" t="s">
        <v>68</v>
      </c>
      <c r="B69" s="32">
        <f>SUM(B2:B68)</f>
        <v>758800</v>
      </c>
      <c r="C69" s="32">
        <f t="shared" ref="C69:G69" si="0">SUM(C2:C68)</f>
        <v>1464734</v>
      </c>
      <c r="D69" s="32">
        <f t="shared" si="0"/>
        <v>1474856</v>
      </c>
      <c r="E69" s="32">
        <f t="shared" si="0"/>
        <v>1286500</v>
      </c>
      <c r="F69" s="32">
        <f t="shared" si="0"/>
        <v>1462580</v>
      </c>
      <c r="G69" s="32">
        <f t="shared" si="0"/>
        <v>1418985</v>
      </c>
      <c r="H69" s="32">
        <f>SUM(H2:H68)</f>
        <v>1105714</v>
      </c>
    </row>
    <row r="70" spans="1:8" x14ac:dyDescent="0.25">
      <c r="B70" s="17">
        <f t="shared" ref="B70:H70" si="1">B69/$B$72</f>
        <v>8.4572637898372174E-2</v>
      </c>
      <c r="C70" s="17">
        <f>C69/$B$72</f>
        <v>0.16325305508623389</v>
      </c>
      <c r="D70" s="17">
        <f>D69/$B$72</f>
        <v>0.16438121038513653</v>
      </c>
      <c r="E70" s="17">
        <f t="shared" si="1"/>
        <v>0.14338784746475461</v>
      </c>
      <c r="F70" s="17">
        <f t="shared" si="1"/>
        <v>0.16301297935872586</v>
      </c>
      <c r="G70" s="17">
        <f t="shared" si="1"/>
        <v>0.15815406508727153</v>
      </c>
      <c r="H70" s="17">
        <f t="shared" si="1"/>
        <v>0.12323820471950539</v>
      </c>
    </row>
    <row r="72" spans="1:8" x14ac:dyDescent="0.25">
      <c r="A72" s="32" t="s">
        <v>80</v>
      </c>
      <c r="B72" s="16">
        <f>SUM(B69:H69)</f>
        <v>8972169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1971</v>
      </c>
      <c r="D2" s="11">
        <v>2772</v>
      </c>
      <c r="E2" s="11">
        <v>2344</v>
      </c>
      <c r="F2" s="11">
        <v>2118</v>
      </c>
      <c r="G2" s="11">
        <v>2649</v>
      </c>
      <c r="H2" s="11">
        <v>3784</v>
      </c>
      <c r="I2" s="11">
        <v>3532</v>
      </c>
    </row>
    <row r="3" spans="1:9" x14ac:dyDescent="0.25">
      <c r="A3" s="11" t="s">
        <v>2</v>
      </c>
      <c r="B3" s="10" t="s">
        <v>0</v>
      </c>
      <c r="C3" s="11">
        <v>41661</v>
      </c>
      <c r="D3" s="11">
        <v>94483</v>
      </c>
      <c r="E3" s="11">
        <v>89340</v>
      </c>
      <c r="F3" s="11">
        <v>64239</v>
      </c>
      <c r="G3" s="11">
        <v>67538</v>
      </c>
      <c r="H3" s="11">
        <v>80111</v>
      </c>
      <c r="I3" s="11">
        <v>65631</v>
      </c>
    </row>
    <row r="4" spans="1:9" x14ac:dyDescent="0.25">
      <c r="A4" s="11" t="s">
        <v>3</v>
      </c>
      <c r="B4" s="10" t="s">
        <v>0</v>
      </c>
      <c r="C4" s="11">
        <v>617</v>
      </c>
      <c r="D4" s="11">
        <v>1089</v>
      </c>
      <c r="E4" s="11">
        <v>1203</v>
      </c>
      <c r="F4" s="11">
        <v>1262</v>
      </c>
      <c r="G4" s="11">
        <v>1765</v>
      </c>
      <c r="H4" s="11">
        <v>2543</v>
      </c>
      <c r="I4" s="11">
        <v>2181</v>
      </c>
    </row>
    <row r="5" spans="1:9" x14ac:dyDescent="0.25">
      <c r="A5" s="11" t="s">
        <v>4</v>
      </c>
      <c r="B5" s="10" t="s">
        <v>0</v>
      </c>
      <c r="C5" s="11">
        <v>2529</v>
      </c>
      <c r="D5" s="11">
        <v>5680</v>
      </c>
      <c r="E5" s="11">
        <v>6427</v>
      </c>
      <c r="F5" s="11">
        <v>5900</v>
      </c>
      <c r="G5" s="11">
        <v>7345</v>
      </c>
      <c r="H5" s="11">
        <v>9855</v>
      </c>
      <c r="I5" s="11">
        <v>8031</v>
      </c>
    </row>
    <row r="6" spans="1:9" x14ac:dyDescent="0.25">
      <c r="A6" s="11" t="s">
        <v>5</v>
      </c>
      <c r="B6" s="10" t="s">
        <v>0</v>
      </c>
      <c r="C6" s="11">
        <v>306</v>
      </c>
      <c r="D6" s="11">
        <v>524</v>
      </c>
      <c r="E6" s="11">
        <v>579</v>
      </c>
      <c r="F6" s="11">
        <v>628</v>
      </c>
      <c r="G6" s="11">
        <v>858</v>
      </c>
      <c r="H6" s="11">
        <v>1184</v>
      </c>
      <c r="I6" s="11">
        <v>1188</v>
      </c>
    </row>
    <row r="7" spans="1:9" x14ac:dyDescent="0.25">
      <c r="A7" s="11" t="s">
        <v>6</v>
      </c>
      <c r="B7" s="10" t="s">
        <v>0</v>
      </c>
      <c r="C7" s="11">
        <v>8555</v>
      </c>
      <c r="D7" s="11">
        <v>15769</v>
      </c>
      <c r="E7" s="11">
        <v>16365</v>
      </c>
      <c r="F7" s="11">
        <v>14874</v>
      </c>
      <c r="G7" s="11">
        <v>16900</v>
      </c>
      <c r="H7" s="11">
        <v>17334</v>
      </c>
      <c r="I7" s="11">
        <v>14511</v>
      </c>
    </row>
    <row r="8" spans="1:9" x14ac:dyDescent="0.25">
      <c r="A8" s="11" t="s">
        <v>7</v>
      </c>
      <c r="B8" s="10" t="s">
        <v>0</v>
      </c>
      <c r="C8" s="11">
        <v>1533</v>
      </c>
      <c r="D8" s="11">
        <v>3041</v>
      </c>
      <c r="E8" s="11">
        <v>3131</v>
      </c>
      <c r="F8" s="11">
        <v>2567</v>
      </c>
      <c r="G8" s="11">
        <v>2728</v>
      </c>
      <c r="H8" s="11">
        <v>3534</v>
      </c>
      <c r="I8" s="11">
        <v>3249</v>
      </c>
    </row>
    <row r="9" spans="1:9" x14ac:dyDescent="0.25">
      <c r="A9" s="11" t="s">
        <v>8</v>
      </c>
      <c r="B9" s="10" t="s">
        <v>0</v>
      </c>
      <c r="C9" s="11">
        <v>513</v>
      </c>
      <c r="D9" s="11">
        <v>1052</v>
      </c>
      <c r="E9" s="11">
        <v>1074</v>
      </c>
      <c r="F9" s="11">
        <v>905</v>
      </c>
      <c r="G9" s="11">
        <v>1179</v>
      </c>
      <c r="H9" s="11">
        <v>1599</v>
      </c>
      <c r="I9" s="11">
        <v>1486</v>
      </c>
    </row>
    <row r="10" spans="1:9" x14ac:dyDescent="0.25">
      <c r="A10" s="11" t="s">
        <v>9</v>
      </c>
      <c r="B10" s="10" t="s">
        <v>0</v>
      </c>
      <c r="C10" s="11">
        <v>15625</v>
      </c>
      <c r="D10" s="11">
        <v>28148</v>
      </c>
      <c r="E10" s="11">
        <v>30103</v>
      </c>
      <c r="F10" s="11">
        <v>27112</v>
      </c>
      <c r="G10" s="11">
        <v>31200</v>
      </c>
      <c r="H10" s="11">
        <v>34539</v>
      </c>
      <c r="I10" s="11">
        <v>27088</v>
      </c>
    </row>
    <row r="11" spans="1:9" x14ac:dyDescent="0.25">
      <c r="A11" s="11" t="s">
        <v>10</v>
      </c>
      <c r="B11" s="10" t="s">
        <v>0</v>
      </c>
      <c r="C11" s="11">
        <v>2983</v>
      </c>
      <c r="D11" s="11">
        <v>5313</v>
      </c>
      <c r="E11" s="11">
        <v>5953</v>
      </c>
      <c r="F11" s="11">
        <v>4998</v>
      </c>
      <c r="G11" s="11">
        <v>5780</v>
      </c>
      <c r="H11" s="11">
        <v>7543</v>
      </c>
      <c r="I11" s="11">
        <v>6607</v>
      </c>
    </row>
    <row r="12" spans="1:9" x14ac:dyDescent="0.25">
      <c r="A12" s="11" t="s">
        <v>11</v>
      </c>
      <c r="B12" s="10" t="s">
        <v>0</v>
      </c>
      <c r="C12" s="11">
        <v>1729</v>
      </c>
      <c r="D12" s="11">
        <v>3351</v>
      </c>
      <c r="E12" s="11">
        <v>3664</v>
      </c>
      <c r="F12" s="11">
        <v>3709</v>
      </c>
      <c r="G12" s="11">
        <v>4648</v>
      </c>
      <c r="H12" s="11">
        <v>6637</v>
      </c>
      <c r="I12" s="11">
        <v>5691</v>
      </c>
    </row>
    <row r="13" spans="1:9" x14ac:dyDescent="0.25">
      <c r="A13" s="11" t="s">
        <v>12</v>
      </c>
      <c r="B13" s="10" t="s">
        <v>0</v>
      </c>
      <c r="C13" s="11">
        <v>33</v>
      </c>
      <c r="D13" s="11">
        <v>67</v>
      </c>
      <c r="E13" s="11">
        <v>78</v>
      </c>
      <c r="F13" s="11">
        <v>61</v>
      </c>
      <c r="G13" s="11">
        <v>112</v>
      </c>
      <c r="H13" s="11">
        <v>172</v>
      </c>
      <c r="I13" s="11">
        <v>143</v>
      </c>
    </row>
    <row r="14" spans="1:9" x14ac:dyDescent="0.25">
      <c r="A14" s="11" t="s">
        <v>13</v>
      </c>
      <c r="B14" s="10" t="s">
        <v>0</v>
      </c>
      <c r="C14" s="11">
        <v>866</v>
      </c>
      <c r="D14" s="11">
        <v>1784</v>
      </c>
      <c r="E14" s="11">
        <v>1935</v>
      </c>
      <c r="F14" s="11">
        <v>1916</v>
      </c>
      <c r="G14" s="11">
        <v>2421</v>
      </c>
      <c r="H14" s="11">
        <v>2863</v>
      </c>
      <c r="I14" s="11">
        <v>2284</v>
      </c>
    </row>
    <row r="15" spans="1:9" x14ac:dyDescent="0.25">
      <c r="A15" s="11" t="s">
        <v>14</v>
      </c>
      <c r="B15" s="10" t="s">
        <v>0</v>
      </c>
      <c r="C15" s="11">
        <v>7742</v>
      </c>
      <c r="D15" s="11">
        <v>9036</v>
      </c>
      <c r="E15" s="11">
        <v>5734</v>
      </c>
      <c r="F15" s="11">
        <v>4628</v>
      </c>
      <c r="G15" s="11">
        <v>4507</v>
      </c>
      <c r="H15" s="11">
        <v>5098</v>
      </c>
      <c r="I15" s="11">
        <v>4676</v>
      </c>
    </row>
    <row r="16" spans="1:9" x14ac:dyDescent="0.25">
      <c r="A16" s="11" t="s">
        <v>15</v>
      </c>
      <c r="B16" s="10" t="s">
        <v>0</v>
      </c>
      <c r="C16" s="11">
        <v>16574</v>
      </c>
      <c r="D16" s="11">
        <v>27191</v>
      </c>
      <c r="E16" s="11">
        <v>26317</v>
      </c>
      <c r="F16" s="11">
        <v>23376</v>
      </c>
      <c r="G16" s="11">
        <v>24083</v>
      </c>
      <c r="H16" s="11">
        <v>24409</v>
      </c>
      <c r="I16" s="11">
        <v>18740</v>
      </c>
    </row>
    <row r="17" spans="1:9" x14ac:dyDescent="0.25">
      <c r="A17" s="11" t="s">
        <v>16</v>
      </c>
      <c r="B17" s="10" t="s">
        <v>0</v>
      </c>
      <c r="C17" s="11">
        <v>298</v>
      </c>
      <c r="D17" s="11">
        <v>634</v>
      </c>
      <c r="E17" s="11">
        <v>603</v>
      </c>
      <c r="F17" s="11">
        <v>586</v>
      </c>
      <c r="G17" s="11">
        <v>733</v>
      </c>
      <c r="H17" s="11">
        <v>1154</v>
      </c>
      <c r="I17" s="11">
        <v>1043</v>
      </c>
    </row>
    <row r="18" spans="1:9" x14ac:dyDescent="0.25">
      <c r="A18" s="11" t="s">
        <v>17</v>
      </c>
      <c r="B18" s="10" t="s">
        <v>0</v>
      </c>
      <c r="C18" s="11">
        <v>690</v>
      </c>
      <c r="D18" s="11">
        <v>1350</v>
      </c>
      <c r="E18" s="11">
        <v>1470</v>
      </c>
      <c r="F18" s="11">
        <v>1519</v>
      </c>
      <c r="G18" s="11">
        <v>1959</v>
      </c>
      <c r="H18" s="11">
        <v>2565</v>
      </c>
      <c r="I18" s="11">
        <v>2466</v>
      </c>
    </row>
    <row r="19" spans="1:9" x14ac:dyDescent="0.25">
      <c r="A19" s="11" t="s">
        <v>18</v>
      </c>
      <c r="B19" s="10" t="s">
        <v>0</v>
      </c>
      <c r="C19" s="11">
        <v>381</v>
      </c>
      <c r="D19" s="11">
        <v>852</v>
      </c>
      <c r="E19" s="11">
        <v>777</v>
      </c>
      <c r="F19" s="11">
        <v>748</v>
      </c>
      <c r="G19" s="11">
        <v>911</v>
      </c>
      <c r="H19" s="11">
        <v>1278</v>
      </c>
      <c r="I19" s="11">
        <v>1116</v>
      </c>
    </row>
    <row r="20" spans="1:9" x14ac:dyDescent="0.25">
      <c r="A20" s="11" t="s">
        <v>19</v>
      </c>
      <c r="B20" s="10" t="s">
        <v>0</v>
      </c>
      <c r="C20" s="11">
        <v>1212</v>
      </c>
      <c r="D20" s="11">
        <v>1721</v>
      </c>
      <c r="E20" s="11">
        <v>1678</v>
      </c>
      <c r="F20" s="11">
        <v>1469</v>
      </c>
      <c r="G20" s="11">
        <v>1615</v>
      </c>
      <c r="H20" s="11">
        <v>2192</v>
      </c>
      <c r="I20" s="11">
        <v>1905</v>
      </c>
    </row>
    <row r="21" spans="1:9" x14ac:dyDescent="0.25">
      <c r="A21" s="11" t="s">
        <v>20</v>
      </c>
      <c r="B21" s="10" t="s">
        <v>0</v>
      </c>
      <c r="C21" s="11">
        <v>1043</v>
      </c>
      <c r="D21" s="11">
        <v>1825</v>
      </c>
      <c r="E21" s="11">
        <v>1758</v>
      </c>
      <c r="F21" s="11">
        <v>1757</v>
      </c>
      <c r="G21" s="11">
        <v>2161</v>
      </c>
      <c r="H21" s="11">
        <v>3040</v>
      </c>
      <c r="I21" s="11">
        <v>2868</v>
      </c>
    </row>
    <row r="22" spans="1:9" x14ac:dyDescent="0.25">
      <c r="A22" s="11" t="s">
        <v>21</v>
      </c>
      <c r="B22" s="10" t="s">
        <v>0</v>
      </c>
      <c r="C22" s="11">
        <v>6280</v>
      </c>
      <c r="D22" s="11">
        <v>10301</v>
      </c>
      <c r="E22" s="11">
        <v>10888</v>
      </c>
      <c r="F22" s="11">
        <v>8695</v>
      </c>
      <c r="G22" s="11">
        <v>8013</v>
      </c>
      <c r="H22" s="11">
        <v>9056</v>
      </c>
      <c r="I22" s="11">
        <v>8298</v>
      </c>
    </row>
    <row r="23" spans="1:9" x14ac:dyDescent="0.25">
      <c r="A23" s="11" t="s">
        <v>22</v>
      </c>
      <c r="B23" s="10" t="s">
        <v>0</v>
      </c>
      <c r="C23" s="11">
        <v>7314</v>
      </c>
      <c r="D23" s="11">
        <v>15609</v>
      </c>
      <c r="E23" s="11">
        <v>15257</v>
      </c>
      <c r="F23" s="11">
        <v>12840</v>
      </c>
      <c r="G23" s="11">
        <v>13020</v>
      </c>
      <c r="H23" s="11">
        <v>13133</v>
      </c>
      <c r="I23" s="11">
        <v>9120</v>
      </c>
    </row>
    <row r="24" spans="1:9" x14ac:dyDescent="0.25">
      <c r="A24" s="11" t="s">
        <v>23</v>
      </c>
      <c r="B24" s="10" t="s">
        <v>0</v>
      </c>
      <c r="C24" s="11">
        <v>19277</v>
      </c>
      <c r="D24" s="11">
        <v>34950</v>
      </c>
      <c r="E24" s="11">
        <v>38710</v>
      </c>
      <c r="F24" s="11">
        <v>30537</v>
      </c>
      <c r="G24" s="11">
        <v>29428</v>
      </c>
      <c r="H24" s="11">
        <v>29044</v>
      </c>
      <c r="I24" s="11">
        <v>20732</v>
      </c>
    </row>
    <row r="25" spans="1:9" x14ac:dyDescent="0.25">
      <c r="A25" s="11" t="s">
        <v>24</v>
      </c>
      <c r="B25" s="10" t="s">
        <v>0</v>
      </c>
      <c r="C25" s="11">
        <v>321</v>
      </c>
      <c r="D25" s="11">
        <v>603</v>
      </c>
      <c r="E25" s="11">
        <v>653</v>
      </c>
      <c r="F25" s="11">
        <v>646</v>
      </c>
      <c r="G25" s="11">
        <v>1005</v>
      </c>
      <c r="H25" s="11">
        <v>1328</v>
      </c>
      <c r="I25" s="11">
        <v>1232</v>
      </c>
    </row>
    <row r="26" spans="1:9" x14ac:dyDescent="0.25">
      <c r="A26" s="11" t="s">
        <v>25</v>
      </c>
      <c r="B26" s="10" t="s">
        <v>0</v>
      </c>
      <c r="C26" s="11">
        <v>5484</v>
      </c>
      <c r="D26" s="11">
        <v>11263</v>
      </c>
      <c r="E26" s="11">
        <v>11167</v>
      </c>
      <c r="F26" s="11">
        <v>10125</v>
      </c>
      <c r="G26" s="11">
        <v>11745</v>
      </c>
      <c r="H26" s="11">
        <v>14852</v>
      </c>
      <c r="I26" s="11">
        <v>11836</v>
      </c>
    </row>
    <row r="27" spans="1:9" x14ac:dyDescent="0.25">
      <c r="A27" s="11" t="s">
        <v>26</v>
      </c>
      <c r="B27" s="10" t="s">
        <v>0</v>
      </c>
      <c r="C27" s="11">
        <v>1348</v>
      </c>
      <c r="D27" s="11">
        <v>2938</v>
      </c>
      <c r="E27" s="11">
        <v>3497</v>
      </c>
      <c r="F27" s="11">
        <v>3842</v>
      </c>
      <c r="G27" s="11">
        <v>5047</v>
      </c>
      <c r="H27" s="11">
        <v>6873</v>
      </c>
      <c r="I27" s="11">
        <v>5989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47</v>
      </c>
      <c r="E28" s="11">
        <v>57</v>
      </c>
      <c r="F28" s="11">
        <v>67</v>
      </c>
      <c r="G28" s="11">
        <v>146</v>
      </c>
      <c r="H28" s="11">
        <v>244</v>
      </c>
      <c r="I28" s="11">
        <v>199</v>
      </c>
    </row>
    <row r="29" spans="1:9" x14ac:dyDescent="0.25">
      <c r="A29" s="11" t="s">
        <v>28</v>
      </c>
      <c r="B29" s="10" t="s">
        <v>0</v>
      </c>
      <c r="C29" s="11">
        <v>2028</v>
      </c>
      <c r="D29" s="11">
        <v>3671</v>
      </c>
      <c r="E29" s="11">
        <v>3454</v>
      </c>
      <c r="F29" s="11">
        <v>3095</v>
      </c>
      <c r="G29" s="11">
        <v>3250</v>
      </c>
      <c r="H29" s="11">
        <v>3958</v>
      </c>
      <c r="I29" s="11">
        <v>4008</v>
      </c>
    </row>
    <row r="30" spans="1:9" x14ac:dyDescent="0.25">
      <c r="A30" s="11" t="s">
        <v>29</v>
      </c>
      <c r="B30" s="10" t="s">
        <v>0</v>
      </c>
      <c r="C30" s="11">
        <v>82</v>
      </c>
      <c r="D30" s="11">
        <v>140</v>
      </c>
      <c r="E30" s="11">
        <v>156</v>
      </c>
      <c r="F30" s="11">
        <v>176</v>
      </c>
      <c r="G30" s="11">
        <v>243</v>
      </c>
      <c r="H30" s="11">
        <v>290</v>
      </c>
      <c r="I30" s="11">
        <v>385</v>
      </c>
    </row>
    <row r="31" spans="1:9" x14ac:dyDescent="0.25">
      <c r="A31" s="11" t="s">
        <v>30</v>
      </c>
      <c r="B31" s="10" t="s">
        <v>0</v>
      </c>
      <c r="C31" s="11">
        <v>300</v>
      </c>
      <c r="D31" s="11">
        <v>676</v>
      </c>
      <c r="E31" s="11">
        <v>826</v>
      </c>
      <c r="F31" s="11">
        <v>951</v>
      </c>
      <c r="G31" s="11">
        <v>1284</v>
      </c>
      <c r="H31" s="11">
        <v>1824</v>
      </c>
      <c r="I31" s="11">
        <v>1530</v>
      </c>
    </row>
    <row r="32" spans="1:9" x14ac:dyDescent="0.25">
      <c r="A32" s="11" t="s">
        <v>31</v>
      </c>
      <c r="B32" s="10" t="s">
        <v>0</v>
      </c>
      <c r="C32" s="11">
        <v>602</v>
      </c>
      <c r="D32" s="11">
        <v>847</v>
      </c>
      <c r="E32" s="11">
        <v>605</v>
      </c>
      <c r="F32" s="11">
        <v>717</v>
      </c>
      <c r="G32" s="11">
        <v>857</v>
      </c>
      <c r="H32" s="11">
        <v>1217</v>
      </c>
      <c r="I32" s="11">
        <v>1171</v>
      </c>
    </row>
    <row r="33" spans="1:9" x14ac:dyDescent="0.25">
      <c r="A33" s="11" t="s">
        <v>32</v>
      </c>
      <c r="B33" s="10" t="s">
        <v>0</v>
      </c>
      <c r="C33" s="11">
        <v>1293</v>
      </c>
      <c r="D33" s="11">
        <v>1821</v>
      </c>
      <c r="E33" s="11">
        <v>1538</v>
      </c>
      <c r="F33" s="11">
        <v>1508</v>
      </c>
      <c r="G33" s="11">
        <v>2087</v>
      </c>
      <c r="H33" s="11">
        <v>3015</v>
      </c>
      <c r="I33" s="11">
        <v>2653</v>
      </c>
    </row>
    <row r="34" spans="1:9" x14ac:dyDescent="0.25">
      <c r="A34" s="11" t="s">
        <v>33</v>
      </c>
      <c r="B34" s="10" t="s">
        <v>0</v>
      </c>
      <c r="C34" s="11">
        <v>349</v>
      </c>
      <c r="D34" s="11">
        <v>621</v>
      </c>
      <c r="E34" s="11">
        <v>659</v>
      </c>
      <c r="F34" s="11">
        <v>666</v>
      </c>
      <c r="G34" s="11">
        <v>800</v>
      </c>
      <c r="H34" s="11">
        <v>1264</v>
      </c>
      <c r="I34" s="11">
        <v>1069</v>
      </c>
    </row>
    <row r="35" spans="1:9" x14ac:dyDescent="0.25">
      <c r="A35" s="11" t="s">
        <v>34</v>
      </c>
      <c r="B35" s="10" t="s">
        <v>0</v>
      </c>
      <c r="C35" s="11">
        <v>137</v>
      </c>
      <c r="D35" s="11">
        <v>247</v>
      </c>
      <c r="E35" s="11">
        <v>294</v>
      </c>
      <c r="F35" s="11">
        <v>321</v>
      </c>
      <c r="G35" s="11">
        <v>411</v>
      </c>
      <c r="H35" s="11">
        <v>602</v>
      </c>
      <c r="I35" s="11">
        <v>530</v>
      </c>
    </row>
    <row r="36" spans="1:9" x14ac:dyDescent="0.25">
      <c r="A36" s="11" t="s">
        <v>35</v>
      </c>
      <c r="B36" s="10" t="s">
        <v>0</v>
      </c>
      <c r="C36" s="11">
        <v>5201</v>
      </c>
      <c r="D36" s="11">
        <v>10544</v>
      </c>
      <c r="E36" s="11">
        <v>11737</v>
      </c>
      <c r="F36" s="11">
        <v>10245</v>
      </c>
      <c r="G36" s="11">
        <v>12590</v>
      </c>
      <c r="H36" s="11">
        <v>14076</v>
      </c>
      <c r="I36" s="11">
        <v>12206</v>
      </c>
    </row>
    <row r="37" spans="1:9" x14ac:dyDescent="0.25">
      <c r="A37" s="11" t="s">
        <v>36</v>
      </c>
      <c r="B37" s="10" t="s">
        <v>0</v>
      </c>
      <c r="C37" s="11">
        <v>9786</v>
      </c>
      <c r="D37" s="11">
        <v>20043</v>
      </c>
      <c r="E37" s="11">
        <v>19656</v>
      </c>
      <c r="F37" s="11">
        <v>15249</v>
      </c>
      <c r="G37" s="11">
        <v>15306</v>
      </c>
      <c r="H37" s="11">
        <v>17415</v>
      </c>
      <c r="I37" s="11">
        <v>15370</v>
      </c>
    </row>
    <row r="38" spans="1:9" x14ac:dyDescent="0.25">
      <c r="A38" s="11" t="s">
        <v>37</v>
      </c>
      <c r="B38" s="10" t="s">
        <v>0</v>
      </c>
      <c r="C38" s="11">
        <v>1170</v>
      </c>
      <c r="D38" s="11">
        <v>2387</v>
      </c>
      <c r="E38" s="11">
        <v>2473</v>
      </c>
      <c r="F38" s="11">
        <v>2472</v>
      </c>
      <c r="G38" s="11">
        <v>3258</v>
      </c>
      <c r="H38" s="11">
        <v>4187</v>
      </c>
      <c r="I38" s="11">
        <v>3730</v>
      </c>
    </row>
    <row r="39" spans="1:9" x14ac:dyDescent="0.25">
      <c r="A39" s="11" t="s">
        <v>38</v>
      </c>
      <c r="B39" s="10" t="s">
        <v>0</v>
      </c>
      <c r="C39" s="11">
        <v>2069</v>
      </c>
      <c r="D39" s="11">
        <v>3726</v>
      </c>
      <c r="E39" s="11">
        <v>4040</v>
      </c>
      <c r="F39" s="11">
        <v>3652</v>
      </c>
      <c r="G39" s="11">
        <v>3857</v>
      </c>
      <c r="H39" s="11">
        <v>4218</v>
      </c>
      <c r="I39" s="11">
        <v>3828</v>
      </c>
    </row>
    <row r="40" spans="1:9" x14ac:dyDescent="0.25">
      <c r="A40" s="11" t="s">
        <v>39</v>
      </c>
      <c r="B40" s="10" t="s">
        <v>0</v>
      </c>
      <c r="C40" s="11">
        <v>9185</v>
      </c>
      <c r="D40" s="11">
        <v>18292</v>
      </c>
      <c r="E40" s="11">
        <v>18667</v>
      </c>
      <c r="F40" s="11">
        <v>16692</v>
      </c>
      <c r="G40" s="11">
        <v>17048</v>
      </c>
      <c r="H40" s="11">
        <v>17449</v>
      </c>
      <c r="I40" s="11">
        <v>14060</v>
      </c>
    </row>
    <row r="41" spans="1:9" x14ac:dyDescent="0.25">
      <c r="A41" s="11" t="s">
        <v>40</v>
      </c>
      <c r="B41" s="10" t="s">
        <v>0</v>
      </c>
      <c r="C41" s="11">
        <v>5922</v>
      </c>
      <c r="D41" s="11">
        <v>12157</v>
      </c>
      <c r="E41" s="11">
        <v>13174</v>
      </c>
      <c r="F41" s="11">
        <v>11907</v>
      </c>
      <c r="G41" s="11">
        <v>13774</v>
      </c>
      <c r="H41" s="11">
        <v>15037</v>
      </c>
      <c r="I41" s="11">
        <v>12866</v>
      </c>
    </row>
    <row r="42" spans="1:9" x14ac:dyDescent="0.25">
      <c r="A42" s="11" t="s">
        <v>41</v>
      </c>
      <c r="B42" s="10" t="s">
        <v>0</v>
      </c>
      <c r="C42" s="11">
        <v>1423</v>
      </c>
      <c r="D42" s="11">
        <v>2901</v>
      </c>
      <c r="E42" s="11">
        <v>2823</v>
      </c>
      <c r="F42" s="11">
        <v>2342</v>
      </c>
      <c r="G42" s="11">
        <v>2593</v>
      </c>
      <c r="H42" s="11">
        <v>3373</v>
      </c>
      <c r="I42" s="11">
        <v>2745</v>
      </c>
    </row>
    <row r="43" spans="1:9" x14ac:dyDescent="0.25">
      <c r="A43" s="11" t="s">
        <v>42</v>
      </c>
      <c r="B43" s="10" t="s">
        <v>0</v>
      </c>
      <c r="C43" s="11">
        <v>362</v>
      </c>
      <c r="D43" s="11">
        <v>721</v>
      </c>
      <c r="E43" s="11">
        <v>692</v>
      </c>
      <c r="F43" s="11">
        <v>649</v>
      </c>
      <c r="G43" s="11">
        <v>778</v>
      </c>
      <c r="H43" s="11">
        <v>1125</v>
      </c>
      <c r="I43" s="11">
        <v>957</v>
      </c>
    </row>
    <row r="44" spans="1:9" x14ac:dyDescent="0.25">
      <c r="A44" s="11" t="s">
        <v>43</v>
      </c>
      <c r="B44" s="10" t="s">
        <v>0</v>
      </c>
      <c r="C44" s="11">
        <v>1384</v>
      </c>
      <c r="D44" s="11">
        <v>2671</v>
      </c>
      <c r="E44" s="11">
        <v>2945</v>
      </c>
      <c r="F44" s="11">
        <v>2775</v>
      </c>
      <c r="G44" s="11">
        <v>3666</v>
      </c>
      <c r="H44" s="11">
        <v>5243</v>
      </c>
      <c r="I44" s="11">
        <v>4430</v>
      </c>
    </row>
    <row r="45" spans="1:9" x14ac:dyDescent="0.25">
      <c r="A45" s="11" t="s">
        <v>44</v>
      </c>
      <c r="B45" s="10" t="s">
        <v>0</v>
      </c>
      <c r="C45" s="11">
        <v>313</v>
      </c>
      <c r="D45" s="11">
        <v>690</v>
      </c>
      <c r="E45" s="11">
        <v>760</v>
      </c>
      <c r="F45" s="11">
        <v>691</v>
      </c>
      <c r="G45" s="11">
        <v>793</v>
      </c>
      <c r="H45" s="11">
        <v>1025</v>
      </c>
      <c r="I45" s="11">
        <v>1102</v>
      </c>
    </row>
    <row r="46" spans="1:9" x14ac:dyDescent="0.25">
      <c r="A46" s="11" t="s">
        <v>45</v>
      </c>
      <c r="B46" s="10" t="s">
        <v>0</v>
      </c>
      <c r="C46" s="11">
        <v>4102</v>
      </c>
      <c r="D46" s="11">
        <v>7330</v>
      </c>
      <c r="E46" s="11">
        <v>6724</v>
      </c>
      <c r="F46" s="11">
        <v>6910</v>
      </c>
      <c r="G46" s="11">
        <v>9113</v>
      </c>
      <c r="H46" s="11">
        <v>8749</v>
      </c>
      <c r="I46" s="11">
        <v>5517</v>
      </c>
    </row>
    <row r="47" spans="1:9" x14ac:dyDescent="0.25">
      <c r="A47" s="11" t="s">
        <v>46</v>
      </c>
      <c r="B47" s="10" t="s">
        <v>0</v>
      </c>
      <c r="C47" s="11">
        <v>26897</v>
      </c>
      <c r="D47" s="11">
        <v>49105</v>
      </c>
      <c r="E47" s="11">
        <v>53960</v>
      </c>
      <c r="F47" s="11">
        <v>45514</v>
      </c>
      <c r="G47" s="11">
        <v>44679</v>
      </c>
      <c r="H47" s="11">
        <v>46438</v>
      </c>
      <c r="I47" s="11">
        <v>38681</v>
      </c>
    </row>
    <row r="48" spans="1:9" x14ac:dyDescent="0.25">
      <c r="A48" s="11" t="s">
        <v>47</v>
      </c>
      <c r="B48" s="10" t="s">
        <v>0</v>
      </c>
      <c r="C48" s="11">
        <v>239</v>
      </c>
      <c r="D48" s="11">
        <v>591</v>
      </c>
      <c r="E48" s="11">
        <v>627</v>
      </c>
      <c r="F48" s="11">
        <v>448</v>
      </c>
      <c r="G48" s="11">
        <v>512</v>
      </c>
      <c r="H48" s="11">
        <v>710</v>
      </c>
      <c r="I48" s="11">
        <v>647</v>
      </c>
    </row>
    <row r="49" spans="1:9" x14ac:dyDescent="0.25">
      <c r="A49" s="11" t="s">
        <v>48</v>
      </c>
      <c r="B49" s="10" t="s">
        <v>0</v>
      </c>
      <c r="C49" s="11">
        <v>9913</v>
      </c>
      <c r="D49" s="11">
        <v>15200</v>
      </c>
      <c r="E49" s="11">
        <v>14308</v>
      </c>
      <c r="F49" s="11">
        <v>12975</v>
      </c>
      <c r="G49" s="11">
        <v>14283</v>
      </c>
      <c r="H49" s="11">
        <v>15778</v>
      </c>
      <c r="I49" s="11">
        <v>13433</v>
      </c>
    </row>
    <row r="50" spans="1:9" x14ac:dyDescent="0.25">
      <c r="A50" s="11" t="s">
        <v>49</v>
      </c>
      <c r="B50" s="10" t="s">
        <v>0</v>
      </c>
      <c r="C50" s="11">
        <v>862</v>
      </c>
      <c r="D50" s="11">
        <v>1904</v>
      </c>
      <c r="E50" s="11">
        <v>2212</v>
      </c>
      <c r="F50" s="11">
        <v>2074</v>
      </c>
      <c r="G50" s="11">
        <v>2378</v>
      </c>
      <c r="H50" s="11">
        <v>3174</v>
      </c>
      <c r="I50" s="11">
        <v>2736</v>
      </c>
    </row>
    <row r="51" spans="1:9" x14ac:dyDescent="0.25">
      <c r="A51" s="11" t="s">
        <v>50</v>
      </c>
      <c r="B51" s="10" t="s">
        <v>0</v>
      </c>
      <c r="C51" s="11">
        <v>472</v>
      </c>
      <c r="D51" s="11">
        <v>815</v>
      </c>
      <c r="E51" s="11">
        <v>907</v>
      </c>
      <c r="F51" s="11">
        <v>823</v>
      </c>
      <c r="G51" s="11">
        <v>956</v>
      </c>
      <c r="H51" s="11">
        <v>1114</v>
      </c>
      <c r="I51" s="11">
        <v>938</v>
      </c>
    </row>
    <row r="52" spans="1:9" x14ac:dyDescent="0.25">
      <c r="A52" s="11" t="s">
        <v>51</v>
      </c>
      <c r="B52" s="10" t="s">
        <v>0</v>
      </c>
      <c r="C52" s="11">
        <v>61143</v>
      </c>
      <c r="D52" s="11">
        <v>177156</v>
      </c>
      <c r="E52" s="11">
        <v>155857</v>
      </c>
      <c r="F52" s="11">
        <v>102844</v>
      </c>
      <c r="G52" s="11">
        <v>109028</v>
      </c>
      <c r="H52" s="11">
        <v>98779</v>
      </c>
      <c r="I52" s="11">
        <v>71613</v>
      </c>
    </row>
    <row r="53" spans="1:9" x14ac:dyDescent="0.25">
      <c r="A53" s="11" t="s">
        <v>52</v>
      </c>
      <c r="B53" s="10" t="s">
        <v>0</v>
      </c>
      <c r="C53" s="11">
        <v>959</v>
      </c>
      <c r="D53" s="11">
        <v>1776</v>
      </c>
      <c r="E53" s="11">
        <v>1711</v>
      </c>
      <c r="F53" s="11">
        <v>1768</v>
      </c>
      <c r="G53" s="11">
        <v>2490</v>
      </c>
      <c r="H53" s="11">
        <v>2808</v>
      </c>
      <c r="I53" s="11">
        <v>2059</v>
      </c>
    </row>
    <row r="54" spans="1:9" x14ac:dyDescent="0.25">
      <c r="A54" s="11" t="s">
        <v>53</v>
      </c>
      <c r="B54" s="10" t="s">
        <v>0</v>
      </c>
      <c r="C54" s="11">
        <v>108</v>
      </c>
      <c r="D54" s="11">
        <v>145</v>
      </c>
      <c r="E54" s="11">
        <v>201</v>
      </c>
      <c r="F54" s="11">
        <v>202</v>
      </c>
      <c r="G54" s="11">
        <v>288</v>
      </c>
      <c r="H54" s="11">
        <v>426</v>
      </c>
      <c r="I54" s="11">
        <v>370</v>
      </c>
    </row>
    <row r="55" spans="1:9" x14ac:dyDescent="0.25">
      <c r="A55" s="11" t="s">
        <v>54</v>
      </c>
      <c r="B55" s="10" t="s">
        <v>0</v>
      </c>
      <c r="C55" s="11">
        <v>1525</v>
      </c>
      <c r="D55" s="11">
        <v>3262</v>
      </c>
      <c r="E55" s="11">
        <v>3646</v>
      </c>
      <c r="F55" s="11">
        <v>3500</v>
      </c>
      <c r="G55" s="11">
        <v>4183</v>
      </c>
      <c r="H55" s="11">
        <v>5090</v>
      </c>
      <c r="I55" s="11">
        <v>4111</v>
      </c>
    </row>
    <row r="56" spans="1:9" x14ac:dyDescent="0.25">
      <c r="A56" s="11" t="s">
        <v>55</v>
      </c>
      <c r="B56" s="10" t="s">
        <v>0</v>
      </c>
      <c r="C56" s="11">
        <v>617</v>
      </c>
      <c r="D56" s="11">
        <v>697</v>
      </c>
      <c r="E56" s="11">
        <v>641</v>
      </c>
      <c r="F56" s="11">
        <v>589</v>
      </c>
      <c r="G56" s="11">
        <v>676</v>
      </c>
      <c r="H56" s="11">
        <v>855</v>
      </c>
      <c r="I56" s="11">
        <v>807</v>
      </c>
    </row>
    <row r="57" spans="1:9" x14ac:dyDescent="0.25">
      <c r="A57" s="11" t="s">
        <v>56</v>
      </c>
      <c r="B57" s="10" t="s">
        <v>0</v>
      </c>
      <c r="C57" s="11">
        <v>494</v>
      </c>
      <c r="D57" s="11">
        <v>1038</v>
      </c>
      <c r="E57" s="11">
        <v>1336</v>
      </c>
      <c r="F57" s="11">
        <v>1254</v>
      </c>
      <c r="G57" s="11">
        <v>1630</v>
      </c>
      <c r="H57" s="11">
        <v>2447</v>
      </c>
      <c r="I57" s="11">
        <v>2307</v>
      </c>
    </row>
    <row r="58" spans="1:9" x14ac:dyDescent="0.25">
      <c r="A58" s="11" t="s">
        <v>57</v>
      </c>
      <c r="B58" s="10" t="s">
        <v>0</v>
      </c>
      <c r="C58" s="11">
        <v>42</v>
      </c>
      <c r="D58" s="11">
        <v>81</v>
      </c>
      <c r="E58" s="11">
        <v>97</v>
      </c>
      <c r="F58" s="11">
        <v>103</v>
      </c>
      <c r="G58" s="11">
        <v>163</v>
      </c>
      <c r="H58" s="11">
        <v>306</v>
      </c>
      <c r="I58" s="11">
        <v>269</v>
      </c>
    </row>
    <row r="59" spans="1:9" x14ac:dyDescent="0.25">
      <c r="A59" s="11" t="s">
        <v>58</v>
      </c>
      <c r="B59" s="10" t="s">
        <v>0</v>
      </c>
      <c r="C59" s="11">
        <v>356</v>
      </c>
      <c r="D59" s="11">
        <v>717</v>
      </c>
      <c r="E59" s="11">
        <v>780</v>
      </c>
      <c r="F59" s="11">
        <v>744</v>
      </c>
      <c r="G59" s="11">
        <v>1044</v>
      </c>
      <c r="H59" s="11">
        <v>1375</v>
      </c>
      <c r="I59" s="11">
        <v>1227</v>
      </c>
    </row>
    <row r="60" spans="1:9" x14ac:dyDescent="0.25">
      <c r="A60" s="11" t="s">
        <v>59</v>
      </c>
      <c r="B60" s="10" t="s">
        <v>0</v>
      </c>
      <c r="C60" s="11">
        <v>391</v>
      </c>
      <c r="D60" s="11">
        <v>602</v>
      </c>
      <c r="E60" s="11">
        <v>621</v>
      </c>
      <c r="F60" s="11">
        <v>606</v>
      </c>
      <c r="G60" s="11">
        <v>741</v>
      </c>
      <c r="H60" s="11">
        <v>1036</v>
      </c>
      <c r="I60" s="11">
        <v>936</v>
      </c>
    </row>
    <row r="61" spans="1:9" x14ac:dyDescent="0.25">
      <c r="A61" s="11" t="s">
        <v>60</v>
      </c>
      <c r="B61" s="10" t="s">
        <v>0</v>
      </c>
      <c r="C61" s="11">
        <v>1462</v>
      </c>
      <c r="D61" s="11">
        <v>1387</v>
      </c>
      <c r="E61" s="11">
        <v>1025</v>
      </c>
      <c r="F61" s="11">
        <v>864</v>
      </c>
      <c r="G61" s="11">
        <v>884</v>
      </c>
      <c r="H61" s="11">
        <v>1075</v>
      </c>
      <c r="I61" s="11">
        <v>1087</v>
      </c>
    </row>
    <row r="62" spans="1:9" x14ac:dyDescent="0.25">
      <c r="A62" s="11" t="s">
        <v>61</v>
      </c>
      <c r="B62" s="10" t="s">
        <v>0</v>
      </c>
      <c r="C62" s="11">
        <v>495</v>
      </c>
      <c r="D62" s="11">
        <v>877</v>
      </c>
      <c r="E62" s="11">
        <v>1016</v>
      </c>
      <c r="F62" s="11">
        <v>952</v>
      </c>
      <c r="G62" s="11">
        <v>1185</v>
      </c>
      <c r="H62" s="11">
        <v>1938</v>
      </c>
      <c r="I62" s="11">
        <v>1570</v>
      </c>
    </row>
    <row r="63" spans="1:9" x14ac:dyDescent="0.25">
      <c r="A63" s="11" t="s">
        <v>62</v>
      </c>
      <c r="B63" s="10" t="s">
        <v>0</v>
      </c>
      <c r="C63" s="11">
        <v>376</v>
      </c>
      <c r="D63" s="11">
        <v>642</v>
      </c>
      <c r="E63" s="11">
        <v>764</v>
      </c>
      <c r="F63" s="11">
        <v>709</v>
      </c>
      <c r="G63" s="11">
        <v>1063</v>
      </c>
      <c r="H63" s="11">
        <v>1474</v>
      </c>
      <c r="I63" s="11">
        <v>1312</v>
      </c>
    </row>
    <row r="64" spans="1:9" x14ac:dyDescent="0.25">
      <c r="A64" s="11" t="s">
        <v>63</v>
      </c>
      <c r="B64" s="10" t="s">
        <v>0</v>
      </c>
      <c r="C64" s="11">
        <v>3103</v>
      </c>
      <c r="D64" s="11">
        <v>5913</v>
      </c>
      <c r="E64" s="11">
        <v>7116</v>
      </c>
      <c r="F64" s="11">
        <v>6618</v>
      </c>
      <c r="G64" s="11">
        <v>8560</v>
      </c>
      <c r="H64" s="11">
        <v>11462</v>
      </c>
      <c r="I64" s="11">
        <v>10086</v>
      </c>
    </row>
    <row r="65" spans="1:9" x14ac:dyDescent="0.25">
      <c r="A65" s="11" t="s">
        <v>64</v>
      </c>
      <c r="B65" s="10" t="s">
        <v>0</v>
      </c>
      <c r="C65" s="11">
        <v>494</v>
      </c>
      <c r="D65" s="11">
        <v>1021</v>
      </c>
      <c r="E65" s="11">
        <v>1183</v>
      </c>
      <c r="F65" s="11">
        <v>1091</v>
      </c>
      <c r="G65" s="11">
        <v>1430</v>
      </c>
      <c r="H65" s="11">
        <v>1909</v>
      </c>
      <c r="I65" s="11">
        <v>1569</v>
      </c>
    </row>
    <row r="66" spans="1:9" x14ac:dyDescent="0.25">
      <c r="A66" s="11" t="s">
        <v>65</v>
      </c>
      <c r="B66" s="10" t="s">
        <v>0</v>
      </c>
      <c r="C66" s="11">
        <v>5252</v>
      </c>
      <c r="D66" s="11">
        <v>10018</v>
      </c>
      <c r="E66" s="11">
        <v>11258</v>
      </c>
      <c r="F66" s="11">
        <v>10592</v>
      </c>
      <c r="G66" s="11">
        <v>13616</v>
      </c>
      <c r="H66" s="11">
        <v>18886</v>
      </c>
      <c r="I66" s="11">
        <v>17201</v>
      </c>
    </row>
    <row r="67" spans="1:9" x14ac:dyDescent="0.25">
      <c r="A67" s="11" t="s">
        <v>66</v>
      </c>
      <c r="B67" s="10" t="s">
        <v>0</v>
      </c>
      <c r="C67" s="11">
        <v>328</v>
      </c>
      <c r="D67" s="11">
        <v>612</v>
      </c>
      <c r="E67" s="11">
        <v>658</v>
      </c>
      <c r="F67" s="11">
        <v>609</v>
      </c>
      <c r="G67" s="11">
        <v>760</v>
      </c>
      <c r="H67" s="11">
        <v>964</v>
      </c>
      <c r="I67" s="11">
        <v>743</v>
      </c>
    </row>
    <row r="68" spans="1:9" ht="13.8" thickBot="1" x14ac:dyDescent="0.3">
      <c r="A68" s="13" t="s">
        <v>67</v>
      </c>
      <c r="B68" s="12" t="s">
        <v>0</v>
      </c>
      <c r="C68" s="11">
        <v>8087</v>
      </c>
      <c r="D68" s="11">
        <v>15227</v>
      </c>
      <c r="E68" s="11">
        <v>15813</v>
      </c>
      <c r="F68" s="11">
        <v>14183</v>
      </c>
      <c r="G68" s="11">
        <v>14439</v>
      </c>
      <c r="H68" s="11">
        <v>15491</v>
      </c>
      <c r="I68" s="11">
        <v>13160</v>
      </c>
    </row>
    <row r="69" spans="1:9" x14ac:dyDescent="0.25">
      <c r="A69" s="32" t="s">
        <v>68</v>
      </c>
      <c r="C69" s="14">
        <f>SUM(C2:C68)</f>
        <v>316224</v>
      </c>
      <c r="D69" s="14">
        <f>SUM(D2:D68)</f>
        <v>659664</v>
      </c>
      <c r="E69" s="14">
        <f t="shared" ref="E69:I69" si="0">SUM(E2:E68)</f>
        <v>647722</v>
      </c>
      <c r="F69" s="14">
        <f t="shared" si="0"/>
        <v>521204</v>
      </c>
      <c r="G69" s="14">
        <f t="shared" si="0"/>
        <v>566192</v>
      </c>
      <c r="H69" s="14">
        <f t="shared" si="0"/>
        <v>623566</v>
      </c>
      <c r="I69" s="14">
        <f t="shared" si="0"/>
        <v>506861</v>
      </c>
    </row>
    <row r="70" spans="1:9" x14ac:dyDescent="0.25">
      <c r="C70" s="17">
        <f>C69/$C$73</f>
        <v>8.2319280331063949E-2</v>
      </c>
      <c r="D70" s="17">
        <f t="shared" ref="D70:I70" si="1">D69/$C$73</f>
        <v>0.1717234167561949</v>
      </c>
      <c r="E70" s="17">
        <f t="shared" si="1"/>
        <v>0.16861468103179203</v>
      </c>
      <c r="F70" s="17">
        <f t="shared" si="1"/>
        <v>0.13567957582495907</v>
      </c>
      <c r="G70" s="17">
        <f t="shared" si="1"/>
        <v>0.14739083045311477</v>
      </c>
      <c r="H70" s="17">
        <f t="shared" si="1"/>
        <v>0.16232640267316911</v>
      </c>
      <c r="I70" s="17">
        <f t="shared" si="1"/>
        <v>0.13194581292970617</v>
      </c>
    </row>
    <row r="73" spans="1:9" x14ac:dyDescent="0.25">
      <c r="A73" s="32" t="s">
        <v>80</v>
      </c>
      <c r="C73" s="16">
        <f>SUM(C69:I69)</f>
        <v>3841433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2785</v>
      </c>
      <c r="D2" s="52">
        <v>5238</v>
      </c>
      <c r="E2" s="52">
        <v>5997</v>
      </c>
      <c r="F2" s="52">
        <v>6010</v>
      </c>
      <c r="G2" s="52">
        <v>9163</v>
      </c>
      <c r="H2" s="52">
        <v>8517</v>
      </c>
      <c r="I2" s="52">
        <v>6309</v>
      </c>
      <c r="J2" s="10"/>
    </row>
    <row r="3" spans="1:10" x14ac:dyDescent="0.25">
      <c r="A3" s="11" t="s">
        <v>2</v>
      </c>
      <c r="B3" s="10" t="s">
        <v>70</v>
      </c>
      <c r="C3" s="52">
        <v>18757</v>
      </c>
      <c r="D3" s="52">
        <v>38744</v>
      </c>
      <c r="E3" s="52">
        <v>39090</v>
      </c>
      <c r="F3" s="52">
        <v>36666</v>
      </c>
      <c r="G3" s="52">
        <v>47972</v>
      </c>
      <c r="H3" s="52">
        <v>46640</v>
      </c>
      <c r="I3" s="52">
        <v>35369</v>
      </c>
    </row>
    <row r="4" spans="1:10" x14ac:dyDescent="0.25">
      <c r="A4" s="11" t="s">
        <v>3</v>
      </c>
      <c r="B4" s="10" t="s">
        <v>70</v>
      </c>
      <c r="C4" s="52">
        <v>1988</v>
      </c>
      <c r="D4" s="52">
        <v>3428</v>
      </c>
      <c r="E4" s="52">
        <v>3897</v>
      </c>
      <c r="F4" s="52">
        <v>4205</v>
      </c>
      <c r="G4" s="52">
        <v>5268</v>
      </c>
      <c r="H4" s="52">
        <v>5058</v>
      </c>
      <c r="I4" s="52">
        <v>3789</v>
      </c>
    </row>
    <row r="5" spans="1:10" x14ac:dyDescent="0.25">
      <c r="A5" s="11" t="s">
        <v>4</v>
      </c>
      <c r="B5" s="10" t="s">
        <v>70</v>
      </c>
      <c r="C5" s="52">
        <v>3423</v>
      </c>
      <c r="D5" s="52">
        <v>6755</v>
      </c>
      <c r="E5" s="52">
        <v>7894</v>
      </c>
      <c r="F5" s="52">
        <v>7707</v>
      </c>
      <c r="G5" s="52">
        <v>10039</v>
      </c>
      <c r="H5" s="52">
        <v>9414</v>
      </c>
      <c r="I5" s="52">
        <v>6662</v>
      </c>
    </row>
    <row r="6" spans="1:10" x14ac:dyDescent="0.25">
      <c r="A6" s="11" t="s">
        <v>5</v>
      </c>
      <c r="B6" s="10" t="s">
        <v>70</v>
      </c>
      <c r="C6" s="52">
        <v>1677</v>
      </c>
      <c r="D6" s="52">
        <v>3059</v>
      </c>
      <c r="E6" s="52">
        <v>3268</v>
      </c>
      <c r="F6" s="52">
        <v>3622</v>
      </c>
      <c r="G6" s="52">
        <v>4743</v>
      </c>
      <c r="H6" s="52">
        <v>4748</v>
      </c>
      <c r="I6" s="52">
        <v>3460</v>
      </c>
    </row>
    <row r="7" spans="1:10" x14ac:dyDescent="0.25">
      <c r="A7" s="11" t="s">
        <v>6</v>
      </c>
      <c r="B7" s="10" t="s">
        <v>70</v>
      </c>
      <c r="C7" s="52">
        <v>8161</v>
      </c>
      <c r="D7" s="52">
        <v>14598</v>
      </c>
      <c r="E7" s="52">
        <v>16831</v>
      </c>
      <c r="F7" s="52">
        <v>17492</v>
      </c>
      <c r="G7" s="52">
        <v>23865</v>
      </c>
      <c r="H7" s="52">
        <v>20815</v>
      </c>
      <c r="I7" s="52">
        <v>16332</v>
      </c>
    </row>
    <row r="8" spans="1:10" x14ac:dyDescent="0.25">
      <c r="A8" s="11" t="s">
        <v>7</v>
      </c>
      <c r="B8" s="10" t="s">
        <v>70</v>
      </c>
      <c r="C8" s="52">
        <v>3542</v>
      </c>
      <c r="D8" s="52">
        <v>5860</v>
      </c>
      <c r="E8" s="52">
        <v>6874</v>
      </c>
      <c r="F8" s="52">
        <v>7727</v>
      </c>
      <c r="G8" s="52">
        <v>9466</v>
      </c>
      <c r="H8" s="52">
        <v>9306</v>
      </c>
      <c r="I8" s="52">
        <v>7856</v>
      </c>
    </row>
    <row r="9" spans="1:10" x14ac:dyDescent="0.25">
      <c r="A9" s="11" t="s">
        <v>8</v>
      </c>
      <c r="B9" s="10" t="s">
        <v>70</v>
      </c>
      <c r="C9" s="52">
        <v>1842</v>
      </c>
      <c r="D9" s="52">
        <v>3159</v>
      </c>
      <c r="E9" s="52">
        <v>3612</v>
      </c>
      <c r="F9" s="52">
        <v>3640</v>
      </c>
      <c r="G9" s="52">
        <v>4983</v>
      </c>
      <c r="H9" s="52">
        <v>4617</v>
      </c>
      <c r="I9" s="52">
        <v>3779</v>
      </c>
    </row>
    <row r="10" spans="1:10" x14ac:dyDescent="0.25">
      <c r="A10" s="11" t="s">
        <v>9</v>
      </c>
      <c r="B10" s="10" t="s">
        <v>70</v>
      </c>
      <c r="C10" s="52">
        <v>14019</v>
      </c>
      <c r="D10" s="52">
        <v>24234</v>
      </c>
      <c r="E10" s="52">
        <v>26431</v>
      </c>
      <c r="F10" s="52">
        <v>28606</v>
      </c>
      <c r="G10" s="52">
        <v>41962</v>
      </c>
      <c r="H10" s="52">
        <v>37533</v>
      </c>
      <c r="I10" s="52">
        <v>29207</v>
      </c>
    </row>
    <row r="11" spans="1:10" x14ac:dyDescent="0.25">
      <c r="A11" s="11" t="s">
        <v>10</v>
      </c>
      <c r="B11" s="10" t="s">
        <v>70</v>
      </c>
      <c r="C11" s="52">
        <v>5859</v>
      </c>
      <c r="D11" s="52">
        <v>10905</v>
      </c>
      <c r="E11" s="52">
        <v>12186</v>
      </c>
      <c r="F11" s="52">
        <v>12325</v>
      </c>
      <c r="G11" s="52">
        <v>16363</v>
      </c>
      <c r="H11" s="52">
        <v>14621</v>
      </c>
      <c r="I11" s="52">
        <v>10694</v>
      </c>
    </row>
    <row r="12" spans="1:10" x14ac:dyDescent="0.25">
      <c r="A12" s="11" t="s">
        <v>11</v>
      </c>
      <c r="B12" s="10" t="s">
        <v>70</v>
      </c>
      <c r="C12" s="52">
        <v>3556</v>
      </c>
      <c r="D12" s="52">
        <v>5794</v>
      </c>
      <c r="E12" s="52">
        <v>6347</v>
      </c>
      <c r="F12" s="52">
        <v>7202</v>
      </c>
      <c r="G12" s="52">
        <v>8581</v>
      </c>
      <c r="H12" s="52">
        <v>8532</v>
      </c>
      <c r="I12" s="52">
        <v>6498</v>
      </c>
    </row>
    <row r="13" spans="1:10" x14ac:dyDescent="0.25">
      <c r="A13" s="11" t="s">
        <v>12</v>
      </c>
      <c r="B13" s="10" t="s">
        <v>70</v>
      </c>
      <c r="C13" s="52">
        <v>87</v>
      </c>
      <c r="D13" s="52">
        <v>164</v>
      </c>
      <c r="E13" s="52">
        <v>208</v>
      </c>
      <c r="F13" s="52">
        <v>234</v>
      </c>
      <c r="G13" s="52">
        <v>383</v>
      </c>
      <c r="H13" s="52">
        <v>419</v>
      </c>
      <c r="I13" s="52">
        <v>345</v>
      </c>
    </row>
    <row r="14" spans="1:10" x14ac:dyDescent="0.25">
      <c r="A14" s="11" t="s">
        <v>13</v>
      </c>
      <c r="B14" s="10" t="s">
        <v>70</v>
      </c>
      <c r="C14" s="52">
        <v>1531</v>
      </c>
      <c r="D14" s="52">
        <v>2842</v>
      </c>
      <c r="E14" s="52">
        <v>3301</v>
      </c>
      <c r="F14" s="52">
        <v>3647</v>
      </c>
      <c r="G14" s="52">
        <v>5018</v>
      </c>
      <c r="H14" s="52">
        <v>4452</v>
      </c>
      <c r="I14" s="52">
        <v>3069</v>
      </c>
    </row>
    <row r="15" spans="1:10" x14ac:dyDescent="0.25">
      <c r="A15" s="11" t="s">
        <v>14</v>
      </c>
      <c r="B15" s="10" t="s">
        <v>70</v>
      </c>
      <c r="C15" s="52">
        <v>5470</v>
      </c>
      <c r="D15" s="52">
        <v>5846</v>
      </c>
      <c r="E15" s="52">
        <v>5208</v>
      </c>
      <c r="F15" s="52">
        <v>5295</v>
      </c>
      <c r="G15" s="52">
        <v>7414</v>
      </c>
      <c r="H15" s="52">
        <v>6865</v>
      </c>
      <c r="I15" s="52">
        <v>5715</v>
      </c>
    </row>
    <row r="16" spans="1:10" x14ac:dyDescent="0.25">
      <c r="A16" s="11" t="s">
        <v>15</v>
      </c>
      <c r="B16" s="10" t="s">
        <v>70</v>
      </c>
      <c r="C16" s="52">
        <v>10884</v>
      </c>
      <c r="D16" s="52">
        <v>19004</v>
      </c>
      <c r="E16" s="52">
        <v>19571</v>
      </c>
      <c r="F16" s="52">
        <v>21752</v>
      </c>
      <c r="G16" s="52">
        <v>31248</v>
      </c>
      <c r="H16" s="52">
        <v>27194</v>
      </c>
      <c r="I16" s="52">
        <v>22227</v>
      </c>
    </row>
    <row r="17" spans="1:9" x14ac:dyDescent="0.25">
      <c r="A17" s="11" t="s">
        <v>16</v>
      </c>
      <c r="B17" s="10" t="s">
        <v>70</v>
      </c>
      <c r="C17" s="52">
        <v>1099</v>
      </c>
      <c r="D17" s="52">
        <v>1888</v>
      </c>
      <c r="E17" s="52">
        <v>2126</v>
      </c>
      <c r="F17" s="52">
        <v>2354</v>
      </c>
      <c r="G17" s="52">
        <v>3098</v>
      </c>
      <c r="H17" s="52">
        <v>2796</v>
      </c>
      <c r="I17" s="52">
        <v>2173</v>
      </c>
    </row>
    <row r="18" spans="1:9" x14ac:dyDescent="0.25">
      <c r="A18" s="11" t="s">
        <v>17</v>
      </c>
      <c r="B18" s="10" t="s">
        <v>70</v>
      </c>
      <c r="C18" s="52">
        <v>2039</v>
      </c>
      <c r="D18" s="52">
        <v>3898</v>
      </c>
      <c r="E18" s="52">
        <v>4390</v>
      </c>
      <c r="F18" s="52">
        <v>4922</v>
      </c>
      <c r="G18" s="52">
        <v>6285</v>
      </c>
      <c r="H18" s="52">
        <v>5731</v>
      </c>
      <c r="I18" s="52">
        <v>4179</v>
      </c>
    </row>
    <row r="19" spans="1:9" x14ac:dyDescent="0.25">
      <c r="A19" s="11" t="s">
        <v>18</v>
      </c>
      <c r="B19" s="10" t="s">
        <v>70</v>
      </c>
      <c r="C19" s="52">
        <v>979</v>
      </c>
      <c r="D19" s="52">
        <v>1735</v>
      </c>
      <c r="E19" s="52">
        <v>1849</v>
      </c>
      <c r="F19" s="52">
        <v>2092</v>
      </c>
      <c r="G19" s="52">
        <v>2534</v>
      </c>
      <c r="H19" s="52">
        <v>2337</v>
      </c>
      <c r="I19" s="52">
        <v>1776</v>
      </c>
    </row>
    <row r="20" spans="1:9" x14ac:dyDescent="0.25">
      <c r="A20" s="11" t="s">
        <v>19</v>
      </c>
      <c r="B20" s="10" t="s">
        <v>70</v>
      </c>
      <c r="C20" s="52">
        <v>1705</v>
      </c>
      <c r="D20" s="52">
        <v>2865</v>
      </c>
      <c r="E20" s="52">
        <v>3024</v>
      </c>
      <c r="F20" s="52">
        <v>3350</v>
      </c>
      <c r="G20" s="52">
        <v>4264</v>
      </c>
      <c r="H20" s="52">
        <v>4092</v>
      </c>
      <c r="I20" s="52">
        <v>3182</v>
      </c>
    </row>
    <row r="21" spans="1:9" x14ac:dyDescent="0.25">
      <c r="A21" s="11" t="s">
        <v>20</v>
      </c>
      <c r="B21" s="10" t="s">
        <v>70</v>
      </c>
      <c r="C21" s="52">
        <v>2149</v>
      </c>
      <c r="D21" s="52">
        <v>3807</v>
      </c>
      <c r="E21" s="52">
        <v>4331</v>
      </c>
      <c r="F21" s="52">
        <v>4636</v>
      </c>
      <c r="G21" s="52">
        <v>6187</v>
      </c>
      <c r="H21" s="52">
        <v>5972</v>
      </c>
      <c r="I21" s="52">
        <v>4797</v>
      </c>
    </row>
    <row r="22" spans="1:9" x14ac:dyDescent="0.25">
      <c r="A22" s="11" t="s">
        <v>21</v>
      </c>
      <c r="B22" s="10" t="s">
        <v>70</v>
      </c>
      <c r="C22" s="52">
        <v>5826</v>
      </c>
      <c r="D22" s="52">
        <v>10916</v>
      </c>
      <c r="E22" s="52">
        <v>12427</v>
      </c>
      <c r="F22" s="52">
        <v>12820</v>
      </c>
      <c r="G22" s="52">
        <v>16817</v>
      </c>
      <c r="H22" s="52">
        <v>15718</v>
      </c>
      <c r="I22" s="52">
        <v>13805</v>
      </c>
    </row>
    <row r="23" spans="1:9" x14ac:dyDescent="0.25">
      <c r="A23" s="11" t="s">
        <v>22</v>
      </c>
      <c r="B23" s="10" t="s">
        <v>70</v>
      </c>
      <c r="C23" s="52">
        <v>4844</v>
      </c>
      <c r="D23" s="52">
        <v>9766</v>
      </c>
      <c r="E23" s="52">
        <v>10882</v>
      </c>
      <c r="F23" s="52">
        <v>11022</v>
      </c>
      <c r="G23" s="52">
        <v>14811</v>
      </c>
      <c r="H23" s="52">
        <v>14002</v>
      </c>
      <c r="I23" s="52">
        <v>10759</v>
      </c>
    </row>
    <row r="24" spans="1:9" x14ac:dyDescent="0.25">
      <c r="A24" s="11" t="s">
        <v>23</v>
      </c>
      <c r="B24" s="10" t="s">
        <v>70</v>
      </c>
      <c r="C24" s="52">
        <v>9557</v>
      </c>
      <c r="D24" s="52">
        <v>17603</v>
      </c>
      <c r="E24" s="52">
        <v>19779</v>
      </c>
      <c r="F24" s="52">
        <v>19648</v>
      </c>
      <c r="G24" s="52">
        <v>28030</v>
      </c>
      <c r="H24" s="52">
        <v>27072</v>
      </c>
      <c r="I24" s="52">
        <v>21255</v>
      </c>
    </row>
    <row r="25" spans="1:9" x14ac:dyDescent="0.25">
      <c r="A25" s="11" t="s">
        <v>24</v>
      </c>
      <c r="B25" s="10" t="s">
        <v>70</v>
      </c>
      <c r="C25" s="52">
        <v>827</v>
      </c>
      <c r="D25" s="52">
        <v>1481</v>
      </c>
      <c r="E25" s="52">
        <v>1650</v>
      </c>
      <c r="F25" s="52">
        <v>1756</v>
      </c>
      <c r="G25" s="52">
        <v>2509</v>
      </c>
      <c r="H25" s="52">
        <v>2306</v>
      </c>
      <c r="I25" s="52">
        <v>1597</v>
      </c>
    </row>
    <row r="26" spans="1:9" x14ac:dyDescent="0.25">
      <c r="A26" s="11" t="s">
        <v>25</v>
      </c>
      <c r="B26" s="10" t="s">
        <v>70</v>
      </c>
      <c r="C26" s="52">
        <v>5386</v>
      </c>
      <c r="D26" s="52">
        <v>9444</v>
      </c>
      <c r="E26" s="52">
        <v>10249</v>
      </c>
      <c r="F26" s="52">
        <v>10801</v>
      </c>
      <c r="G26" s="52">
        <v>13749</v>
      </c>
      <c r="H26" s="52">
        <v>12098</v>
      </c>
      <c r="I26" s="52">
        <v>9130</v>
      </c>
    </row>
    <row r="27" spans="1:9" x14ac:dyDescent="0.25">
      <c r="A27" s="11" t="s">
        <v>26</v>
      </c>
      <c r="B27" s="10" t="s">
        <v>70</v>
      </c>
      <c r="C27" s="52">
        <v>2798</v>
      </c>
      <c r="D27" s="52">
        <v>5825</v>
      </c>
      <c r="E27" s="52">
        <v>6236</v>
      </c>
      <c r="F27" s="52">
        <v>6763</v>
      </c>
      <c r="G27" s="52">
        <v>7929</v>
      </c>
      <c r="H27" s="52">
        <v>6937</v>
      </c>
      <c r="I27" s="52">
        <v>4823</v>
      </c>
    </row>
    <row r="28" spans="1:9" x14ac:dyDescent="0.25">
      <c r="A28" s="11" t="s">
        <v>27</v>
      </c>
      <c r="B28" s="10" t="s">
        <v>70</v>
      </c>
      <c r="C28" s="52">
        <v>104</v>
      </c>
      <c r="D28" s="52">
        <v>142</v>
      </c>
      <c r="E28" s="52">
        <v>194</v>
      </c>
      <c r="F28" s="52">
        <v>274</v>
      </c>
      <c r="G28" s="52">
        <v>441</v>
      </c>
      <c r="H28" s="52">
        <v>497</v>
      </c>
      <c r="I28" s="52">
        <v>387</v>
      </c>
    </row>
    <row r="29" spans="1:9" x14ac:dyDescent="0.25">
      <c r="A29" s="11" t="s">
        <v>28</v>
      </c>
      <c r="B29" s="10" t="s">
        <v>70</v>
      </c>
      <c r="C29" s="52">
        <v>4252</v>
      </c>
      <c r="D29" s="52">
        <v>8078</v>
      </c>
      <c r="E29" s="52">
        <v>9090</v>
      </c>
      <c r="F29" s="52">
        <v>9808</v>
      </c>
      <c r="G29" s="52">
        <v>12465</v>
      </c>
      <c r="H29" s="52">
        <v>11178</v>
      </c>
      <c r="I29" s="52">
        <v>9493</v>
      </c>
    </row>
    <row r="30" spans="1:9" x14ac:dyDescent="0.25">
      <c r="A30" s="11" t="s">
        <v>29</v>
      </c>
      <c r="B30" s="10" t="s">
        <v>70</v>
      </c>
      <c r="C30" s="52">
        <v>530</v>
      </c>
      <c r="D30" s="52">
        <v>996</v>
      </c>
      <c r="E30" s="52">
        <v>1001</v>
      </c>
      <c r="F30" s="52">
        <v>1156</v>
      </c>
      <c r="G30" s="52">
        <v>1465</v>
      </c>
      <c r="H30" s="52">
        <v>1336</v>
      </c>
      <c r="I30" s="52">
        <v>982</v>
      </c>
    </row>
    <row r="31" spans="1:9" x14ac:dyDescent="0.25">
      <c r="A31" s="11" t="s">
        <v>30</v>
      </c>
      <c r="B31" s="10" t="s">
        <v>70</v>
      </c>
      <c r="C31" s="52">
        <v>989</v>
      </c>
      <c r="D31" s="52">
        <v>1767</v>
      </c>
      <c r="E31" s="52">
        <v>1780</v>
      </c>
      <c r="F31" s="52">
        <v>2067</v>
      </c>
      <c r="G31" s="52">
        <v>2245</v>
      </c>
      <c r="H31" s="52">
        <v>1947</v>
      </c>
      <c r="I31" s="52">
        <v>1371</v>
      </c>
    </row>
    <row r="32" spans="1:9" x14ac:dyDescent="0.25">
      <c r="A32" s="11" t="s">
        <v>31</v>
      </c>
      <c r="B32" s="10" t="s">
        <v>70</v>
      </c>
      <c r="C32" s="52">
        <v>1374</v>
      </c>
      <c r="D32" s="52">
        <v>2302</v>
      </c>
      <c r="E32" s="52">
        <v>2480</v>
      </c>
      <c r="F32" s="52">
        <v>2770</v>
      </c>
      <c r="G32" s="52">
        <v>3675</v>
      </c>
      <c r="H32" s="52">
        <v>3504</v>
      </c>
      <c r="I32" s="52">
        <v>2806</v>
      </c>
    </row>
    <row r="33" spans="1:9" x14ac:dyDescent="0.25">
      <c r="A33" s="11" t="s">
        <v>32</v>
      </c>
      <c r="B33" s="10" t="s">
        <v>70</v>
      </c>
      <c r="C33" s="52">
        <v>2436</v>
      </c>
      <c r="D33" s="52">
        <v>3552</v>
      </c>
      <c r="E33" s="52">
        <v>3967</v>
      </c>
      <c r="F33" s="52">
        <v>4413</v>
      </c>
      <c r="G33" s="52">
        <v>5374</v>
      </c>
      <c r="H33" s="52">
        <v>5222</v>
      </c>
      <c r="I33" s="52">
        <v>3914</v>
      </c>
    </row>
    <row r="34" spans="1:9" x14ac:dyDescent="0.25">
      <c r="A34" s="11" t="s">
        <v>33</v>
      </c>
      <c r="B34" s="10" t="s">
        <v>70</v>
      </c>
      <c r="C34" s="52">
        <v>1351</v>
      </c>
      <c r="D34" s="52">
        <v>2367</v>
      </c>
      <c r="E34" s="52">
        <v>2834</v>
      </c>
      <c r="F34" s="52">
        <v>2856</v>
      </c>
      <c r="G34" s="52">
        <v>3688</v>
      </c>
      <c r="H34" s="52">
        <v>3622</v>
      </c>
      <c r="I34" s="52">
        <v>2719</v>
      </c>
    </row>
    <row r="35" spans="1:9" x14ac:dyDescent="0.25">
      <c r="A35" s="11" t="s">
        <v>34</v>
      </c>
      <c r="B35" s="10" t="s">
        <v>70</v>
      </c>
      <c r="C35" s="52">
        <v>665</v>
      </c>
      <c r="D35" s="52">
        <v>1273</v>
      </c>
      <c r="E35" s="52">
        <v>1371</v>
      </c>
      <c r="F35" s="52">
        <v>1510</v>
      </c>
      <c r="G35" s="52">
        <v>1966</v>
      </c>
      <c r="H35" s="52">
        <v>1800</v>
      </c>
      <c r="I35" s="52">
        <v>1439</v>
      </c>
    </row>
    <row r="36" spans="1:9" x14ac:dyDescent="0.25">
      <c r="A36" s="11" t="s">
        <v>35</v>
      </c>
      <c r="B36" s="10" t="s">
        <v>70</v>
      </c>
      <c r="C36" s="52">
        <v>4218</v>
      </c>
      <c r="D36" s="52">
        <v>7260</v>
      </c>
      <c r="E36" s="52">
        <v>7845</v>
      </c>
      <c r="F36" s="52">
        <v>8190</v>
      </c>
      <c r="G36" s="52">
        <v>10017</v>
      </c>
      <c r="H36" s="52">
        <v>8278</v>
      </c>
      <c r="I36" s="52">
        <v>6493</v>
      </c>
    </row>
    <row r="37" spans="1:9" x14ac:dyDescent="0.25">
      <c r="A37" s="11" t="s">
        <v>36</v>
      </c>
      <c r="B37" s="10" t="s">
        <v>70</v>
      </c>
      <c r="C37" s="52">
        <v>13010</v>
      </c>
      <c r="D37" s="52">
        <v>24439</v>
      </c>
      <c r="E37" s="52">
        <v>26259</v>
      </c>
      <c r="F37" s="52">
        <v>25273</v>
      </c>
      <c r="G37" s="52">
        <v>32876</v>
      </c>
      <c r="H37" s="52">
        <v>32717</v>
      </c>
      <c r="I37" s="52">
        <v>29266</v>
      </c>
    </row>
    <row r="38" spans="1:9" x14ac:dyDescent="0.25">
      <c r="A38" s="11" t="s">
        <v>37</v>
      </c>
      <c r="B38" s="10" t="s">
        <v>70</v>
      </c>
      <c r="C38" s="52">
        <v>2364</v>
      </c>
      <c r="D38" s="52">
        <v>3839</v>
      </c>
      <c r="E38" s="52">
        <v>4262</v>
      </c>
      <c r="F38" s="52">
        <v>4612</v>
      </c>
      <c r="G38" s="52">
        <v>5540</v>
      </c>
      <c r="H38" s="52">
        <v>5359</v>
      </c>
      <c r="I38" s="52">
        <v>4152</v>
      </c>
    </row>
    <row r="39" spans="1:9" x14ac:dyDescent="0.25">
      <c r="A39" s="11" t="s">
        <v>38</v>
      </c>
      <c r="B39" s="10" t="s">
        <v>70</v>
      </c>
      <c r="C39" s="52">
        <v>3404</v>
      </c>
      <c r="D39" s="52">
        <v>6245</v>
      </c>
      <c r="E39" s="52">
        <v>7116</v>
      </c>
      <c r="F39" s="52">
        <v>7761</v>
      </c>
      <c r="G39" s="52">
        <v>9860</v>
      </c>
      <c r="H39" s="52">
        <v>9735</v>
      </c>
      <c r="I39" s="52">
        <v>8511</v>
      </c>
    </row>
    <row r="40" spans="1:9" x14ac:dyDescent="0.25">
      <c r="A40" s="11" t="s">
        <v>39</v>
      </c>
      <c r="B40" s="10" t="s">
        <v>70</v>
      </c>
      <c r="C40" s="52">
        <v>5914</v>
      </c>
      <c r="D40" s="52">
        <v>11547</v>
      </c>
      <c r="E40" s="52">
        <v>12614</v>
      </c>
      <c r="F40" s="52">
        <v>13202</v>
      </c>
      <c r="G40" s="52">
        <v>17365</v>
      </c>
      <c r="H40" s="52">
        <v>16026</v>
      </c>
      <c r="I40" s="52">
        <v>12932</v>
      </c>
    </row>
    <row r="41" spans="1:9" x14ac:dyDescent="0.25">
      <c r="A41" s="11" t="s">
        <v>40</v>
      </c>
      <c r="B41" s="10" t="s">
        <v>70</v>
      </c>
      <c r="C41" s="52">
        <v>5893</v>
      </c>
      <c r="D41" s="52">
        <v>11216</v>
      </c>
      <c r="E41" s="52">
        <v>13153</v>
      </c>
      <c r="F41" s="52">
        <v>13904</v>
      </c>
      <c r="G41" s="52">
        <v>18382</v>
      </c>
      <c r="H41" s="52">
        <v>15646</v>
      </c>
      <c r="I41" s="52">
        <v>12806</v>
      </c>
    </row>
    <row r="42" spans="1:9" x14ac:dyDescent="0.25">
      <c r="A42" s="11" t="s">
        <v>41</v>
      </c>
      <c r="B42" s="10" t="s">
        <v>70</v>
      </c>
      <c r="C42" s="52">
        <v>2852</v>
      </c>
      <c r="D42" s="52">
        <v>4962</v>
      </c>
      <c r="E42" s="52">
        <v>6287</v>
      </c>
      <c r="F42" s="52">
        <v>6368</v>
      </c>
      <c r="G42" s="52">
        <v>8208</v>
      </c>
      <c r="H42" s="52">
        <v>8488</v>
      </c>
      <c r="I42" s="52">
        <v>6614</v>
      </c>
    </row>
    <row r="43" spans="1:9" x14ac:dyDescent="0.25">
      <c r="A43" s="11" t="s">
        <v>42</v>
      </c>
      <c r="B43" s="10" t="s">
        <v>70</v>
      </c>
      <c r="C43" s="52">
        <v>1036</v>
      </c>
      <c r="D43" s="52">
        <v>1851</v>
      </c>
      <c r="E43" s="52">
        <v>2192</v>
      </c>
      <c r="F43" s="52">
        <v>2428</v>
      </c>
      <c r="G43" s="52">
        <v>3203</v>
      </c>
      <c r="H43" s="52">
        <v>3089</v>
      </c>
      <c r="I43" s="52">
        <v>2366</v>
      </c>
    </row>
    <row r="44" spans="1:9" x14ac:dyDescent="0.25">
      <c r="A44" s="11" t="s">
        <v>43</v>
      </c>
      <c r="B44" s="10" t="s">
        <v>70</v>
      </c>
      <c r="C44" s="52">
        <v>2939</v>
      </c>
      <c r="D44" s="52">
        <v>4979</v>
      </c>
      <c r="E44" s="52">
        <v>4993</v>
      </c>
      <c r="F44" s="52">
        <v>5508</v>
      </c>
      <c r="G44" s="52">
        <v>7205</v>
      </c>
      <c r="H44" s="52">
        <v>6976</v>
      </c>
      <c r="I44" s="52">
        <v>5675</v>
      </c>
    </row>
    <row r="45" spans="1:9" x14ac:dyDescent="0.25">
      <c r="A45" s="11" t="s">
        <v>44</v>
      </c>
      <c r="B45" s="10" t="s">
        <v>70</v>
      </c>
      <c r="C45" s="52">
        <v>1136</v>
      </c>
      <c r="D45" s="52">
        <v>2334</v>
      </c>
      <c r="E45" s="52">
        <v>2486</v>
      </c>
      <c r="F45" s="52">
        <v>2683</v>
      </c>
      <c r="G45" s="52">
        <v>3724</v>
      </c>
      <c r="H45" s="52">
        <v>3403</v>
      </c>
      <c r="I45" s="52">
        <v>2854</v>
      </c>
    </row>
    <row r="46" spans="1:9" x14ac:dyDescent="0.25">
      <c r="A46" s="11" t="s">
        <v>45</v>
      </c>
      <c r="B46" s="10" t="s">
        <v>70</v>
      </c>
      <c r="C46" s="52">
        <v>2548</v>
      </c>
      <c r="D46" s="52">
        <v>5196</v>
      </c>
      <c r="E46" s="52">
        <v>6142</v>
      </c>
      <c r="F46" s="52">
        <v>6485</v>
      </c>
      <c r="G46" s="52">
        <v>9348</v>
      </c>
      <c r="H46" s="52">
        <v>8372</v>
      </c>
      <c r="I46" s="52">
        <v>5183</v>
      </c>
    </row>
    <row r="47" spans="1:9" x14ac:dyDescent="0.25">
      <c r="A47" s="11" t="s">
        <v>46</v>
      </c>
      <c r="B47" s="10" t="s">
        <v>70</v>
      </c>
      <c r="C47" s="52">
        <v>14112</v>
      </c>
      <c r="D47" s="52">
        <v>26026</v>
      </c>
      <c r="E47" s="52">
        <v>28135</v>
      </c>
      <c r="F47" s="52">
        <v>29161</v>
      </c>
      <c r="G47" s="52">
        <v>41244</v>
      </c>
      <c r="H47" s="52">
        <v>37714</v>
      </c>
      <c r="I47" s="52">
        <v>31517</v>
      </c>
    </row>
    <row r="48" spans="1:9" x14ac:dyDescent="0.25">
      <c r="A48" s="11" t="s">
        <v>47</v>
      </c>
      <c r="B48" s="10" t="s">
        <v>70</v>
      </c>
      <c r="C48" s="52">
        <v>408</v>
      </c>
      <c r="D48" s="52">
        <v>814</v>
      </c>
      <c r="E48" s="52">
        <v>937</v>
      </c>
      <c r="F48" s="52">
        <v>877</v>
      </c>
      <c r="G48" s="52">
        <v>1219</v>
      </c>
      <c r="H48" s="52">
        <v>1237</v>
      </c>
      <c r="I48" s="52">
        <v>1065</v>
      </c>
    </row>
    <row r="49" spans="1:9" x14ac:dyDescent="0.25">
      <c r="A49" s="11" t="s">
        <v>48</v>
      </c>
      <c r="B49" s="10" t="s">
        <v>70</v>
      </c>
      <c r="C49" s="52">
        <v>6157</v>
      </c>
      <c r="D49" s="52">
        <v>11227</v>
      </c>
      <c r="E49" s="52">
        <v>11871</v>
      </c>
      <c r="F49" s="52">
        <v>12488</v>
      </c>
      <c r="G49" s="52">
        <v>17463</v>
      </c>
      <c r="H49" s="52">
        <v>15449</v>
      </c>
      <c r="I49" s="52">
        <v>12227</v>
      </c>
    </row>
    <row r="50" spans="1:9" x14ac:dyDescent="0.25">
      <c r="A50" s="11" t="s">
        <v>49</v>
      </c>
      <c r="B50" s="10" t="s">
        <v>70</v>
      </c>
      <c r="C50" s="52">
        <v>2016</v>
      </c>
      <c r="D50" s="52">
        <v>3648</v>
      </c>
      <c r="E50" s="52">
        <v>4615</v>
      </c>
      <c r="F50" s="52">
        <v>4801</v>
      </c>
      <c r="G50" s="52">
        <v>6201</v>
      </c>
      <c r="H50" s="52">
        <v>5966</v>
      </c>
      <c r="I50" s="52">
        <v>4694</v>
      </c>
    </row>
    <row r="51" spans="1:9" x14ac:dyDescent="0.25">
      <c r="A51" s="11" t="s">
        <v>50</v>
      </c>
      <c r="B51" s="10" t="s">
        <v>70</v>
      </c>
      <c r="C51" s="52">
        <v>1428</v>
      </c>
      <c r="D51" s="52">
        <v>2636</v>
      </c>
      <c r="E51" s="52">
        <v>3050</v>
      </c>
      <c r="F51" s="52">
        <v>3222</v>
      </c>
      <c r="G51" s="52">
        <v>4258</v>
      </c>
      <c r="H51" s="52">
        <v>3796</v>
      </c>
      <c r="I51" s="52">
        <v>2566</v>
      </c>
    </row>
    <row r="52" spans="1:9" x14ac:dyDescent="0.25">
      <c r="A52" s="11" t="s">
        <v>51</v>
      </c>
      <c r="B52" s="10" t="s">
        <v>70</v>
      </c>
      <c r="C52" s="52">
        <v>9942</v>
      </c>
      <c r="D52" s="52">
        <v>25781</v>
      </c>
      <c r="E52" s="52">
        <v>23644</v>
      </c>
      <c r="F52" s="52">
        <v>18670</v>
      </c>
      <c r="G52" s="52">
        <v>20707</v>
      </c>
      <c r="H52" s="52">
        <v>18098</v>
      </c>
      <c r="I52" s="52">
        <v>14316</v>
      </c>
    </row>
    <row r="53" spans="1:9" x14ac:dyDescent="0.25">
      <c r="A53" s="11" t="s">
        <v>52</v>
      </c>
      <c r="B53" s="10" t="s">
        <v>70</v>
      </c>
      <c r="C53" s="52">
        <v>1237</v>
      </c>
      <c r="D53" s="52">
        <v>2414</v>
      </c>
      <c r="E53" s="52">
        <v>2971</v>
      </c>
      <c r="F53" s="52">
        <v>3252</v>
      </c>
      <c r="G53" s="52">
        <v>5203</v>
      </c>
      <c r="H53" s="52">
        <v>4693</v>
      </c>
      <c r="I53" s="52">
        <v>3245</v>
      </c>
    </row>
    <row r="54" spans="1:9" x14ac:dyDescent="0.25">
      <c r="A54" s="11" t="s">
        <v>53</v>
      </c>
      <c r="B54" s="10" t="s">
        <v>70</v>
      </c>
      <c r="C54" s="52">
        <v>504</v>
      </c>
      <c r="D54" s="52">
        <v>917</v>
      </c>
      <c r="E54" s="52">
        <v>1046</v>
      </c>
      <c r="F54" s="52">
        <v>1070</v>
      </c>
      <c r="G54" s="52">
        <v>1559</v>
      </c>
      <c r="H54" s="52">
        <v>1613</v>
      </c>
      <c r="I54" s="52">
        <v>1295</v>
      </c>
    </row>
    <row r="55" spans="1:9" x14ac:dyDescent="0.25">
      <c r="A55" s="11" t="s">
        <v>54</v>
      </c>
      <c r="B55" s="10" t="s">
        <v>70</v>
      </c>
      <c r="C55" s="52">
        <v>3674</v>
      </c>
      <c r="D55" s="52">
        <v>6283</v>
      </c>
      <c r="E55" s="52">
        <v>7360</v>
      </c>
      <c r="F55" s="52">
        <v>8353</v>
      </c>
      <c r="G55" s="52">
        <v>10533</v>
      </c>
      <c r="H55" s="52">
        <v>9632</v>
      </c>
      <c r="I55" s="52">
        <v>7285</v>
      </c>
    </row>
    <row r="56" spans="1:9" x14ac:dyDescent="0.25">
      <c r="A56" s="11" t="s">
        <v>55</v>
      </c>
      <c r="B56" s="10" t="s">
        <v>70</v>
      </c>
      <c r="C56" s="52">
        <v>1233</v>
      </c>
      <c r="D56" s="52">
        <v>1863</v>
      </c>
      <c r="E56" s="52">
        <v>2250</v>
      </c>
      <c r="F56" s="52">
        <v>2363</v>
      </c>
      <c r="G56" s="52">
        <v>3047</v>
      </c>
      <c r="H56" s="52">
        <v>2814</v>
      </c>
      <c r="I56" s="52">
        <v>2390</v>
      </c>
    </row>
    <row r="57" spans="1:9" x14ac:dyDescent="0.25">
      <c r="A57" s="11" t="s">
        <v>56</v>
      </c>
      <c r="B57" s="10" t="s">
        <v>70</v>
      </c>
      <c r="C57" s="52">
        <v>2278</v>
      </c>
      <c r="D57" s="52">
        <v>3935</v>
      </c>
      <c r="E57" s="52">
        <v>4377</v>
      </c>
      <c r="F57" s="52">
        <v>4911</v>
      </c>
      <c r="G57" s="52">
        <v>6261</v>
      </c>
      <c r="H57" s="52">
        <v>6323</v>
      </c>
      <c r="I57" s="52">
        <v>4755</v>
      </c>
    </row>
    <row r="58" spans="1:9" x14ac:dyDescent="0.25">
      <c r="A58" s="11" t="s">
        <v>57</v>
      </c>
      <c r="B58" s="10" t="s">
        <v>70</v>
      </c>
      <c r="C58" s="52">
        <v>160</v>
      </c>
      <c r="D58" s="52">
        <v>262</v>
      </c>
      <c r="E58" s="52">
        <v>357</v>
      </c>
      <c r="F58" s="52">
        <v>373</v>
      </c>
      <c r="G58" s="52">
        <v>564</v>
      </c>
      <c r="H58" s="52">
        <v>665</v>
      </c>
      <c r="I58" s="52">
        <v>467</v>
      </c>
    </row>
    <row r="59" spans="1:9" x14ac:dyDescent="0.25">
      <c r="A59" s="11" t="s">
        <v>58</v>
      </c>
      <c r="B59" s="10" t="s">
        <v>70</v>
      </c>
      <c r="C59" s="52">
        <v>1143</v>
      </c>
      <c r="D59" s="52">
        <v>2159</v>
      </c>
      <c r="E59" s="52">
        <v>2396</v>
      </c>
      <c r="F59" s="52">
        <v>2380</v>
      </c>
      <c r="G59" s="52">
        <v>3434</v>
      </c>
      <c r="H59" s="52">
        <v>3352</v>
      </c>
      <c r="I59" s="52">
        <v>2613</v>
      </c>
    </row>
    <row r="60" spans="1:9" x14ac:dyDescent="0.25">
      <c r="A60" s="11" t="s">
        <v>59</v>
      </c>
      <c r="B60" s="10" t="s">
        <v>70</v>
      </c>
      <c r="C60" s="52">
        <v>1103</v>
      </c>
      <c r="D60" s="52">
        <v>1983</v>
      </c>
      <c r="E60" s="52">
        <v>2468</v>
      </c>
      <c r="F60" s="52">
        <v>2547</v>
      </c>
      <c r="G60" s="52">
        <v>3487</v>
      </c>
      <c r="H60" s="52">
        <v>3575</v>
      </c>
      <c r="I60" s="52">
        <v>2952</v>
      </c>
    </row>
    <row r="61" spans="1:9" x14ac:dyDescent="0.25">
      <c r="A61" s="11" t="s">
        <v>60</v>
      </c>
      <c r="B61" s="10" t="s">
        <v>70</v>
      </c>
      <c r="C61" s="52">
        <v>1348</v>
      </c>
      <c r="D61" s="52">
        <v>1763</v>
      </c>
      <c r="E61" s="52">
        <v>1915</v>
      </c>
      <c r="F61" s="52">
        <v>1965</v>
      </c>
      <c r="G61" s="52">
        <v>2638</v>
      </c>
      <c r="H61" s="52">
        <v>2411</v>
      </c>
      <c r="I61" s="52">
        <v>2365</v>
      </c>
    </row>
    <row r="62" spans="1:9" x14ac:dyDescent="0.25">
      <c r="A62" s="11" t="s">
        <v>61</v>
      </c>
      <c r="B62" s="10" t="s">
        <v>70</v>
      </c>
      <c r="C62" s="52">
        <v>1233</v>
      </c>
      <c r="D62" s="52">
        <v>2210</v>
      </c>
      <c r="E62" s="52">
        <v>2711</v>
      </c>
      <c r="F62" s="52">
        <v>3037</v>
      </c>
      <c r="G62" s="52">
        <v>3863</v>
      </c>
      <c r="H62" s="52">
        <v>4042</v>
      </c>
      <c r="I62" s="52">
        <v>3023</v>
      </c>
    </row>
    <row r="63" spans="1:9" x14ac:dyDescent="0.25">
      <c r="A63" s="11" t="s">
        <v>62</v>
      </c>
      <c r="B63" s="10" t="s">
        <v>70</v>
      </c>
      <c r="C63" s="52">
        <v>974</v>
      </c>
      <c r="D63" s="52">
        <v>1726</v>
      </c>
      <c r="E63" s="52">
        <v>2064</v>
      </c>
      <c r="F63" s="52">
        <v>2164</v>
      </c>
      <c r="G63" s="52">
        <v>3081</v>
      </c>
      <c r="H63" s="52">
        <v>3021</v>
      </c>
      <c r="I63" s="52">
        <v>2192</v>
      </c>
    </row>
    <row r="64" spans="1:9" x14ac:dyDescent="0.25">
      <c r="A64" s="11" t="s">
        <v>63</v>
      </c>
      <c r="B64" s="10" t="s">
        <v>70</v>
      </c>
      <c r="C64" s="52">
        <v>5319</v>
      </c>
      <c r="D64" s="52">
        <v>9732</v>
      </c>
      <c r="E64" s="52">
        <v>11174</v>
      </c>
      <c r="F64" s="52">
        <v>11511</v>
      </c>
      <c r="G64" s="52">
        <v>13886</v>
      </c>
      <c r="H64" s="52">
        <v>12570</v>
      </c>
      <c r="I64" s="52">
        <v>8787</v>
      </c>
    </row>
    <row r="65" spans="1:9" x14ac:dyDescent="0.25">
      <c r="A65" s="11" t="s">
        <v>64</v>
      </c>
      <c r="B65" s="10" t="s">
        <v>70</v>
      </c>
      <c r="C65" s="52">
        <v>1279</v>
      </c>
      <c r="D65" s="52">
        <v>2502</v>
      </c>
      <c r="E65" s="52">
        <v>2783</v>
      </c>
      <c r="F65" s="52">
        <v>2892</v>
      </c>
      <c r="G65" s="52">
        <v>4517</v>
      </c>
      <c r="H65" s="52">
        <v>4410</v>
      </c>
      <c r="I65" s="52">
        <v>3354</v>
      </c>
    </row>
    <row r="66" spans="1:9" x14ac:dyDescent="0.25">
      <c r="A66" s="11" t="s">
        <v>65</v>
      </c>
      <c r="B66" s="10" t="s">
        <v>70</v>
      </c>
      <c r="C66" s="52">
        <v>8877</v>
      </c>
      <c r="D66" s="52">
        <v>16515</v>
      </c>
      <c r="E66" s="52">
        <v>18336</v>
      </c>
      <c r="F66" s="52">
        <v>19231</v>
      </c>
      <c r="G66" s="52">
        <v>25929</v>
      </c>
      <c r="H66" s="52">
        <v>23819</v>
      </c>
      <c r="I66" s="52">
        <v>18202</v>
      </c>
    </row>
    <row r="67" spans="1:9" x14ac:dyDescent="0.25">
      <c r="A67" s="11" t="s">
        <v>66</v>
      </c>
      <c r="B67" s="10" t="s">
        <v>70</v>
      </c>
      <c r="C67" s="52">
        <v>738</v>
      </c>
      <c r="D67" s="52">
        <v>1374</v>
      </c>
      <c r="E67" s="52">
        <v>1540</v>
      </c>
      <c r="F67" s="52">
        <v>1742</v>
      </c>
      <c r="G67" s="52">
        <v>2137</v>
      </c>
      <c r="H67" s="52">
        <v>2074</v>
      </c>
      <c r="I67" s="52">
        <v>1726</v>
      </c>
    </row>
    <row r="68" spans="1:9" ht="13.8" thickBot="1" x14ac:dyDescent="0.3">
      <c r="A68" s="13" t="s">
        <v>67</v>
      </c>
      <c r="B68" s="12" t="s">
        <v>70</v>
      </c>
      <c r="C68" s="52">
        <v>11151</v>
      </c>
      <c r="D68" s="52">
        <v>21502</v>
      </c>
      <c r="E68" s="52">
        <v>25224</v>
      </c>
      <c r="F68" s="52">
        <v>25444</v>
      </c>
      <c r="G68" s="52">
        <v>34359</v>
      </c>
      <c r="H68" s="52">
        <v>28967</v>
      </c>
      <c r="I68" s="52">
        <v>21633</v>
      </c>
    </row>
    <row r="69" spans="1:9" x14ac:dyDescent="0.25">
      <c r="A69" s="32" t="s">
        <v>68</v>
      </c>
      <c r="C69" s="14">
        <f>SUM(C2:C68)</f>
        <v>254119</v>
      </c>
      <c r="D69" s="14">
        <f t="shared" ref="D69:I69" si="0">SUM(D2:D68)</f>
        <v>470475</v>
      </c>
      <c r="E69" s="14">
        <f t="shared" si="0"/>
        <v>514948</v>
      </c>
      <c r="F69" s="14">
        <f t="shared" si="0"/>
        <v>530016</v>
      </c>
      <c r="G69" s="14">
        <f t="shared" si="0"/>
        <v>705318</v>
      </c>
      <c r="H69" s="14">
        <f t="shared" si="0"/>
        <v>651228</v>
      </c>
      <c r="I69" s="14">
        <f t="shared" si="0"/>
        <v>511419</v>
      </c>
    </row>
    <row r="70" spans="1:9" x14ac:dyDescent="0.25">
      <c r="C70" s="17">
        <f>C69/$C$72</f>
        <v>6.9860451741473525E-2</v>
      </c>
      <c r="D70" s="17">
        <f t="shared" ref="D70:I70" si="1">D69/$C$72</f>
        <v>0.12933938836950309</v>
      </c>
      <c r="E70" s="17">
        <f t="shared" si="1"/>
        <v>0.14156556535862452</v>
      </c>
      <c r="F70" s="17">
        <f t="shared" si="1"/>
        <v>0.14570794466454232</v>
      </c>
      <c r="G70" s="17">
        <f t="shared" si="1"/>
        <v>0.19390062963175766</v>
      </c>
      <c r="H70" s="17">
        <f t="shared" si="1"/>
        <v>0.17903062056239918</v>
      </c>
      <c r="I70" s="17">
        <f t="shared" si="1"/>
        <v>0.14059539967169968</v>
      </c>
    </row>
    <row r="72" spans="1:9" x14ac:dyDescent="0.25">
      <c r="A72" s="32" t="s">
        <v>80</v>
      </c>
      <c r="C72" s="16">
        <f>SUM(C69:I69)</f>
        <v>3637523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I1" sqref="I1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17020</v>
      </c>
      <c r="C3" s="70">
        <v>2150</v>
      </c>
      <c r="D3" s="69">
        <v>40753</v>
      </c>
      <c r="E3" s="70">
        <v>3266</v>
      </c>
      <c r="F3" s="72">
        <v>11421</v>
      </c>
      <c r="G3" s="74">
        <v>1951</v>
      </c>
    </row>
    <row r="4" spans="1:7" x14ac:dyDescent="0.25">
      <c r="A4" s="11" t="s">
        <v>2</v>
      </c>
      <c r="B4" s="69">
        <v>460996</v>
      </c>
      <c r="C4" s="70">
        <v>42007</v>
      </c>
      <c r="D4" s="69">
        <v>247967</v>
      </c>
      <c r="E4" s="70">
        <v>15271</v>
      </c>
      <c r="F4" s="72">
        <v>132902</v>
      </c>
      <c r="G4" s="75">
        <v>17238</v>
      </c>
    </row>
    <row r="5" spans="1:7" x14ac:dyDescent="0.25">
      <c r="A5" s="11" t="s">
        <v>3</v>
      </c>
      <c r="B5" s="69">
        <v>9908</v>
      </c>
      <c r="C5" s="70">
        <v>752</v>
      </c>
      <c r="D5" s="69">
        <v>26369</v>
      </c>
      <c r="E5" s="70">
        <v>1264</v>
      </c>
      <c r="F5" s="72">
        <v>4792</v>
      </c>
      <c r="G5" s="75">
        <v>491</v>
      </c>
    </row>
    <row r="6" spans="1:7" x14ac:dyDescent="0.25">
      <c r="A6" s="11" t="s">
        <v>4</v>
      </c>
      <c r="B6" s="69">
        <v>42009</v>
      </c>
      <c r="C6" s="70">
        <v>3758</v>
      </c>
      <c r="D6" s="69">
        <v>48747</v>
      </c>
      <c r="E6" s="70">
        <v>3147</v>
      </c>
      <c r="F6" s="72">
        <v>14401</v>
      </c>
      <c r="G6" s="75">
        <v>2071</v>
      </c>
    </row>
    <row r="7" spans="1:7" x14ac:dyDescent="0.25">
      <c r="A7" s="11" t="s">
        <v>5</v>
      </c>
      <c r="B7" s="69">
        <v>4909</v>
      </c>
      <c r="C7" s="70">
        <v>358</v>
      </c>
      <c r="D7" s="69">
        <v>23615</v>
      </c>
      <c r="E7" s="70">
        <v>962</v>
      </c>
      <c r="F7" s="72">
        <v>2888</v>
      </c>
      <c r="G7" s="75">
        <v>307</v>
      </c>
    </row>
    <row r="8" spans="1:7" x14ac:dyDescent="0.25">
      <c r="A8" s="11" t="s">
        <v>6</v>
      </c>
      <c r="B8" s="69">
        <v>96848</v>
      </c>
      <c r="C8" s="70">
        <v>7460</v>
      </c>
      <c r="D8" s="69">
        <v>113137</v>
      </c>
      <c r="E8" s="70">
        <v>4957</v>
      </c>
      <c r="F8" s="72">
        <v>47199</v>
      </c>
      <c r="G8" s="75">
        <v>4484</v>
      </c>
    </row>
    <row r="9" spans="1:7" x14ac:dyDescent="0.25">
      <c r="A9" s="11" t="s">
        <v>7</v>
      </c>
      <c r="B9" s="69">
        <v>17499</v>
      </c>
      <c r="C9" s="70">
        <v>2284</v>
      </c>
      <c r="D9" s="69">
        <v>47015</v>
      </c>
      <c r="E9" s="70">
        <v>3616</v>
      </c>
      <c r="F9" s="72">
        <v>9406</v>
      </c>
      <c r="G9" s="75">
        <v>1748</v>
      </c>
    </row>
    <row r="10" spans="1:7" x14ac:dyDescent="0.25">
      <c r="A10" s="11" t="s">
        <v>8</v>
      </c>
      <c r="B10" s="69">
        <v>7099</v>
      </c>
      <c r="C10" s="70">
        <v>709</v>
      </c>
      <c r="D10" s="69">
        <v>24145</v>
      </c>
      <c r="E10" s="70">
        <v>1487</v>
      </c>
      <c r="F10" s="72">
        <v>4778</v>
      </c>
      <c r="G10" s="75">
        <v>617</v>
      </c>
    </row>
    <row r="11" spans="1:7" x14ac:dyDescent="0.25">
      <c r="A11" s="11" t="s">
        <v>9</v>
      </c>
      <c r="B11" s="69">
        <v>179433</v>
      </c>
      <c r="C11" s="70">
        <v>14382</v>
      </c>
      <c r="D11" s="69">
        <v>191504</v>
      </c>
      <c r="E11" s="70">
        <v>10488</v>
      </c>
      <c r="F11" s="72">
        <v>80023</v>
      </c>
      <c r="G11" s="75">
        <v>8131</v>
      </c>
    </row>
    <row r="12" spans="1:7" x14ac:dyDescent="0.25">
      <c r="A12" s="11" t="s">
        <v>10</v>
      </c>
      <c r="B12" s="69">
        <v>37267</v>
      </c>
      <c r="C12" s="70">
        <v>1910</v>
      </c>
      <c r="D12" s="69">
        <v>80163</v>
      </c>
      <c r="E12" s="70">
        <v>2790</v>
      </c>
      <c r="F12" s="72">
        <v>19911</v>
      </c>
      <c r="G12" s="75">
        <v>1549</v>
      </c>
    </row>
    <row r="13" spans="1:7" x14ac:dyDescent="0.25">
      <c r="A13" s="11" t="s">
        <v>11</v>
      </c>
      <c r="B13" s="69">
        <v>28004</v>
      </c>
      <c r="C13" s="70">
        <v>1425</v>
      </c>
      <c r="D13" s="69">
        <v>45153</v>
      </c>
      <c r="E13" s="70">
        <v>1357</v>
      </c>
      <c r="F13" s="72">
        <v>9239</v>
      </c>
      <c r="G13" s="75">
        <v>724</v>
      </c>
    </row>
    <row r="14" spans="1:7" x14ac:dyDescent="0.25">
      <c r="A14" s="11" t="s">
        <v>12</v>
      </c>
      <c r="B14" s="69">
        <v>607</v>
      </c>
      <c r="C14" s="70">
        <v>59</v>
      </c>
      <c r="D14" s="69">
        <v>1722</v>
      </c>
      <c r="E14" s="70">
        <v>118</v>
      </c>
      <c r="F14" s="72">
        <v>336</v>
      </c>
      <c r="G14" s="75">
        <v>41</v>
      </c>
    </row>
    <row r="15" spans="1:7" x14ac:dyDescent="0.25">
      <c r="A15" s="11" t="s">
        <v>13</v>
      </c>
      <c r="B15" s="69">
        <v>13246</v>
      </c>
      <c r="C15" s="70">
        <v>823</v>
      </c>
      <c r="D15" s="69">
        <v>22885</v>
      </c>
      <c r="E15" s="70">
        <v>975</v>
      </c>
      <c r="F15" s="72">
        <v>7102</v>
      </c>
      <c r="G15" s="75">
        <v>630</v>
      </c>
    </row>
    <row r="16" spans="1:7" x14ac:dyDescent="0.25">
      <c r="A16" s="11" t="s">
        <v>14</v>
      </c>
      <c r="B16" s="69">
        <v>35448</v>
      </c>
      <c r="C16" s="70">
        <v>5973</v>
      </c>
      <c r="D16" s="69">
        <v>38428</v>
      </c>
      <c r="E16" s="70">
        <v>3385</v>
      </c>
      <c r="F16" s="72">
        <v>15657</v>
      </c>
      <c r="G16" s="75">
        <v>3109</v>
      </c>
    </row>
    <row r="17" spans="1:7" x14ac:dyDescent="0.25">
      <c r="A17" s="11" t="s">
        <v>15</v>
      </c>
      <c r="B17" s="69">
        <v>151400</v>
      </c>
      <c r="C17" s="70">
        <v>9290</v>
      </c>
      <c r="D17" s="69">
        <v>145086</v>
      </c>
      <c r="E17" s="70">
        <v>6794</v>
      </c>
      <c r="F17" s="72">
        <v>71159</v>
      </c>
      <c r="G17" s="75">
        <v>5231</v>
      </c>
    </row>
    <row r="18" spans="1:7" x14ac:dyDescent="0.25">
      <c r="A18" s="11" t="s">
        <v>16</v>
      </c>
      <c r="B18" s="69">
        <v>4644</v>
      </c>
      <c r="C18" s="70">
        <v>407</v>
      </c>
      <c r="D18" s="69">
        <v>14739</v>
      </c>
      <c r="E18" s="70">
        <v>795</v>
      </c>
      <c r="F18" s="72">
        <v>2428</v>
      </c>
      <c r="G18" s="75">
        <v>299</v>
      </c>
    </row>
    <row r="19" spans="1:7" x14ac:dyDescent="0.25">
      <c r="A19" s="11" t="s">
        <v>17</v>
      </c>
      <c r="B19" s="69">
        <v>10766</v>
      </c>
      <c r="C19" s="70">
        <v>1253</v>
      </c>
      <c r="D19" s="69">
        <v>29184</v>
      </c>
      <c r="E19" s="70">
        <v>2260</v>
      </c>
      <c r="F19" s="72">
        <v>5169</v>
      </c>
      <c r="G19" s="75">
        <v>913</v>
      </c>
    </row>
    <row r="20" spans="1:7" x14ac:dyDescent="0.25">
      <c r="A20" s="11" t="s">
        <v>18</v>
      </c>
      <c r="B20" s="69">
        <v>5580</v>
      </c>
      <c r="C20" s="70">
        <v>483</v>
      </c>
      <c r="D20" s="69">
        <v>12516</v>
      </c>
      <c r="E20" s="70">
        <v>786</v>
      </c>
      <c r="F20" s="72">
        <v>2778</v>
      </c>
      <c r="G20" s="75">
        <v>369</v>
      </c>
    </row>
    <row r="21" spans="1:7" x14ac:dyDescent="0.25">
      <c r="A21" s="11" t="s">
        <v>19</v>
      </c>
      <c r="B21" s="69">
        <v>10660</v>
      </c>
      <c r="C21" s="70">
        <v>1132</v>
      </c>
      <c r="D21" s="69">
        <v>21194</v>
      </c>
      <c r="E21" s="70">
        <v>1288</v>
      </c>
      <c r="F21" s="72">
        <v>5541</v>
      </c>
      <c r="G21" s="75">
        <v>819</v>
      </c>
    </row>
    <row r="22" spans="1:7" x14ac:dyDescent="0.25">
      <c r="A22" s="11" t="s">
        <v>20</v>
      </c>
      <c r="B22" s="69">
        <v>13347</v>
      </c>
      <c r="C22" s="70">
        <v>1105</v>
      </c>
      <c r="D22" s="69">
        <v>30624</v>
      </c>
      <c r="E22" s="70">
        <v>1255</v>
      </c>
      <c r="F22" s="72">
        <v>6135</v>
      </c>
      <c r="G22" s="75">
        <v>652</v>
      </c>
    </row>
    <row r="23" spans="1:7" x14ac:dyDescent="0.25">
      <c r="A23" s="11" t="s">
        <v>21</v>
      </c>
      <c r="B23" s="69">
        <v>57537</v>
      </c>
      <c r="C23" s="70">
        <v>3994</v>
      </c>
      <c r="D23" s="69">
        <v>84720</v>
      </c>
      <c r="E23" s="70">
        <v>3609</v>
      </c>
      <c r="F23" s="72">
        <v>30774</v>
      </c>
      <c r="G23" s="75">
        <v>2746</v>
      </c>
    </row>
    <row r="24" spans="1:7" x14ac:dyDescent="0.25">
      <c r="A24" s="11" t="s">
        <v>22</v>
      </c>
      <c r="B24" s="69">
        <v>77736</v>
      </c>
      <c r="C24" s="70">
        <v>8557</v>
      </c>
      <c r="D24" s="69">
        <v>71376</v>
      </c>
      <c r="E24" s="70">
        <v>4710</v>
      </c>
      <c r="F24" s="72">
        <v>33317</v>
      </c>
      <c r="G24" s="75">
        <v>4807</v>
      </c>
    </row>
    <row r="25" spans="1:7" x14ac:dyDescent="0.25">
      <c r="A25" s="11" t="s">
        <v>23</v>
      </c>
      <c r="B25" s="69">
        <v>180474</v>
      </c>
      <c r="C25" s="70">
        <v>22204</v>
      </c>
      <c r="D25" s="69">
        <v>132435</v>
      </c>
      <c r="E25" s="70">
        <v>10509</v>
      </c>
      <c r="F25" s="72">
        <v>56014</v>
      </c>
      <c r="G25" s="75">
        <v>8635</v>
      </c>
    </row>
    <row r="26" spans="1:7" x14ac:dyDescent="0.25">
      <c r="A26" s="11" t="s">
        <v>24</v>
      </c>
      <c r="B26" s="69">
        <v>5356</v>
      </c>
      <c r="C26" s="70">
        <v>432</v>
      </c>
      <c r="D26" s="69">
        <v>11526</v>
      </c>
      <c r="E26" s="70">
        <v>600</v>
      </c>
      <c r="F26" s="72">
        <v>2224</v>
      </c>
      <c r="G26" s="75">
        <v>328</v>
      </c>
    </row>
    <row r="27" spans="1:7" x14ac:dyDescent="0.25">
      <c r="A27" s="11" t="s">
        <v>25</v>
      </c>
      <c r="B27" s="69">
        <v>69237</v>
      </c>
      <c r="C27" s="70">
        <v>7235</v>
      </c>
      <c r="D27" s="69">
        <v>65869</v>
      </c>
      <c r="E27" s="70">
        <v>4988</v>
      </c>
      <c r="F27" s="72">
        <v>23434</v>
      </c>
      <c r="G27" s="75">
        <v>4002</v>
      </c>
    </row>
    <row r="28" spans="1:7" x14ac:dyDescent="0.25">
      <c r="A28" s="11" t="s">
        <v>26</v>
      </c>
      <c r="B28" s="69">
        <v>27952</v>
      </c>
      <c r="C28" s="70">
        <v>1582</v>
      </c>
      <c r="D28" s="69">
        <v>39906</v>
      </c>
      <c r="E28" s="70">
        <v>1405</v>
      </c>
      <c r="F28" s="72">
        <v>8010</v>
      </c>
      <c r="G28" s="75">
        <v>722</v>
      </c>
    </row>
    <row r="29" spans="1:7" x14ac:dyDescent="0.25">
      <c r="A29" s="11" t="s">
        <v>27</v>
      </c>
      <c r="B29" s="69">
        <v>715</v>
      </c>
      <c r="C29" s="70">
        <v>61</v>
      </c>
      <c r="D29" s="69">
        <v>1931</v>
      </c>
      <c r="E29" s="70">
        <v>108</v>
      </c>
      <c r="F29" s="72">
        <v>349</v>
      </c>
      <c r="G29" s="75">
        <v>48</v>
      </c>
    </row>
    <row r="30" spans="1:7" x14ac:dyDescent="0.25">
      <c r="A30" s="11" t="s">
        <v>28</v>
      </c>
      <c r="B30" s="69">
        <v>21489</v>
      </c>
      <c r="C30" s="70">
        <v>1975</v>
      </c>
      <c r="D30" s="69">
        <v>61370</v>
      </c>
      <c r="E30" s="70">
        <v>2994</v>
      </c>
      <c r="F30" s="72">
        <v>15761</v>
      </c>
      <c r="G30" s="75">
        <v>1678</v>
      </c>
    </row>
    <row r="31" spans="1:7" x14ac:dyDescent="0.25">
      <c r="A31" s="11" t="s">
        <v>29</v>
      </c>
      <c r="B31" s="69">
        <v>1337</v>
      </c>
      <c r="C31" s="70">
        <v>135</v>
      </c>
      <c r="D31" s="69">
        <v>7068</v>
      </c>
      <c r="E31" s="70">
        <v>398</v>
      </c>
      <c r="F31" s="72">
        <v>1001</v>
      </c>
      <c r="G31" s="75">
        <v>168</v>
      </c>
    </row>
    <row r="32" spans="1:7" x14ac:dyDescent="0.25">
      <c r="A32" s="11" t="s">
        <v>30</v>
      </c>
      <c r="B32" s="69">
        <v>6937</v>
      </c>
      <c r="C32" s="70">
        <v>454</v>
      </c>
      <c r="D32" s="69">
        <v>11606</v>
      </c>
      <c r="E32" s="70">
        <v>560</v>
      </c>
      <c r="F32" s="72">
        <v>2010</v>
      </c>
      <c r="G32" s="75">
        <v>234</v>
      </c>
    </row>
    <row r="33" spans="1:7" x14ac:dyDescent="0.25">
      <c r="A33" s="11" t="s">
        <v>31</v>
      </c>
      <c r="B33" s="69">
        <v>5432</v>
      </c>
      <c r="C33" s="70">
        <v>584</v>
      </c>
      <c r="D33" s="69">
        <v>18212</v>
      </c>
      <c r="E33" s="70">
        <v>699</v>
      </c>
      <c r="F33" s="72">
        <v>2666</v>
      </c>
      <c r="G33" s="75">
        <v>298</v>
      </c>
    </row>
    <row r="34" spans="1:7" x14ac:dyDescent="0.25">
      <c r="A34" s="11" t="s">
        <v>32</v>
      </c>
      <c r="B34" s="69">
        <v>13055</v>
      </c>
      <c r="C34" s="70">
        <v>860</v>
      </c>
      <c r="D34" s="69">
        <v>27937</v>
      </c>
      <c r="E34" s="70">
        <v>941</v>
      </c>
      <c r="F34" s="72">
        <v>5907</v>
      </c>
      <c r="G34" s="75">
        <v>438</v>
      </c>
    </row>
    <row r="35" spans="1:7" x14ac:dyDescent="0.25">
      <c r="A35" s="11" t="s">
        <v>33</v>
      </c>
      <c r="B35" s="69">
        <v>4964</v>
      </c>
      <c r="C35" s="70">
        <v>464</v>
      </c>
      <c r="D35" s="69">
        <v>18259</v>
      </c>
      <c r="E35" s="70">
        <v>1178</v>
      </c>
      <c r="F35" s="72">
        <v>2865</v>
      </c>
      <c r="G35" s="75">
        <v>347</v>
      </c>
    </row>
    <row r="36" spans="1:7" x14ac:dyDescent="0.25">
      <c r="A36" s="11" t="s">
        <v>34</v>
      </c>
      <c r="B36" s="69">
        <v>2314</v>
      </c>
      <c r="C36" s="70">
        <v>228</v>
      </c>
      <c r="D36" s="69">
        <v>9547</v>
      </c>
      <c r="E36" s="70">
        <v>477</v>
      </c>
      <c r="F36" s="72">
        <v>1346</v>
      </c>
      <c r="G36" s="75">
        <v>166</v>
      </c>
    </row>
    <row r="37" spans="1:7" x14ac:dyDescent="0.25">
      <c r="A37" s="11" t="s">
        <v>35</v>
      </c>
      <c r="B37" s="69">
        <v>70773</v>
      </c>
      <c r="C37" s="70">
        <v>5826</v>
      </c>
      <c r="D37" s="69">
        <v>48598</v>
      </c>
      <c r="E37" s="70">
        <v>3703</v>
      </c>
      <c r="F37" s="72">
        <v>18008</v>
      </c>
      <c r="G37" s="75">
        <v>2718</v>
      </c>
    </row>
    <row r="38" spans="1:7" x14ac:dyDescent="0.25">
      <c r="A38" s="11" t="s">
        <v>36</v>
      </c>
      <c r="B38" s="69">
        <v>101265</v>
      </c>
      <c r="C38" s="70">
        <v>11560</v>
      </c>
      <c r="D38" s="69">
        <v>171375</v>
      </c>
      <c r="E38" s="70">
        <v>12465</v>
      </c>
      <c r="F38" s="72">
        <v>58848</v>
      </c>
      <c r="G38" s="75">
        <v>8479</v>
      </c>
    </row>
    <row r="39" spans="1:7" x14ac:dyDescent="0.25">
      <c r="A39" s="11" t="s">
        <v>37</v>
      </c>
      <c r="B39" s="69">
        <v>18068</v>
      </c>
      <c r="C39" s="70">
        <v>1609</v>
      </c>
      <c r="D39" s="69">
        <v>28575</v>
      </c>
      <c r="E39" s="70">
        <v>1553</v>
      </c>
      <c r="F39" s="72">
        <v>6624</v>
      </c>
      <c r="G39" s="75">
        <v>885</v>
      </c>
    </row>
    <row r="40" spans="1:7" x14ac:dyDescent="0.25">
      <c r="A40" s="11" t="s">
        <v>38</v>
      </c>
      <c r="B40" s="69">
        <v>23618</v>
      </c>
      <c r="C40" s="70">
        <v>1772</v>
      </c>
      <c r="D40" s="69">
        <v>50878</v>
      </c>
      <c r="E40" s="70">
        <v>1754</v>
      </c>
      <c r="F40" s="72">
        <v>14554</v>
      </c>
      <c r="G40" s="75">
        <v>1353</v>
      </c>
    </row>
    <row r="41" spans="1:7" x14ac:dyDescent="0.25">
      <c r="A41" s="11" t="s">
        <v>39</v>
      </c>
      <c r="B41" s="69">
        <v>97900</v>
      </c>
      <c r="C41" s="70">
        <v>13493</v>
      </c>
      <c r="D41" s="69">
        <v>82554</v>
      </c>
      <c r="E41" s="70">
        <v>7046</v>
      </c>
      <c r="F41" s="72">
        <v>44789</v>
      </c>
      <c r="G41" s="75">
        <v>8031</v>
      </c>
    </row>
    <row r="42" spans="1:7" x14ac:dyDescent="0.25">
      <c r="A42" s="11" t="s">
        <v>40</v>
      </c>
      <c r="B42" s="69">
        <v>79822</v>
      </c>
      <c r="C42" s="70">
        <v>5015</v>
      </c>
      <c r="D42" s="69">
        <v>87265</v>
      </c>
      <c r="E42" s="70">
        <v>3736</v>
      </c>
      <c r="F42" s="72">
        <v>28428</v>
      </c>
      <c r="G42" s="75">
        <v>2826</v>
      </c>
    </row>
    <row r="43" spans="1:7" x14ac:dyDescent="0.25">
      <c r="A43" s="11" t="s">
        <v>41</v>
      </c>
      <c r="B43" s="69">
        <v>16452</v>
      </c>
      <c r="C43" s="70">
        <v>1748</v>
      </c>
      <c r="D43" s="69">
        <v>41556</v>
      </c>
      <c r="E43" s="70">
        <v>2223</v>
      </c>
      <c r="F43" s="72">
        <v>9381</v>
      </c>
      <c r="G43" s="75">
        <v>1252</v>
      </c>
    </row>
    <row r="44" spans="1:7" x14ac:dyDescent="0.25">
      <c r="A44" s="11" t="s">
        <v>42</v>
      </c>
      <c r="B44" s="69">
        <v>4967</v>
      </c>
      <c r="C44" s="70">
        <v>317</v>
      </c>
      <c r="D44" s="69">
        <v>15557</v>
      </c>
      <c r="E44" s="70">
        <v>608</v>
      </c>
      <c r="F44" s="72">
        <v>3378</v>
      </c>
      <c r="G44" s="75">
        <v>348</v>
      </c>
    </row>
    <row r="45" spans="1:7" x14ac:dyDescent="0.25">
      <c r="A45" s="11" t="s">
        <v>43</v>
      </c>
      <c r="B45" s="69">
        <v>20874</v>
      </c>
      <c r="C45" s="70">
        <v>2240</v>
      </c>
      <c r="D45" s="69">
        <v>35687</v>
      </c>
      <c r="E45" s="70">
        <v>2588</v>
      </c>
      <c r="F45" s="72">
        <v>9017</v>
      </c>
      <c r="G45" s="75">
        <v>1407</v>
      </c>
    </row>
    <row r="46" spans="1:7" x14ac:dyDescent="0.25">
      <c r="A46" s="11" t="s">
        <v>44</v>
      </c>
      <c r="B46" s="69">
        <v>5062</v>
      </c>
      <c r="C46" s="70">
        <v>312</v>
      </c>
      <c r="D46" s="69">
        <v>17965</v>
      </c>
      <c r="E46" s="70">
        <v>655</v>
      </c>
      <c r="F46" s="72">
        <v>2889</v>
      </c>
      <c r="G46" s="75">
        <v>244</v>
      </c>
    </row>
    <row r="47" spans="1:7" x14ac:dyDescent="0.25">
      <c r="A47" s="11" t="s">
        <v>45</v>
      </c>
      <c r="B47" s="69">
        <v>41962</v>
      </c>
      <c r="C47" s="70">
        <v>6483</v>
      </c>
      <c r="D47" s="69">
        <v>39430</v>
      </c>
      <c r="E47" s="70">
        <v>3844</v>
      </c>
      <c r="F47" s="72">
        <v>21916</v>
      </c>
      <c r="G47" s="75">
        <v>3619</v>
      </c>
    </row>
    <row r="48" spans="1:7" x14ac:dyDescent="0.25">
      <c r="A48" s="11" t="s">
        <v>46</v>
      </c>
      <c r="B48" s="69">
        <v>285414</v>
      </c>
      <c r="C48" s="70">
        <v>19860</v>
      </c>
      <c r="D48" s="69">
        <v>197410</v>
      </c>
      <c r="E48" s="70">
        <v>10499</v>
      </c>
      <c r="F48" s="72">
        <v>100466</v>
      </c>
      <c r="G48" s="75">
        <v>9671</v>
      </c>
    </row>
    <row r="49" spans="1:7" x14ac:dyDescent="0.25">
      <c r="A49" s="11" t="s">
        <v>47</v>
      </c>
      <c r="B49" s="69">
        <v>3484</v>
      </c>
      <c r="C49" s="70">
        <v>290</v>
      </c>
      <c r="D49" s="69">
        <v>6183</v>
      </c>
      <c r="E49" s="70">
        <v>374</v>
      </c>
      <c r="F49" s="72">
        <v>1797</v>
      </c>
      <c r="G49" s="75">
        <v>233</v>
      </c>
    </row>
    <row r="50" spans="1:7" x14ac:dyDescent="0.25">
      <c r="A50" s="11" t="s">
        <v>48</v>
      </c>
      <c r="B50" s="69">
        <v>84702</v>
      </c>
      <c r="C50" s="70">
        <v>11188</v>
      </c>
      <c r="D50" s="69">
        <v>80015</v>
      </c>
      <c r="E50" s="70">
        <v>6867</v>
      </c>
      <c r="F50" s="72">
        <v>42170</v>
      </c>
      <c r="G50" s="75">
        <v>7020</v>
      </c>
    </row>
    <row r="51" spans="1:7" x14ac:dyDescent="0.25">
      <c r="A51" s="11" t="s">
        <v>49</v>
      </c>
      <c r="B51" s="69">
        <v>12147</v>
      </c>
      <c r="C51" s="70">
        <v>3193</v>
      </c>
      <c r="D51" s="69">
        <v>27179</v>
      </c>
      <c r="E51" s="70">
        <v>4764</v>
      </c>
      <c r="F51" s="72">
        <v>4978</v>
      </c>
      <c r="G51" s="75">
        <v>3072</v>
      </c>
    </row>
    <row r="52" spans="1:7" x14ac:dyDescent="0.25">
      <c r="A52" s="11" t="s">
        <v>50</v>
      </c>
      <c r="B52" s="69">
        <v>5849</v>
      </c>
      <c r="C52" s="70">
        <v>176</v>
      </c>
      <c r="D52" s="69">
        <v>20487</v>
      </c>
      <c r="E52" s="70">
        <v>469</v>
      </c>
      <c r="F52" s="72">
        <v>4044</v>
      </c>
      <c r="G52" s="75">
        <v>222</v>
      </c>
    </row>
    <row r="53" spans="1:7" x14ac:dyDescent="0.25">
      <c r="A53" s="11" t="s">
        <v>51</v>
      </c>
      <c r="B53" s="69">
        <v>686916</v>
      </c>
      <c r="C53" s="70">
        <v>89504</v>
      </c>
      <c r="D53" s="69">
        <v>117279</v>
      </c>
      <c r="E53" s="70">
        <v>13879</v>
      </c>
      <c r="F53" s="72">
        <v>152181</v>
      </c>
      <c r="G53" s="75">
        <v>24646</v>
      </c>
    </row>
    <row r="54" spans="1:7" x14ac:dyDescent="0.25">
      <c r="A54" s="11" t="s">
        <v>52</v>
      </c>
      <c r="B54" s="69">
        <v>11870</v>
      </c>
      <c r="C54" s="70">
        <v>1701</v>
      </c>
      <c r="D54" s="69">
        <v>21008</v>
      </c>
      <c r="E54" s="70">
        <v>2007</v>
      </c>
      <c r="F54" s="72">
        <v>9157</v>
      </c>
      <c r="G54" s="75">
        <v>1429</v>
      </c>
    </row>
    <row r="55" spans="1:7" x14ac:dyDescent="0.25">
      <c r="A55" s="11" t="s">
        <v>53</v>
      </c>
      <c r="B55" s="69">
        <v>1599</v>
      </c>
      <c r="C55" s="70">
        <v>141</v>
      </c>
      <c r="D55" s="69">
        <v>7517</v>
      </c>
      <c r="E55" s="70">
        <v>487</v>
      </c>
      <c r="F55" s="72">
        <v>1100</v>
      </c>
      <c r="G55" s="75">
        <v>169</v>
      </c>
    </row>
    <row r="56" spans="1:7" x14ac:dyDescent="0.25">
      <c r="A56" s="11" t="s">
        <v>54</v>
      </c>
      <c r="B56" s="69">
        <v>23248</v>
      </c>
      <c r="C56" s="70">
        <v>2069</v>
      </c>
      <c r="D56" s="69">
        <v>50462</v>
      </c>
      <c r="E56" s="70">
        <v>2658</v>
      </c>
      <c r="F56" s="72">
        <v>12352</v>
      </c>
      <c r="G56" s="75">
        <v>1479</v>
      </c>
    </row>
    <row r="57" spans="1:7" x14ac:dyDescent="0.25">
      <c r="A57" s="11" t="s">
        <v>55</v>
      </c>
      <c r="B57" s="69">
        <v>4358</v>
      </c>
      <c r="C57" s="70">
        <v>524</v>
      </c>
      <c r="D57" s="69">
        <v>15015</v>
      </c>
      <c r="E57" s="70">
        <v>945</v>
      </c>
      <c r="F57" s="72">
        <v>2561</v>
      </c>
      <c r="G57" s="75">
        <v>464</v>
      </c>
    </row>
    <row r="58" spans="1:7" x14ac:dyDescent="0.25">
      <c r="A58" s="11" t="s">
        <v>56</v>
      </c>
      <c r="B58" s="69">
        <v>9732</v>
      </c>
      <c r="C58" s="70">
        <v>774</v>
      </c>
      <c r="D58" s="69">
        <v>31361</v>
      </c>
      <c r="E58" s="70">
        <v>1479</v>
      </c>
      <c r="F58" s="72">
        <v>4577</v>
      </c>
      <c r="G58" s="75">
        <v>566</v>
      </c>
    </row>
    <row r="59" spans="1:7" x14ac:dyDescent="0.25">
      <c r="A59" s="11" t="s">
        <v>57</v>
      </c>
      <c r="B59" s="69">
        <v>980</v>
      </c>
      <c r="C59" s="70">
        <v>81</v>
      </c>
      <c r="D59" s="69">
        <v>2697</v>
      </c>
      <c r="E59" s="70">
        <v>151</v>
      </c>
      <c r="F59" s="72">
        <v>485</v>
      </c>
      <c r="G59" s="75">
        <v>55</v>
      </c>
    </row>
    <row r="60" spans="1:7" x14ac:dyDescent="0.25">
      <c r="A60" s="11" t="s">
        <v>58</v>
      </c>
      <c r="B60" s="69">
        <v>5563</v>
      </c>
      <c r="C60" s="70">
        <v>680</v>
      </c>
      <c r="D60" s="69">
        <v>16233</v>
      </c>
      <c r="E60" s="70">
        <v>1244</v>
      </c>
      <c r="F60" s="72">
        <v>3533</v>
      </c>
      <c r="G60" s="75">
        <v>538</v>
      </c>
    </row>
    <row r="61" spans="1:7" x14ac:dyDescent="0.25">
      <c r="A61" s="11" t="s">
        <v>59</v>
      </c>
      <c r="B61" s="69">
        <v>4569</v>
      </c>
      <c r="C61" s="70">
        <v>364</v>
      </c>
      <c r="D61" s="69">
        <v>17143</v>
      </c>
      <c r="E61" s="70">
        <v>972</v>
      </c>
      <c r="F61" s="72">
        <v>3329</v>
      </c>
      <c r="G61" s="75">
        <v>426</v>
      </c>
    </row>
    <row r="62" spans="1:7" x14ac:dyDescent="0.25">
      <c r="A62" s="11" t="s">
        <v>60</v>
      </c>
      <c r="B62" s="69">
        <v>6627</v>
      </c>
      <c r="C62" s="70">
        <v>1157</v>
      </c>
      <c r="D62" s="69">
        <v>13258</v>
      </c>
      <c r="E62" s="70">
        <v>1147</v>
      </c>
      <c r="F62" s="72">
        <v>3430</v>
      </c>
      <c r="G62" s="75">
        <v>780</v>
      </c>
    </row>
    <row r="63" spans="1:7" x14ac:dyDescent="0.25">
      <c r="A63" s="11" t="s">
        <v>61</v>
      </c>
      <c r="B63" s="69">
        <v>7325</v>
      </c>
      <c r="C63" s="70">
        <v>708</v>
      </c>
      <c r="D63" s="69">
        <v>18867</v>
      </c>
      <c r="E63" s="70">
        <v>1252</v>
      </c>
      <c r="F63" s="72">
        <v>4043</v>
      </c>
      <c r="G63" s="75">
        <v>572</v>
      </c>
    </row>
    <row r="64" spans="1:7" x14ac:dyDescent="0.25">
      <c r="A64" s="11" t="s">
        <v>62</v>
      </c>
      <c r="B64" s="69">
        <v>5871</v>
      </c>
      <c r="C64" s="70">
        <v>469</v>
      </c>
      <c r="D64" s="69">
        <v>14288</v>
      </c>
      <c r="E64" s="70">
        <v>934</v>
      </c>
      <c r="F64" s="72">
        <v>3437</v>
      </c>
      <c r="G64" s="75">
        <v>399</v>
      </c>
    </row>
    <row r="65" spans="1:7" x14ac:dyDescent="0.25">
      <c r="A65" s="11" t="s">
        <v>63</v>
      </c>
      <c r="B65" s="69">
        <v>48999</v>
      </c>
      <c r="C65" s="70">
        <v>3859</v>
      </c>
      <c r="D65" s="69">
        <v>69304</v>
      </c>
      <c r="E65" s="70">
        <v>3675</v>
      </c>
      <c r="F65" s="72">
        <v>17635</v>
      </c>
      <c r="G65" s="75">
        <v>2142</v>
      </c>
    </row>
    <row r="66" spans="1:7" x14ac:dyDescent="0.25">
      <c r="A66" s="11" t="s">
        <v>64</v>
      </c>
      <c r="B66" s="69">
        <v>7965</v>
      </c>
      <c r="C66" s="70">
        <v>732</v>
      </c>
      <c r="D66" s="69">
        <v>20503</v>
      </c>
      <c r="E66" s="70">
        <v>1234</v>
      </c>
      <c r="F66" s="72">
        <v>5533</v>
      </c>
      <c r="G66" s="75">
        <v>671</v>
      </c>
    </row>
    <row r="67" spans="1:7" x14ac:dyDescent="0.25">
      <c r="A67" s="11" t="s">
        <v>65</v>
      </c>
      <c r="B67" s="69">
        <v>82991</v>
      </c>
      <c r="C67" s="70">
        <v>3832</v>
      </c>
      <c r="D67" s="69">
        <v>126758</v>
      </c>
      <c r="E67" s="70">
        <v>4151</v>
      </c>
      <c r="F67" s="72">
        <v>30928</v>
      </c>
      <c r="G67" s="75">
        <v>2161</v>
      </c>
    </row>
    <row r="68" spans="1:7" x14ac:dyDescent="0.25">
      <c r="A68" s="11" t="s">
        <v>66</v>
      </c>
      <c r="B68" s="69">
        <v>4332</v>
      </c>
      <c r="C68" s="70">
        <v>342</v>
      </c>
      <c r="D68" s="69">
        <v>10737</v>
      </c>
      <c r="E68" s="70">
        <v>594</v>
      </c>
      <c r="F68" s="72">
        <v>2193</v>
      </c>
      <c r="G68" s="75">
        <v>279</v>
      </c>
    </row>
    <row r="69" spans="1:7" x14ac:dyDescent="0.25">
      <c r="A69" s="19" t="s">
        <v>67</v>
      </c>
      <c r="B69" s="68">
        <v>89784</v>
      </c>
      <c r="C69" s="71">
        <v>6616</v>
      </c>
      <c r="D69" s="68">
        <v>160986</v>
      </c>
      <c r="E69" s="71">
        <v>7294</v>
      </c>
      <c r="F69" s="73">
        <v>57218</v>
      </c>
      <c r="G69" s="76">
        <v>5144</v>
      </c>
    </row>
    <row r="70" spans="1:7" x14ac:dyDescent="0.25">
      <c r="A70" s="32" t="s">
        <v>68</v>
      </c>
      <c r="B70" s="14">
        <f>SUM(B3:B69)</f>
        <v>3496313</v>
      </c>
      <c r="C70" s="14">
        <f t="shared" ref="C70:G70" si="0">SUM(C3:C69)</f>
        <v>345120</v>
      </c>
      <c r="D70" s="14">
        <f t="shared" si="0"/>
        <v>3430838</v>
      </c>
      <c r="E70" s="14">
        <f t="shared" si="0"/>
        <v>206688</v>
      </c>
      <c r="F70" s="14">
        <f t="shared" si="0"/>
        <v>1323922</v>
      </c>
      <c r="G70" s="14">
        <f t="shared" si="0"/>
        <v>169291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8972172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2026-07-20T12:31:35Z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