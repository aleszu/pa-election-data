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D08306FD-8C62-4726-9894-D22C1E4BF169}" xr6:coauthVersionLast="47" xr6:coauthVersionMax="47" xr10:uidLastSave="{00000000-0000-0000-0000-000000000000}"/>
  <bookViews>
    <workbookView xWindow="-28920" yWindow="-120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<sst xmlns="http://schemas.openxmlformats.org/spreadsheetml/2006/main" count="1139" uniqueCount="131">
  <si>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</si>
  <si>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</si>
  <si>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</si>
  <si>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</si>
  <si>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</si>
  <si>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</si>
  <si>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</si>
  <si>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</si>
  <si>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</si>
  <si>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</si>
  <si>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</si>
  <si>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</si>
  <si>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</si>
  <si>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</si>
  <si>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</si>
  <si>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</si>
  <si>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</si>
  <si>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</si>
  <si>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</si>
  <si>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</si>
  <si>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</si>
  <si>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</si>
  <si>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</si>
  <si>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</si>
  <si>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</si>
  <si>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</si>
  <si>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</si>
  <si>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</si>
  <si>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</si>
  <si>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</si>
  <si>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</si>
  <si>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</si>
  <si>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</si>
  <si>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</si>
  <si>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</si>
  <si>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</si>
  <si>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</si>
  <si>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</si>
  <si>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</si>
  <si>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</si>
  <si>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</si>
  <si>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</si>
  <si>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</si>
  <si>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</si>
  <si>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</si>
  <si>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</si>
  <si>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</si>
  <si>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</si>
  <si>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</si>
  <si>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</si>
  <si>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</si>
  <si>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</si>
  <si>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</si>
  <si>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</si>
  <si>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</si>
  <si>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</si>
  <si>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</si>
  <si>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</si>
  <si>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</si>
  <si>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</si>
  <si>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</si>
  <si>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</si>
  <si>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</si>
  <si>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</si>
  <si>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</si>
  <si>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</si>
  <si>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</si>
  <si>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</si>
  <si>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</si>
  <si>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</si>
  <si>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</si>
  <si>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</si>
  <si>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</si>
  <si>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</si>
  <si>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</si>
  <si>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</si>
  <si>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</si>
  <si>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</si>
  <si>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</si>
  <si>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</si>
  <si>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</si>
  <si>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</si>
  <si>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</si>
  <si>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</si>
  <si>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</si>
  <si>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</si>
  <si>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</si>
  <si>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</si>
  <si>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</si>
  <si>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</si>
  <si>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</si>
  <si>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</si>
  <si>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</si>
  <si>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</si>
  <si>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</si>
  <si>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</si>
  <si>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</si>
  <si>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</si>
  <si>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</si>
  <si>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</si>
  <si>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</si>
  <si>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</si>
  <si>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</si>
  <si>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</si>
  <si>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</si>
  <si>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</si>
  <si>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</si>
  <si>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</si>
  <si>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</si>
  <si>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</si>
  <si>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</si>
  <si>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</si>
  <si>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</si>
  <si>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</si>
  <si>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</si>
  <si>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</si>
  <si>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</si>
  <si>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</si>
  <si>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</si>
  <si>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</si>
  <si>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</si>
  <si>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</si>
  <si>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</si>
  <si>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</si>
  <si>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</si>
  <si>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</si>
  <si>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</si>
  <si>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</si>
  <si>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</si>
  <si>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09/21/2026</t>
  </si>
  <si>
    <t>Week Of 09-14-2026 to 09-21-2026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</si>
</sst>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/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19221</v>
      </c>
      <c r="D3"/>
      <c r="E3">
        <v>44051</v>
      </c>
      <c r="F3"/>
      <c r="G3">
        <v>10789</v>
      </c>
      <c r="H3"/>
      <c r="I3">
        <v>2764</v>
      </c>
      <c r="K3" s="10">
        <f t="shared" ref="K3:K34" si="0">SUM(C3+E3+G3+I3)</f>
        <v>76825</v>
      </c>
    </row>
    <row r="4" spans="1:12" x14ac:dyDescent="0.25">
      <c r="A4" t="s">
        <v>2</v>
      </c>
      <c r="B4" s="1">
        <v>2291</v>
      </c>
      <c r="C4">
        <v>504318</v>
      </c>
      <c r="D4"/>
      <c r="E4">
        <v>262891</v>
      </c>
      <c r="F4"/>
      <c r="G4">
        <v>115229</v>
      </c>
      <c r="H4"/>
      <c r="I4">
        <v>36629</v>
      </c>
      <c r="K4" s="10">
        <f t="shared" si="0"/>
        <v>919067</v>
      </c>
    </row>
    <row r="5" spans="1:12" x14ac:dyDescent="0.25">
      <c r="A5" t="s">
        <v>3</v>
      </c>
      <c r="B5" s="1">
        <v>2292</v>
      </c>
      <c r="C5">
        <v>10629</v>
      </c>
      <c r="D5"/>
      <c r="E5">
        <v>27673</v>
      </c>
      <c r="F5"/>
      <c r="G5">
        <v>3728</v>
      </c>
      <c r="H5"/>
      <c r="I5">
        <v>1587</v>
      </c>
      <c r="K5" s="10">
        <f t="shared" si="0"/>
        <v>43617</v>
      </c>
    </row>
    <row r="6" spans="1:12" x14ac:dyDescent="0.25">
      <c r="A6" t="s">
        <v>4</v>
      </c>
      <c r="B6" s="1">
        <v>2293</v>
      </c>
      <c r="C6">
        <v>45726</v>
      </c>
      <c r="D6"/>
      <c r="E6">
        <v>51873</v>
      </c>
      <c r="F6"/>
      <c r="G6">
        <v>11870</v>
      </c>
      <c r="H6"/>
      <c r="I6">
        <v>4705</v>
      </c>
      <c r="K6" s="10">
        <f t="shared" si="0"/>
        <v>114174</v>
      </c>
    </row>
    <row r="7" spans="1:12" x14ac:dyDescent="0.25">
      <c r="A7" t="s">
        <v>5</v>
      </c>
      <c r="B7" s="1">
        <v>2294</v>
      </c>
      <c r="C7">
        <v>5265</v>
      </c>
      <c r="D7"/>
      <c r="E7">
        <v>24587</v>
      </c>
      <c r="F7"/>
      <c r="G7">
        <v>2320</v>
      </c>
      <c r="H7"/>
      <c r="I7">
        <v>891</v>
      </c>
      <c r="K7" s="10">
        <f t="shared" si="0"/>
        <v>33063</v>
      </c>
    </row>
    <row r="8" spans="1:12" x14ac:dyDescent="0.25">
      <c r="A8" t="s">
        <v>6</v>
      </c>
      <c r="B8" s="1">
        <v>2295</v>
      </c>
      <c r="C8">
        <v>104351</v>
      </c>
      <c r="D8"/>
      <c r="E8">
        <v>117932</v>
      </c>
      <c r="F8"/>
      <c r="G8">
        <v>41937</v>
      </c>
      <c r="H8"/>
      <c r="I8">
        <v>10342</v>
      </c>
      <c r="K8" s="10">
        <f t="shared" si="0"/>
        <v>274562</v>
      </c>
    </row>
    <row r="9" spans="1:12" x14ac:dyDescent="0.25">
      <c r="A9" t="s">
        <v>7</v>
      </c>
      <c r="B9" s="1">
        <v>2296</v>
      </c>
      <c r="C9">
        <v>19823</v>
      </c>
      <c r="D9"/>
      <c r="E9">
        <v>50563</v>
      </c>
      <c r="F9"/>
      <c r="G9">
        <v>8505</v>
      </c>
      <c r="H9"/>
      <c r="I9">
        <v>2698</v>
      </c>
      <c r="K9" s="10">
        <f t="shared" si="0"/>
        <v>81589</v>
      </c>
    </row>
    <row r="10" spans="1:12" x14ac:dyDescent="0.25">
      <c r="A10" t="s">
        <v>8</v>
      </c>
      <c r="B10" s="1">
        <v>2297</v>
      </c>
      <c r="C10">
        <v>7826</v>
      </c>
      <c r="D10"/>
      <c r="E10">
        <v>25650</v>
      </c>
      <c r="F10"/>
      <c r="G10">
        <v>3925</v>
      </c>
      <c r="H10"/>
      <c r="I10">
        <v>1536</v>
      </c>
      <c r="K10" s="10">
        <f t="shared" si="0"/>
        <v>38937</v>
      </c>
    </row>
    <row r="11" spans="1:12" x14ac:dyDescent="0.25">
      <c r="A11" t="s">
        <v>9</v>
      </c>
      <c r="B11" s="1">
        <v>2298</v>
      </c>
      <c r="C11">
        <v>194341</v>
      </c>
      <c r="D11"/>
      <c r="E11">
        <v>201694</v>
      </c>
      <c r="F11"/>
      <c r="G11">
        <v>70992</v>
      </c>
      <c r="H11"/>
      <c r="I11">
        <v>18240</v>
      </c>
      <c r="K11" s="10">
        <f t="shared" si="0"/>
        <v>485267</v>
      </c>
    </row>
    <row r="12" spans="1:12" x14ac:dyDescent="0.25">
      <c r="A12" t="s">
        <v>10</v>
      </c>
      <c r="B12" s="1">
        <v>2299</v>
      </c>
      <c r="C12">
        <v>39286</v>
      </c>
      <c r="D12"/>
      <c r="E12">
        <v>82938</v>
      </c>
      <c r="F12"/>
      <c r="G12">
        <v>16441</v>
      </c>
      <c r="H12"/>
      <c r="I12">
        <v>5137</v>
      </c>
      <c r="K12" s="10">
        <f t="shared" si="0"/>
        <v>143802</v>
      </c>
    </row>
    <row r="13" spans="1:12" x14ac:dyDescent="0.25">
      <c r="A13" t="s">
        <v>11</v>
      </c>
      <c r="B13" s="1">
        <v>2300</v>
      </c>
      <c r="C13">
        <v>29355</v>
      </c>
      <c r="D13"/>
      <c r="E13">
        <v>46488</v>
      </c>
      <c r="F13"/>
      <c r="G13">
        <v>7926</v>
      </c>
      <c r="H13"/>
      <c r="I13">
        <v>2131</v>
      </c>
      <c r="K13" s="10">
        <f t="shared" si="0"/>
        <v>85900</v>
      </c>
    </row>
    <row r="14" spans="1:12" x14ac:dyDescent="0.25">
      <c r="A14" t="s">
        <v>12</v>
      </c>
      <c r="B14" s="1">
        <v>2301</v>
      </c>
      <c r="C14">
        <v>661</v>
      </c>
      <c r="D14"/>
      <c r="E14">
        <v>1839</v>
      </c>
      <c r="F14"/>
      <c r="G14">
        <v>254</v>
      </c>
      <c r="H14"/>
      <c r="I14">
        <v>124</v>
      </c>
      <c r="K14" s="10">
        <f t="shared" si="0"/>
        <v>2878</v>
      </c>
    </row>
    <row r="15" spans="1:12" x14ac:dyDescent="0.25">
      <c r="A15" t="s">
        <v>13</v>
      </c>
      <c r="B15" s="1">
        <v>2302</v>
      </c>
      <c r="C15">
        <v>14072</v>
      </c>
      <c r="D15"/>
      <c r="E15">
        <v>23944</v>
      </c>
      <c r="F15"/>
      <c r="G15">
        <v>5887</v>
      </c>
      <c r="H15"/>
      <c r="I15">
        <v>1885</v>
      </c>
      <c r="K15" s="10">
        <f t="shared" si="0"/>
        <v>45788</v>
      </c>
    </row>
    <row r="16" spans="1:12" x14ac:dyDescent="0.25">
      <c r="A16" t="s">
        <v>14</v>
      </c>
      <c r="B16" s="1">
        <v>2303</v>
      </c>
      <c r="C16">
        <v>41532</v>
      </c>
      <c r="D16"/>
      <c r="E16">
        <v>41765</v>
      </c>
      <c r="F16"/>
      <c r="G16">
        <v>16189</v>
      </c>
      <c r="H16"/>
      <c r="I16">
        <v>2693</v>
      </c>
      <c r="K16" s="10">
        <f t="shared" si="0"/>
        <v>102179</v>
      </c>
    </row>
    <row r="17" spans="1:11" x14ac:dyDescent="0.25">
      <c r="A17" t="s">
        <v>15</v>
      </c>
      <c r="B17" s="1">
        <v>2304</v>
      </c>
      <c r="C17">
        <v>161288</v>
      </c>
      <c r="D17"/>
      <c r="E17">
        <v>151691</v>
      </c>
      <c r="F17"/>
      <c r="G17">
        <v>59155</v>
      </c>
      <c r="H17"/>
      <c r="I17">
        <v>17830</v>
      </c>
      <c r="K17" s="10">
        <f t="shared" si="0"/>
        <v>389964</v>
      </c>
    </row>
    <row r="18" spans="1:11" x14ac:dyDescent="0.25">
      <c r="A18" t="s">
        <v>16</v>
      </c>
      <c r="B18" s="1">
        <v>2305</v>
      </c>
      <c r="C18">
        <v>5043</v>
      </c>
      <c r="D18"/>
      <c r="E18">
        <v>15513</v>
      </c>
      <c r="F18"/>
      <c r="G18">
        <v>2076</v>
      </c>
      <c r="H18"/>
      <c r="I18">
        <v>644</v>
      </c>
      <c r="K18" s="10">
        <f t="shared" si="0"/>
        <v>23276</v>
      </c>
    </row>
    <row r="19" spans="1:11" x14ac:dyDescent="0.25">
      <c r="A19" t="s">
        <v>17</v>
      </c>
      <c r="B19" s="1">
        <v>2306</v>
      </c>
      <c r="C19">
        <v>12028</v>
      </c>
      <c r="D19"/>
      <c r="E19">
        <v>31423</v>
      </c>
      <c r="F19"/>
      <c r="G19">
        <v>4335</v>
      </c>
      <c r="H19"/>
      <c r="I19">
        <v>1786</v>
      </c>
      <c r="K19" s="10">
        <f t="shared" si="0"/>
        <v>49572</v>
      </c>
    </row>
    <row r="20" spans="1:11" x14ac:dyDescent="0.25">
      <c r="A20" t="s">
        <v>18</v>
      </c>
      <c r="B20" s="1">
        <v>2307</v>
      </c>
      <c r="C20">
        <v>6082</v>
      </c>
      <c r="D20"/>
      <c r="E20">
        <v>13264</v>
      </c>
      <c r="F20"/>
      <c r="G20">
        <v>2445</v>
      </c>
      <c r="H20"/>
      <c r="I20">
        <v>743</v>
      </c>
      <c r="K20" s="10">
        <f t="shared" si="0"/>
        <v>22534</v>
      </c>
    </row>
    <row r="21" spans="1:11" x14ac:dyDescent="0.25">
      <c r="A21" t="s">
        <v>19</v>
      </c>
      <c r="B21" s="1">
        <v>2308</v>
      </c>
      <c r="C21">
        <v>11797</v>
      </c>
      <c r="D21"/>
      <c r="E21">
        <v>22430</v>
      </c>
      <c r="F21"/>
      <c r="G21">
        <v>4874</v>
      </c>
      <c r="H21"/>
      <c r="I21">
        <v>1490</v>
      </c>
      <c r="K21" s="10">
        <f t="shared" si="0"/>
        <v>40591</v>
      </c>
    </row>
    <row r="22" spans="1:11" x14ac:dyDescent="0.25">
      <c r="A22" t="s">
        <v>20</v>
      </c>
      <c r="B22" s="1">
        <v>2309</v>
      </c>
      <c r="C22">
        <v>14413</v>
      </c>
      <c r="D22"/>
      <c r="E22">
        <v>31779</v>
      </c>
      <c r="F22"/>
      <c r="G22">
        <v>4968</v>
      </c>
      <c r="H22"/>
      <c r="I22">
        <v>1832</v>
      </c>
      <c r="K22" s="10">
        <f t="shared" si="0"/>
        <v>52992</v>
      </c>
    </row>
    <row r="23" spans="1:11" x14ac:dyDescent="0.25">
      <c r="A23" t="s">
        <v>21</v>
      </c>
      <c r="B23" s="1">
        <v>2310</v>
      </c>
      <c r="C23">
        <v>61935</v>
      </c>
      <c r="D23"/>
      <c r="E23">
        <v>88180</v>
      </c>
      <c r="F23"/>
      <c r="G23">
        <v>27502</v>
      </c>
      <c r="H23"/>
      <c r="I23">
        <v>6506</v>
      </c>
      <c r="K23" s="10">
        <f t="shared" si="0"/>
        <v>184123</v>
      </c>
    </row>
    <row r="24" spans="1:11" x14ac:dyDescent="0.25">
      <c r="A24" t="s">
        <v>22</v>
      </c>
      <c r="B24" s="1">
        <v>2311</v>
      </c>
      <c r="C24">
        <v>86902</v>
      </c>
      <c r="D24"/>
      <c r="E24">
        <v>75882</v>
      </c>
      <c r="F24"/>
      <c r="G24">
        <v>31618</v>
      </c>
      <c r="H24"/>
      <c r="I24">
        <v>7229</v>
      </c>
      <c r="K24" s="10">
        <f t="shared" si="0"/>
        <v>201631</v>
      </c>
    </row>
    <row r="25" spans="1:11" x14ac:dyDescent="0.25">
      <c r="A25" t="s">
        <v>23</v>
      </c>
      <c r="B25" s="1">
        <v>2312</v>
      </c>
      <c r="C25">
        <v>203417</v>
      </c>
      <c r="D25"/>
      <c r="E25">
        <v>142612</v>
      </c>
      <c r="F25"/>
      <c r="G25">
        <v>49879</v>
      </c>
      <c r="H25"/>
      <c r="I25">
        <v>15635</v>
      </c>
      <c r="K25" s="10">
        <f t="shared" si="0"/>
        <v>411543</v>
      </c>
    </row>
    <row r="26" spans="1:11" x14ac:dyDescent="0.25">
      <c r="A26" t="s">
        <v>24</v>
      </c>
      <c r="B26" s="1">
        <v>2313</v>
      </c>
      <c r="C26">
        <v>5758</v>
      </c>
      <c r="D26"/>
      <c r="E26">
        <v>12120</v>
      </c>
      <c r="F26"/>
      <c r="G26">
        <v>1781</v>
      </c>
      <c r="H26"/>
      <c r="I26">
        <v>776</v>
      </c>
      <c r="K26" s="10">
        <f t="shared" si="0"/>
        <v>20435</v>
      </c>
    </row>
    <row r="27" spans="1:11" x14ac:dyDescent="0.25">
      <c r="A27" t="s">
        <v>25</v>
      </c>
      <c r="B27" s="1">
        <v>2314</v>
      </c>
      <c r="C27">
        <v>76485</v>
      </c>
      <c r="D27"/>
      <c r="E27">
        <v>70786</v>
      </c>
      <c r="F27"/>
      <c r="G27">
        <v>20909</v>
      </c>
      <c r="H27"/>
      <c r="I27">
        <v>6648</v>
      </c>
      <c r="K27" s="10">
        <f t="shared" si="0"/>
        <v>174828</v>
      </c>
    </row>
    <row r="28" spans="1:11" x14ac:dyDescent="0.25">
      <c r="A28" t="s">
        <v>26</v>
      </c>
      <c r="B28" s="1">
        <v>2315</v>
      </c>
      <c r="C28">
        <v>29417</v>
      </c>
      <c r="D28"/>
      <c r="E28">
        <v>41320</v>
      </c>
      <c r="F28"/>
      <c r="G28">
        <v>6740</v>
      </c>
      <c r="H28"/>
      <c r="I28">
        <v>2065</v>
      </c>
      <c r="K28" s="10">
        <f t="shared" si="0"/>
        <v>79542</v>
      </c>
    </row>
    <row r="29" spans="1:11" x14ac:dyDescent="0.25">
      <c r="A29" t="s">
        <v>27</v>
      </c>
      <c r="B29" s="1">
        <v>2316</v>
      </c>
      <c r="C29">
        <v>788</v>
      </c>
      <c r="D29"/>
      <c r="E29">
        <v>2063</v>
      </c>
      <c r="F29"/>
      <c r="G29">
        <v>282</v>
      </c>
      <c r="H29"/>
      <c r="I29">
        <v>125</v>
      </c>
      <c r="K29" s="10">
        <f t="shared" si="0"/>
        <v>3258</v>
      </c>
    </row>
    <row r="30" spans="1:11" x14ac:dyDescent="0.25">
      <c r="A30" t="s">
        <v>28</v>
      </c>
      <c r="B30" s="1">
        <v>2317</v>
      </c>
      <c r="C30">
        <v>23557</v>
      </c>
      <c r="D30"/>
      <c r="E30">
        <v>64261</v>
      </c>
      <c r="F30"/>
      <c r="G30">
        <v>14225</v>
      </c>
      <c r="H30"/>
      <c r="I30">
        <v>3432</v>
      </c>
      <c r="K30" s="10">
        <f t="shared" si="0"/>
        <v>105475</v>
      </c>
    </row>
    <row r="31" spans="1:11" x14ac:dyDescent="0.25">
      <c r="A31" t="s">
        <v>29</v>
      </c>
      <c r="B31" s="1">
        <v>2318</v>
      </c>
      <c r="C31">
        <v>1477</v>
      </c>
      <c r="D31"/>
      <c r="E31">
        <v>7467</v>
      </c>
      <c r="F31"/>
      <c r="G31">
        <v>916</v>
      </c>
      <c r="H31"/>
      <c r="I31">
        <v>263</v>
      </c>
      <c r="K31" s="10">
        <f t="shared" si="0"/>
        <v>10123</v>
      </c>
    </row>
    <row r="32" spans="1:11" x14ac:dyDescent="0.25">
      <c r="A32" t="s">
        <v>30</v>
      </c>
      <c r="B32" s="1">
        <v>2319</v>
      </c>
      <c r="C32">
        <v>7334</v>
      </c>
      <c r="D32"/>
      <c r="E32">
        <v>12189</v>
      </c>
      <c r="F32"/>
      <c r="G32">
        <v>1663</v>
      </c>
      <c r="H32"/>
      <c r="I32">
        <v>605</v>
      </c>
      <c r="K32" s="10">
        <f t="shared" si="0"/>
        <v>21791</v>
      </c>
    </row>
    <row r="33" spans="1:11" x14ac:dyDescent="0.25">
      <c r="A33" t="s">
        <v>31</v>
      </c>
      <c r="B33" s="1">
        <v>2320</v>
      </c>
      <c r="C33">
        <v>6010</v>
      </c>
      <c r="D33"/>
      <c r="E33">
        <v>18880</v>
      </c>
      <c r="F33"/>
      <c r="G33">
        <v>2386</v>
      </c>
      <c r="H33"/>
      <c r="I33">
        <v>599</v>
      </c>
      <c r="K33" s="10">
        <f t="shared" si="0"/>
        <v>27875</v>
      </c>
    </row>
    <row r="34" spans="1:11" x14ac:dyDescent="0.25">
      <c r="A34" t="s">
        <v>32</v>
      </c>
      <c r="B34" s="1">
        <v>2321</v>
      </c>
      <c r="C34">
        <v>13866</v>
      </c>
      <c r="D34"/>
      <c r="E34">
        <v>28855</v>
      </c>
      <c r="F34"/>
      <c r="G34">
        <v>4696</v>
      </c>
      <c r="H34"/>
      <c r="I34">
        <v>1687</v>
      </c>
      <c r="K34" s="10">
        <f t="shared" si="0"/>
        <v>49104</v>
      </c>
    </row>
    <row r="35" spans="1:11" x14ac:dyDescent="0.25">
      <c r="A35" t="s">
        <v>33</v>
      </c>
      <c r="B35" s="1">
        <v>2322</v>
      </c>
      <c r="C35">
        <v>5419</v>
      </c>
      <c r="D35"/>
      <c r="E35">
        <v>19406</v>
      </c>
      <c r="F35"/>
      <c r="G35">
        <v>2298</v>
      </c>
      <c r="H35"/>
      <c r="I35">
        <v>933</v>
      </c>
      <c r="K35" s="10">
        <f t="shared" ref="K35:K69" si="1">SUM(C35+E35+G35+I35)</f>
        <v>28056</v>
      </c>
    </row>
    <row r="36" spans="1:11" x14ac:dyDescent="0.25">
      <c r="A36" t="s">
        <v>34</v>
      </c>
      <c r="B36" s="1">
        <v>2323</v>
      </c>
      <c r="C36">
        <v>2543</v>
      </c>
      <c r="D36"/>
      <c r="E36">
        <v>10018</v>
      </c>
      <c r="F36"/>
      <c r="G36">
        <v>1181</v>
      </c>
      <c r="H36"/>
      <c r="I36">
        <v>334</v>
      </c>
      <c r="K36" s="10">
        <f t="shared" si="1"/>
        <v>14076</v>
      </c>
    </row>
    <row r="37" spans="1:11" x14ac:dyDescent="0.25">
      <c r="A37" t="s">
        <v>35</v>
      </c>
      <c r="B37" s="1">
        <v>2324</v>
      </c>
      <c r="C37">
        <v>76901</v>
      </c>
      <c r="D37"/>
      <c r="E37">
        <v>52276</v>
      </c>
      <c r="F37"/>
      <c r="G37">
        <v>17415</v>
      </c>
      <c r="H37"/>
      <c r="I37">
        <v>3512</v>
      </c>
      <c r="K37" s="10">
        <f t="shared" si="1"/>
        <v>150104</v>
      </c>
    </row>
    <row r="38" spans="1:11" x14ac:dyDescent="0.25">
      <c r="A38" t="s">
        <v>36</v>
      </c>
      <c r="B38" s="1">
        <v>2325</v>
      </c>
      <c r="C38">
        <v>113419</v>
      </c>
      <c r="D38"/>
      <c r="E38">
        <v>183635</v>
      </c>
      <c r="F38"/>
      <c r="G38">
        <v>51892</v>
      </c>
      <c r="H38"/>
      <c r="I38">
        <v>16043</v>
      </c>
      <c r="K38" s="10">
        <f t="shared" si="1"/>
        <v>364989</v>
      </c>
    </row>
    <row r="39" spans="1:11" x14ac:dyDescent="0.25">
      <c r="A39" t="s">
        <v>37</v>
      </c>
      <c r="B39" s="1">
        <v>2326</v>
      </c>
      <c r="C39">
        <v>19660</v>
      </c>
      <c r="D39"/>
      <c r="E39">
        <v>30100</v>
      </c>
      <c r="F39"/>
      <c r="G39">
        <v>5664</v>
      </c>
      <c r="H39"/>
      <c r="I39">
        <v>1888</v>
      </c>
      <c r="K39" s="10">
        <f t="shared" si="1"/>
        <v>57312</v>
      </c>
    </row>
    <row r="40" spans="1:11" x14ac:dyDescent="0.25">
      <c r="A40" t="s">
        <v>38</v>
      </c>
      <c r="B40" s="1">
        <v>2327</v>
      </c>
      <c r="C40">
        <v>25531</v>
      </c>
      <c r="D40"/>
      <c r="E40">
        <v>52666</v>
      </c>
      <c r="F40"/>
      <c r="G40">
        <v>12422</v>
      </c>
      <c r="H40"/>
      <c r="I40">
        <v>3685</v>
      </c>
      <c r="K40" s="10">
        <f t="shared" si="1"/>
        <v>94304</v>
      </c>
    </row>
    <row r="41" spans="1:11" x14ac:dyDescent="0.25">
      <c r="A41" t="s">
        <v>39</v>
      </c>
      <c r="B41" s="1">
        <v>2328</v>
      </c>
      <c r="C41">
        <v>112017</v>
      </c>
      <c r="D41"/>
      <c r="E41">
        <v>89438</v>
      </c>
      <c r="F41"/>
      <c r="G41">
        <v>45897</v>
      </c>
      <c r="H41"/>
      <c r="I41">
        <v>7335</v>
      </c>
      <c r="K41" s="10">
        <f t="shared" si="1"/>
        <v>254687</v>
      </c>
    </row>
    <row r="42" spans="1:11" x14ac:dyDescent="0.25">
      <c r="A42" t="s">
        <v>40</v>
      </c>
      <c r="B42" s="1">
        <v>2329</v>
      </c>
      <c r="C42">
        <v>85715</v>
      </c>
      <c r="D42"/>
      <c r="E42">
        <v>90778</v>
      </c>
      <c r="F42"/>
      <c r="G42">
        <v>25949</v>
      </c>
      <c r="H42"/>
      <c r="I42">
        <v>5710</v>
      </c>
      <c r="K42" s="10">
        <f t="shared" si="1"/>
        <v>208152</v>
      </c>
    </row>
    <row r="43" spans="1:11" x14ac:dyDescent="0.25">
      <c r="A43" t="s">
        <v>41</v>
      </c>
      <c r="B43" s="1">
        <v>2330</v>
      </c>
      <c r="C43">
        <v>18230</v>
      </c>
      <c r="D43"/>
      <c r="E43">
        <v>43721</v>
      </c>
      <c r="F43"/>
      <c r="G43">
        <v>8043</v>
      </c>
      <c r="H43"/>
      <c r="I43">
        <v>2709</v>
      </c>
      <c r="K43" s="10">
        <f t="shared" si="1"/>
        <v>72703</v>
      </c>
    </row>
    <row r="44" spans="1:11" x14ac:dyDescent="0.25">
      <c r="A44" t="s">
        <v>91</v>
      </c>
      <c r="B44" s="1">
        <v>2331</v>
      </c>
      <c r="C44">
        <v>5315</v>
      </c>
      <c r="D44"/>
      <c r="E44">
        <v>16219</v>
      </c>
      <c r="F44"/>
      <c r="G44">
        <v>2761</v>
      </c>
      <c r="H44"/>
      <c r="I44">
        <v>1027</v>
      </c>
      <c r="K44" s="10">
        <f t="shared" si="1"/>
        <v>25322</v>
      </c>
    </row>
    <row r="45" spans="1:11" x14ac:dyDescent="0.25">
      <c r="A45" t="s">
        <v>43</v>
      </c>
      <c r="B45" s="1">
        <v>2332</v>
      </c>
      <c r="C45">
        <v>23164</v>
      </c>
      <c r="D45"/>
      <c r="E45">
        <v>38306</v>
      </c>
      <c r="F45"/>
      <c r="G45">
        <v>8454</v>
      </c>
      <c r="H45"/>
      <c r="I45">
        <v>2033</v>
      </c>
      <c r="K45" s="10">
        <f t="shared" si="1"/>
        <v>71957</v>
      </c>
    </row>
    <row r="46" spans="1:11" x14ac:dyDescent="0.25">
      <c r="A46" t="s">
        <v>44</v>
      </c>
      <c r="B46" s="1">
        <v>2333</v>
      </c>
      <c r="C46">
        <v>5387</v>
      </c>
      <c r="D46"/>
      <c r="E46">
        <v>18637</v>
      </c>
      <c r="F46"/>
      <c r="G46">
        <v>2514</v>
      </c>
      <c r="H46"/>
      <c r="I46">
        <v>621</v>
      </c>
      <c r="K46" s="10">
        <f t="shared" si="1"/>
        <v>27159</v>
      </c>
    </row>
    <row r="47" spans="1:11" x14ac:dyDescent="0.25">
      <c r="A47" t="s">
        <v>45</v>
      </c>
      <c r="B47" s="1">
        <v>2334</v>
      </c>
      <c r="C47">
        <v>48732</v>
      </c>
      <c r="D47"/>
      <c r="E47">
        <v>43385</v>
      </c>
      <c r="F47"/>
      <c r="G47">
        <v>20832</v>
      </c>
      <c r="H47"/>
      <c r="I47">
        <v>4981</v>
      </c>
      <c r="K47" s="10">
        <f t="shared" si="1"/>
        <v>117930</v>
      </c>
    </row>
    <row r="48" spans="1:11" x14ac:dyDescent="0.25">
      <c r="A48" t="s">
        <v>46</v>
      </c>
      <c r="B48" s="1">
        <v>2335</v>
      </c>
      <c r="C48">
        <v>306064</v>
      </c>
      <c r="D48"/>
      <c r="E48">
        <v>207536</v>
      </c>
      <c r="F48"/>
      <c r="G48">
        <v>85385</v>
      </c>
      <c r="H48"/>
      <c r="I48">
        <v>25826</v>
      </c>
      <c r="K48" s="10">
        <f t="shared" si="1"/>
        <v>624811</v>
      </c>
    </row>
    <row r="49" spans="1:11" x14ac:dyDescent="0.25">
      <c r="A49" t="s">
        <v>47</v>
      </c>
      <c r="B49" s="1">
        <v>2336</v>
      </c>
      <c r="C49">
        <v>3776</v>
      </c>
      <c r="D49"/>
      <c r="E49">
        <v>6556</v>
      </c>
      <c r="F49"/>
      <c r="G49">
        <v>1624</v>
      </c>
      <c r="H49"/>
      <c r="I49">
        <v>413</v>
      </c>
      <c r="K49" s="10">
        <f t="shared" si="1"/>
        <v>12369</v>
      </c>
    </row>
    <row r="50" spans="1:11" x14ac:dyDescent="0.25">
      <c r="A50" t="s">
        <v>48</v>
      </c>
      <c r="B50" s="1">
        <v>2337</v>
      </c>
      <c r="C50">
        <v>96471</v>
      </c>
      <c r="D50"/>
      <c r="E50">
        <v>86938</v>
      </c>
      <c r="F50"/>
      <c r="G50">
        <v>40018</v>
      </c>
      <c r="H50"/>
      <c r="I50">
        <v>9540</v>
      </c>
      <c r="K50" s="10">
        <f t="shared" si="1"/>
        <v>232967</v>
      </c>
    </row>
    <row r="51" spans="1:11" x14ac:dyDescent="0.25">
      <c r="A51" t="s">
        <v>49</v>
      </c>
      <c r="B51" s="1">
        <v>2338</v>
      </c>
      <c r="C51">
        <v>15341</v>
      </c>
      <c r="D51"/>
      <c r="E51">
        <v>31943</v>
      </c>
      <c r="F51"/>
      <c r="G51">
        <v>5866</v>
      </c>
      <c r="H51"/>
      <c r="I51">
        <v>2239</v>
      </c>
      <c r="K51" s="10">
        <f t="shared" si="1"/>
        <v>55389</v>
      </c>
    </row>
    <row r="52" spans="1:11" x14ac:dyDescent="0.25">
      <c r="A52" t="s">
        <v>50</v>
      </c>
      <c r="B52" s="1">
        <v>2339</v>
      </c>
      <c r="C52">
        <v>6028</v>
      </c>
      <c r="D52"/>
      <c r="E52">
        <v>20941</v>
      </c>
      <c r="F52"/>
      <c r="G52">
        <v>3456</v>
      </c>
      <c r="H52"/>
      <c r="I52">
        <v>856</v>
      </c>
      <c r="K52" s="10">
        <f t="shared" si="1"/>
        <v>31281</v>
      </c>
    </row>
    <row r="53" spans="1:11" x14ac:dyDescent="0.25">
      <c r="A53" t="s">
        <v>51</v>
      </c>
      <c r="B53" s="1">
        <v>2340</v>
      </c>
      <c r="C53">
        <v>781188</v>
      </c>
      <c r="D53"/>
      <c r="E53">
        <v>131276</v>
      </c>
      <c r="F53"/>
      <c r="G53">
        <v>155279</v>
      </c>
      <c r="H53"/>
      <c r="I53">
        <v>26408</v>
      </c>
      <c r="K53" s="10">
        <f t="shared" si="1"/>
        <v>1094151</v>
      </c>
    </row>
    <row r="54" spans="1:11" x14ac:dyDescent="0.25">
      <c r="A54" t="s">
        <v>52</v>
      </c>
      <c r="B54" s="1">
        <v>2341</v>
      </c>
      <c r="C54">
        <v>13634</v>
      </c>
      <c r="D54"/>
      <c r="E54">
        <v>23126</v>
      </c>
      <c r="F54"/>
      <c r="G54">
        <v>8547</v>
      </c>
      <c r="H54"/>
      <c r="I54">
        <v>2139</v>
      </c>
      <c r="K54" s="10">
        <f t="shared" si="1"/>
        <v>47446</v>
      </c>
    </row>
    <row r="55" spans="1:11" x14ac:dyDescent="0.25">
      <c r="A55" t="s">
        <v>53</v>
      </c>
      <c r="B55" s="1">
        <v>2342</v>
      </c>
      <c r="C55">
        <v>1736</v>
      </c>
      <c r="D55"/>
      <c r="E55">
        <v>7988</v>
      </c>
      <c r="F55"/>
      <c r="G55">
        <v>998</v>
      </c>
      <c r="H55"/>
      <c r="I55">
        <v>271</v>
      </c>
      <c r="K55" s="10">
        <f t="shared" si="1"/>
        <v>10993</v>
      </c>
    </row>
    <row r="56" spans="1:11" x14ac:dyDescent="0.25">
      <c r="A56" t="s">
        <v>54</v>
      </c>
      <c r="B56" s="1">
        <v>2343</v>
      </c>
      <c r="C56">
        <v>25393</v>
      </c>
      <c r="D56"/>
      <c r="E56">
        <v>53173</v>
      </c>
      <c r="F56"/>
      <c r="G56">
        <v>10222</v>
      </c>
      <c r="H56"/>
      <c r="I56">
        <v>3754</v>
      </c>
      <c r="K56" s="10">
        <f t="shared" si="1"/>
        <v>92542</v>
      </c>
    </row>
    <row r="57" spans="1:11" x14ac:dyDescent="0.25">
      <c r="A57" t="s">
        <v>55</v>
      </c>
      <c r="B57" s="1">
        <v>2344</v>
      </c>
      <c r="C57">
        <v>4895</v>
      </c>
      <c r="D57"/>
      <c r="E57">
        <v>15937</v>
      </c>
      <c r="F57"/>
      <c r="G57">
        <v>2357</v>
      </c>
      <c r="H57"/>
      <c r="I57">
        <v>672</v>
      </c>
      <c r="K57" s="10">
        <f t="shared" si="1"/>
        <v>23861</v>
      </c>
    </row>
    <row r="58" spans="1:11" x14ac:dyDescent="0.25">
      <c r="A58" t="s">
        <v>56</v>
      </c>
      <c r="B58" s="1">
        <v>2345</v>
      </c>
      <c r="C58">
        <v>10492</v>
      </c>
      <c r="D58"/>
      <c r="E58">
        <v>32808</v>
      </c>
      <c r="F58"/>
      <c r="G58">
        <v>4433</v>
      </c>
      <c r="H58"/>
      <c r="I58">
        <v>776</v>
      </c>
      <c r="K58" s="10">
        <f t="shared" si="1"/>
        <v>48509</v>
      </c>
    </row>
    <row r="59" spans="1:11" x14ac:dyDescent="0.25">
      <c r="A59" t="s">
        <v>57</v>
      </c>
      <c r="B59" s="1">
        <v>2346</v>
      </c>
      <c r="C59">
        <v>1070</v>
      </c>
      <c r="D59"/>
      <c r="E59">
        <v>2854</v>
      </c>
      <c r="F59"/>
      <c r="G59">
        <v>384</v>
      </c>
      <c r="H59"/>
      <c r="I59">
        <v>158</v>
      </c>
      <c r="K59" s="10">
        <f t="shared" si="1"/>
        <v>4466</v>
      </c>
    </row>
    <row r="60" spans="1:11" x14ac:dyDescent="0.25">
      <c r="A60" t="s">
        <v>58</v>
      </c>
      <c r="B60" s="1">
        <v>2347</v>
      </c>
      <c r="C60">
        <v>6138</v>
      </c>
      <c r="D60"/>
      <c r="E60">
        <v>17279</v>
      </c>
      <c r="F60"/>
      <c r="G60">
        <v>2893</v>
      </c>
      <c r="H60"/>
      <c r="I60">
        <v>1120</v>
      </c>
      <c r="K60" s="10">
        <f t="shared" si="1"/>
        <v>27430</v>
      </c>
    </row>
    <row r="61" spans="1:11" x14ac:dyDescent="0.25">
      <c r="A61" t="s">
        <v>59</v>
      </c>
      <c r="B61" s="1">
        <v>2348</v>
      </c>
      <c r="C61">
        <v>4934</v>
      </c>
      <c r="D61"/>
      <c r="E61">
        <v>18110</v>
      </c>
      <c r="F61"/>
      <c r="G61">
        <v>2984</v>
      </c>
      <c r="H61"/>
      <c r="I61">
        <v>795</v>
      </c>
      <c r="K61" s="10">
        <f t="shared" si="1"/>
        <v>26823</v>
      </c>
    </row>
    <row r="62" spans="1:11" x14ac:dyDescent="0.25">
      <c r="A62" t="s">
        <v>60</v>
      </c>
      <c r="B62" s="1">
        <v>2349</v>
      </c>
      <c r="C62">
        <v>7877</v>
      </c>
      <c r="D62"/>
      <c r="E62">
        <v>14377</v>
      </c>
      <c r="F62"/>
      <c r="G62">
        <v>3276</v>
      </c>
      <c r="H62"/>
      <c r="I62">
        <v>980</v>
      </c>
      <c r="K62" s="10">
        <f t="shared" si="1"/>
        <v>26510</v>
      </c>
    </row>
    <row r="63" spans="1:11" x14ac:dyDescent="0.25">
      <c r="A63" t="s">
        <v>61</v>
      </c>
      <c r="B63" s="1">
        <v>2350</v>
      </c>
      <c r="C63">
        <v>8032</v>
      </c>
      <c r="D63"/>
      <c r="E63">
        <v>20136</v>
      </c>
      <c r="F63"/>
      <c r="G63">
        <v>3466</v>
      </c>
      <c r="H63"/>
      <c r="I63">
        <v>1218</v>
      </c>
      <c r="K63" s="10">
        <f t="shared" si="1"/>
        <v>32852</v>
      </c>
    </row>
    <row r="64" spans="1:11" x14ac:dyDescent="0.25">
      <c r="A64" t="s">
        <v>62</v>
      </c>
      <c r="B64" s="1">
        <v>2351</v>
      </c>
      <c r="C64">
        <v>6342</v>
      </c>
      <c r="D64"/>
      <c r="E64">
        <v>15227</v>
      </c>
      <c r="F64"/>
      <c r="G64">
        <v>2603</v>
      </c>
      <c r="H64"/>
      <c r="I64">
        <v>1248</v>
      </c>
      <c r="K64" s="10">
        <f t="shared" si="1"/>
        <v>25420</v>
      </c>
    </row>
    <row r="65" spans="1:11" x14ac:dyDescent="0.25">
      <c r="A65" t="s">
        <v>63</v>
      </c>
      <c r="B65" s="1">
        <v>2352</v>
      </c>
      <c r="C65">
        <v>52617</v>
      </c>
      <c r="D65"/>
      <c r="E65">
        <v>72730</v>
      </c>
      <c r="F65"/>
      <c r="G65">
        <v>16020</v>
      </c>
      <c r="H65"/>
      <c r="I65">
        <v>3767</v>
      </c>
      <c r="K65" s="10">
        <f t="shared" si="1"/>
        <v>145134</v>
      </c>
    </row>
    <row r="66" spans="1:11" x14ac:dyDescent="0.25">
      <c r="A66" t="s">
        <v>64</v>
      </c>
      <c r="B66" s="1">
        <v>2353</v>
      </c>
      <c r="C66">
        <v>8714</v>
      </c>
      <c r="D66"/>
      <c r="E66">
        <v>21740</v>
      </c>
      <c r="F66"/>
      <c r="G66">
        <v>5221</v>
      </c>
      <c r="H66"/>
      <c r="I66">
        <v>1054</v>
      </c>
      <c r="K66" s="10">
        <f t="shared" si="1"/>
        <v>36729</v>
      </c>
    </row>
    <row r="67" spans="1:11" x14ac:dyDescent="0.25">
      <c r="A67" t="s">
        <v>65</v>
      </c>
      <c r="B67" s="1">
        <v>2354</v>
      </c>
      <c r="C67">
        <v>86738</v>
      </c>
      <c r="D67"/>
      <c r="E67">
        <v>130782</v>
      </c>
      <c r="F67"/>
      <c r="G67">
        <v>24069</v>
      </c>
      <c r="H67"/>
      <c r="I67">
        <v>9182</v>
      </c>
      <c r="K67" s="10">
        <f t="shared" si="1"/>
        <v>250771</v>
      </c>
    </row>
    <row r="68" spans="1:11" x14ac:dyDescent="0.25">
      <c r="A68" t="s">
        <v>66</v>
      </c>
      <c r="B68" s="1">
        <v>2355</v>
      </c>
      <c r="C68">
        <v>4711</v>
      </c>
      <c r="D68"/>
      <c r="E68">
        <v>11303</v>
      </c>
      <c r="F68"/>
      <c r="G68">
        <v>1835</v>
      </c>
      <c r="H68"/>
      <c r="I68">
        <v>654</v>
      </c>
      <c r="K68" s="10">
        <f t="shared" si="1"/>
        <v>18503</v>
      </c>
    </row>
    <row r="69" spans="1:11" ht="13.8" thickBot="1" x14ac:dyDescent="0.3">
      <c r="A69" s="2" t="s">
        <v>67</v>
      </c>
      <c r="B69" s="5">
        <v>2356</v>
      </c>
      <c r="C69">
        <v>96794</v>
      </c>
      <c r="D69"/>
      <c r="E69">
        <v>168334</v>
      </c>
      <c r="F69"/>
      <c r="G69">
        <v>54388</v>
      </c>
      <c r="H69"/>
      <c r="I69">
        <v>8909</v>
      </c>
      <c r="J69" s="13"/>
      <c r="K69" s="10">
        <f t="shared" si="1"/>
        <v>328425</v>
      </c>
    </row>
    <row r="70" spans="1:11" ht="21.75" customHeight="1" x14ac:dyDescent="0.25">
      <c r="A70" s="6" t="s">
        <v>68</v>
      </c>
      <c r="C70" s="14">
        <f>SUM(C3:C69)</f>
        <v>3855021</v>
      </c>
      <c r="D70" s="14"/>
      <c r="E70" s="14">
        <f>SUM(E3:E69)</f>
        <v>3634282</v>
      </c>
      <c r="F70" s="14"/>
      <c r="G70" s="14">
        <f>SUM(G3:G69)</f>
        <v>1197088</v>
      </c>
      <c r="H70" s="14"/>
      <c r="I70" s="14">
        <f>SUM(I3:I69)</f>
        <v>314047</v>
      </c>
      <c r="J70" s="14"/>
      <c r="K70" s="44">
        <f>SUM(K3:K69)</f>
        <v>9000438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L2" sqref="L2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6</v>
      </c>
      <c r="C4" s="42">
        <v>9</v>
      </c>
      <c r="D4" s="42">
        <v>5</v>
      </c>
      <c r="E4" s="42">
        <v>10</v>
      </c>
      <c r="F4" s="42">
        <v>134</v>
      </c>
      <c r="G4" s="42">
        <v>171</v>
      </c>
      <c r="H4" s="42">
        <v>133</v>
      </c>
      <c r="I4" s="42">
        <v>180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63</v>
      </c>
      <c r="C5" s="42">
        <v>188</v>
      </c>
      <c r="D5" s="42">
        <v>73</v>
      </c>
      <c r="E5" s="42">
        <v>35</v>
      </c>
      <c r="F5" s="42">
        <v>1542</v>
      </c>
      <c r="G5" s="42">
        <v>2946</v>
      </c>
      <c r="H5" s="42">
        <v>1588</v>
      </c>
      <c r="I5" s="42">
        <v>776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1</v>
      </c>
      <c r="C6" s="42">
        <v>4</v>
      </c>
      <c r="D6" s="42">
        <v>8</v>
      </c>
      <c r="E6" s="42">
        <v>4</v>
      </c>
      <c r="F6" s="42">
        <v>43</v>
      </c>
      <c r="G6" s="42">
        <v>41</v>
      </c>
      <c r="H6" s="42">
        <v>126</v>
      </c>
      <c r="I6" s="42">
        <v>48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13</v>
      </c>
      <c r="C7" s="42">
        <v>11</v>
      </c>
      <c r="D7" s="42">
        <v>7</v>
      </c>
      <c r="E7" s="42">
        <v>8</v>
      </c>
      <c r="F7" s="42">
        <v>158</v>
      </c>
      <c r="G7" s="42">
        <v>200</v>
      </c>
      <c r="H7" s="42">
        <v>282</v>
      </c>
      <c r="I7" s="42">
        <v>121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1</v>
      </c>
      <c r="C8" s="42">
        <v>1</v>
      </c>
      <c r="D8" s="42">
        <v>1</v>
      </c>
      <c r="E8" s="42">
        <v>3</v>
      </c>
      <c r="F8" s="42">
        <v>22</v>
      </c>
      <c r="G8" s="42">
        <v>19</v>
      </c>
      <c r="H8" s="42">
        <v>34</v>
      </c>
      <c r="I8" s="42">
        <v>32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21</v>
      </c>
      <c r="C9" s="42">
        <v>43</v>
      </c>
      <c r="D9" s="42">
        <v>37</v>
      </c>
      <c r="E9" s="42">
        <v>18</v>
      </c>
      <c r="F9" s="42">
        <v>608</v>
      </c>
      <c r="G9" s="42">
        <v>935</v>
      </c>
      <c r="H9" s="42">
        <v>758</v>
      </c>
      <c r="I9" s="42">
        <v>589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12</v>
      </c>
      <c r="C10" s="42">
        <v>6</v>
      </c>
      <c r="D10" s="42">
        <v>8</v>
      </c>
      <c r="E10" s="42">
        <v>4</v>
      </c>
      <c r="F10" s="42">
        <v>130</v>
      </c>
      <c r="G10" s="42">
        <v>140</v>
      </c>
      <c r="H10" s="42">
        <v>129</v>
      </c>
      <c r="I10" s="42">
        <v>108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4</v>
      </c>
      <c r="C11" s="42">
        <v>2</v>
      </c>
      <c r="D11" s="42">
        <v>3</v>
      </c>
      <c r="E11" s="42">
        <v>1</v>
      </c>
      <c r="F11" s="42">
        <v>59</v>
      </c>
      <c r="G11" s="42">
        <v>53</v>
      </c>
      <c r="H11" s="42">
        <v>70</v>
      </c>
      <c r="I11" s="42">
        <v>76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62</v>
      </c>
      <c r="C12" s="42">
        <v>75</v>
      </c>
      <c r="D12" s="42">
        <v>33</v>
      </c>
      <c r="E12" s="42">
        <v>32</v>
      </c>
      <c r="F12" s="42">
        <v>1169</v>
      </c>
      <c r="G12" s="42">
        <v>1824</v>
      </c>
      <c r="H12" s="42">
        <v>990</v>
      </c>
      <c r="I12" s="42">
        <v>999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15</v>
      </c>
      <c r="C13" s="42">
        <v>12</v>
      </c>
      <c r="D13" s="42">
        <v>16</v>
      </c>
      <c r="E13" s="42">
        <v>12</v>
      </c>
      <c r="F13" s="42">
        <v>246</v>
      </c>
      <c r="G13" s="42">
        <v>280</v>
      </c>
      <c r="H13" s="42">
        <v>213</v>
      </c>
      <c r="I13" s="42">
        <v>210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6</v>
      </c>
      <c r="C14" s="42">
        <v>5</v>
      </c>
      <c r="D14" s="42">
        <v>10</v>
      </c>
      <c r="E14" s="42">
        <v>2</v>
      </c>
      <c r="F14" s="42">
        <v>122</v>
      </c>
      <c r="G14" s="42">
        <v>104</v>
      </c>
      <c r="H14" s="42">
        <v>270</v>
      </c>
      <c r="I14" s="42">
        <v>99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3</v>
      </c>
      <c r="G15" s="42">
        <v>2</v>
      </c>
      <c r="H15" s="42">
        <v>12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3</v>
      </c>
      <c r="C16" s="42">
        <v>8</v>
      </c>
      <c r="D16" s="42">
        <v>4</v>
      </c>
      <c r="E16" s="42">
        <v>3</v>
      </c>
      <c r="F16" s="42">
        <v>76</v>
      </c>
      <c r="G16" s="42">
        <v>116</v>
      </c>
      <c r="H16" s="42">
        <v>126</v>
      </c>
      <c r="I16" s="42">
        <v>90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10</v>
      </c>
      <c r="C17" s="42">
        <v>18</v>
      </c>
      <c r="D17" s="42">
        <v>2</v>
      </c>
      <c r="E17" s="42">
        <v>7</v>
      </c>
      <c r="F17" s="42">
        <v>161</v>
      </c>
      <c r="G17" s="42">
        <v>226</v>
      </c>
      <c r="H17" s="42">
        <v>83</v>
      </c>
      <c r="I17" s="42">
        <v>113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22</v>
      </c>
      <c r="C18" s="42">
        <v>36</v>
      </c>
      <c r="D18" s="42">
        <v>19</v>
      </c>
      <c r="E18" s="42">
        <v>19</v>
      </c>
      <c r="F18" s="42">
        <v>878</v>
      </c>
      <c r="G18" s="42">
        <v>1437</v>
      </c>
      <c r="H18" s="42">
        <v>482</v>
      </c>
      <c r="I18" s="42">
        <v>675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1</v>
      </c>
      <c r="C19" s="42">
        <v>2</v>
      </c>
      <c r="D19" s="42">
        <v>0</v>
      </c>
      <c r="E19" s="42">
        <v>0</v>
      </c>
      <c r="F19" s="42">
        <v>25</v>
      </c>
      <c r="G19" s="42">
        <v>24</v>
      </c>
      <c r="H19" s="42">
        <v>42</v>
      </c>
      <c r="I19" s="42">
        <v>17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3</v>
      </c>
      <c r="C20" s="42">
        <v>2</v>
      </c>
      <c r="D20" s="42">
        <v>4</v>
      </c>
      <c r="E20" s="42">
        <v>5</v>
      </c>
      <c r="F20" s="42">
        <v>44</v>
      </c>
      <c r="G20" s="42">
        <v>56</v>
      </c>
      <c r="H20" s="42">
        <v>121</v>
      </c>
      <c r="I20" s="42">
        <v>80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3</v>
      </c>
      <c r="C21" s="42">
        <v>1</v>
      </c>
      <c r="D21" s="42">
        <v>2</v>
      </c>
      <c r="E21" s="42">
        <v>0</v>
      </c>
      <c r="F21" s="42">
        <v>36</v>
      </c>
      <c r="G21" s="42">
        <v>44</v>
      </c>
      <c r="H21" s="42">
        <v>42</v>
      </c>
      <c r="I21" s="42">
        <v>38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6</v>
      </c>
      <c r="C22" s="42">
        <v>4</v>
      </c>
      <c r="D22" s="42">
        <v>2</v>
      </c>
      <c r="E22" s="42">
        <v>3</v>
      </c>
      <c r="F22" s="42">
        <v>58</v>
      </c>
      <c r="G22" s="42">
        <v>69</v>
      </c>
      <c r="H22" s="42">
        <v>73</v>
      </c>
      <c r="I22" s="42">
        <v>48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12</v>
      </c>
      <c r="C23" s="42">
        <v>4</v>
      </c>
      <c r="D23" s="42">
        <v>10</v>
      </c>
      <c r="E23" s="42">
        <v>7</v>
      </c>
      <c r="F23" s="42">
        <v>81</v>
      </c>
      <c r="G23" s="42">
        <v>59</v>
      </c>
      <c r="H23" s="42">
        <v>78</v>
      </c>
      <c r="I23" s="42">
        <v>57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27</v>
      </c>
      <c r="C24" s="42">
        <v>28</v>
      </c>
      <c r="D24" s="42">
        <v>15</v>
      </c>
      <c r="E24" s="42">
        <v>15</v>
      </c>
      <c r="F24" s="42">
        <v>503</v>
      </c>
      <c r="G24" s="42">
        <v>717</v>
      </c>
      <c r="H24" s="42">
        <v>325</v>
      </c>
      <c r="I24" s="42">
        <v>442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28</v>
      </c>
      <c r="C25" s="42">
        <v>48</v>
      </c>
      <c r="D25" s="42">
        <v>7</v>
      </c>
      <c r="E25" s="42">
        <v>25</v>
      </c>
      <c r="F25" s="42">
        <v>778</v>
      </c>
      <c r="G25" s="42">
        <v>1481</v>
      </c>
      <c r="H25" s="42">
        <v>448</v>
      </c>
      <c r="I25" s="42">
        <v>403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55</v>
      </c>
      <c r="C26" s="42">
        <v>98</v>
      </c>
      <c r="D26" s="42">
        <v>23</v>
      </c>
      <c r="E26" s="42">
        <v>25</v>
      </c>
      <c r="F26" s="42">
        <v>915</v>
      </c>
      <c r="G26" s="42">
        <v>1192</v>
      </c>
      <c r="H26" s="42">
        <v>570</v>
      </c>
      <c r="I26" s="42">
        <v>329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1</v>
      </c>
      <c r="C27" s="42">
        <v>0</v>
      </c>
      <c r="D27" s="42">
        <v>2</v>
      </c>
      <c r="E27" s="42">
        <v>1</v>
      </c>
      <c r="F27" s="42">
        <v>21</v>
      </c>
      <c r="G27" s="42">
        <v>17</v>
      </c>
      <c r="H27" s="42">
        <v>53</v>
      </c>
      <c r="I27" s="42">
        <v>18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14</v>
      </c>
      <c r="C28" s="42">
        <v>26</v>
      </c>
      <c r="D28" s="42">
        <v>8</v>
      </c>
      <c r="E28" s="42">
        <v>8</v>
      </c>
      <c r="F28" s="42">
        <v>342</v>
      </c>
      <c r="G28" s="42">
        <v>363</v>
      </c>
      <c r="H28" s="42">
        <v>346</v>
      </c>
      <c r="I28" s="42">
        <v>172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5</v>
      </c>
      <c r="C29" s="42">
        <v>2</v>
      </c>
      <c r="D29" s="42">
        <v>9</v>
      </c>
      <c r="E29" s="42">
        <v>3</v>
      </c>
      <c r="F29" s="42">
        <v>122</v>
      </c>
      <c r="G29" s="42">
        <v>95</v>
      </c>
      <c r="H29" s="42">
        <v>298</v>
      </c>
      <c r="I29" s="42">
        <v>99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1</v>
      </c>
      <c r="E30" s="42">
        <v>0</v>
      </c>
      <c r="F30" s="42">
        <v>4</v>
      </c>
      <c r="G30" s="42">
        <v>0</v>
      </c>
      <c r="H30" s="42">
        <v>5</v>
      </c>
      <c r="I30" s="42">
        <v>3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13</v>
      </c>
      <c r="C31" s="42">
        <v>16</v>
      </c>
      <c r="D31" s="42">
        <v>4</v>
      </c>
      <c r="E31" s="42">
        <v>5</v>
      </c>
      <c r="F31" s="42">
        <v>214</v>
      </c>
      <c r="G31" s="42">
        <v>247</v>
      </c>
      <c r="H31" s="42">
        <v>165</v>
      </c>
      <c r="I31" s="42">
        <v>235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1</v>
      </c>
      <c r="D32" s="42">
        <v>0</v>
      </c>
      <c r="E32" s="42">
        <v>2</v>
      </c>
      <c r="F32" s="42">
        <v>7</v>
      </c>
      <c r="G32" s="42">
        <v>4</v>
      </c>
      <c r="H32" s="42">
        <v>19</v>
      </c>
      <c r="I32" s="42">
        <v>17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5</v>
      </c>
      <c r="C33" s="42">
        <v>1</v>
      </c>
      <c r="D33" s="42">
        <v>8</v>
      </c>
      <c r="E33" s="42">
        <v>1</v>
      </c>
      <c r="F33" s="42">
        <v>26</v>
      </c>
      <c r="G33" s="42">
        <v>14</v>
      </c>
      <c r="H33" s="42">
        <v>109</v>
      </c>
      <c r="I33" s="42">
        <v>47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2</v>
      </c>
      <c r="C34" s="42">
        <v>2</v>
      </c>
      <c r="D34" s="42">
        <v>1</v>
      </c>
      <c r="E34" s="42">
        <v>0</v>
      </c>
      <c r="F34" s="42">
        <v>26</v>
      </c>
      <c r="G34" s="42">
        <v>30</v>
      </c>
      <c r="H34" s="42">
        <v>44</v>
      </c>
      <c r="I34" s="42">
        <v>23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1</v>
      </c>
      <c r="C35" s="42">
        <v>0</v>
      </c>
      <c r="D35" s="42">
        <v>1</v>
      </c>
      <c r="E35" s="42">
        <v>0</v>
      </c>
      <c r="F35" s="42">
        <v>46</v>
      </c>
      <c r="G35" s="42">
        <v>53</v>
      </c>
      <c r="H35" s="42">
        <v>91</v>
      </c>
      <c r="I35" s="42">
        <v>67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1</v>
      </c>
      <c r="D36" s="42">
        <v>1</v>
      </c>
      <c r="E36" s="42">
        <v>0</v>
      </c>
      <c r="F36" s="42">
        <v>21</v>
      </c>
      <c r="G36" s="42">
        <v>30</v>
      </c>
      <c r="H36" s="42">
        <v>19</v>
      </c>
      <c r="I36" s="42">
        <v>27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0</v>
      </c>
      <c r="C37" s="42">
        <v>0</v>
      </c>
      <c r="D37" s="42">
        <v>0</v>
      </c>
      <c r="E37" s="42">
        <v>2</v>
      </c>
      <c r="F37" s="42">
        <v>15</v>
      </c>
      <c r="G37" s="42">
        <v>11</v>
      </c>
      <c r="H37" s="42">
        <v>16</v>
      </c>
      <c r="I37" s="42">
        <v>16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26</v>
      </c>
      <c r="C38" s="42">
        <v>26</v>
      </c>
      <c r="D38" s="42">
        <v>27</v>
      </c>
      <c r="E38" s="42">
        <v>8</v>
      </c>
      <c r="F38" s="42">
        <v>500</v>
      </c>
      <c r="G38" s="42">
        <v>499</v>
      </c>
      <c r="H38" s="42">
        <v>475</v>
      </c>
      <c r="I38" s="42">
        <v>175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39</v>
      </c>
      <c r="C39" s="42">
        <v>81</v>
      </c>
      <c r="D39" s="42">
        <v>27</v>
      </c>
      <c r="E39" s="42">
        <v>35</v>
      </c>
      <c r="F39" s="42">
        <v>889</v>
      </c>
      <c r="G39" s="42">
        <v>1370</v>
      </c>
      <c r="H39" s="42">
        <v>658</v>
      </c>
      <c r="I39" s="42">
        <v>913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5</v>
      </c>
      <c r="C40" s="42">
        <v>6</v>
      </c>
      <c r="D40" s="42">
        <v>5</v>
      </c>
      <c r="E40" s="42">
        <v>3</v>
      </c>
      <c r="F40" s="42">
        <v>75</v>
      </c>
      <c r="G40" s="42">
        <v>72</v>
      </c>
      <c r="H40" s="42">
        <v>131</v>
      </c>
      <c r="I40" s="42">
        <v>77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11</v>
      </c>
      <c r="C41" s="42">
        <v>18</v>
      </c>
      <c r="D41" s="42">
        <v>10</v>
      </c>
      <c r="E41" s="42">
        <v>4</v>
      </c>
      <c r="F41" s="42">
        <v>216</v>
      </c>
      <c r="G41" s="42">
        <v>206</v>
      </c>
      <c r="H41" s="42">
        <v>194</v>
      </c>
      <c r="I41" s="42">
        <v>202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32</v>
      </c>
      <c r="C42" s="42">
        <v>63</v>
      </c>
      <c r="D42" s="42">
        <v>25</v>
      </c>
      <c r="E42" s="42">
        <v>20</v>
      </c>
      <c r="F42" s="42">
        <v>766</v>
      </c>
      <c r="G42" s="42">
        <v>1255</v>
      </c>
      <c r="H42" s="42">
        <v>539</v>
      </c>
      <c r="I42" s="42">
        <v>388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29</v>
      </c>
      <c r="C43" s="42">
        <v>50</v>
      </c>
      <c r="D43" s="42">
        <v>35</v>
      </c>
      <c r="E43" s="42">
        <v>10</v>
      </c>
      <c r="F43" s="42">
        <v>601</v>
      </c>
      <c r="G43" s="42">
        <v>838</v>
      </c>
      <c r="H43" s="42">
        <v>658</v>
      </c>
      <c r="I43" s="42">
        <v>292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3</v>
      </c>
      <c r="C44" s="42">
        <v>4</v>
      </c>
      <c r="D44" s="42">
        <v>2</v>
      </c>
      <c r="E44" s="42">
        <v>5</v>
      </c>
      <c r="F44" s="42">
        <v>139</v>
      </c>
      <c r="G44" s="42">
        <v>138</v>
      </c>
      <c r="H44" s="42">
        <v>123</v>
      </c>
      <c r="I44" s="42">
        <v>156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1</v>
      </c>
      <c r="E45" s="42">
        <v>0</v>
      </c>
      <c r="F45" s="42">
        <v>21</v>
      </c>
      <c r="G45" s="42">
        <v>16</v>
      </c>
      <c r="H45" s="42">
        <v>10</v>
      </c>
      <c r="I45" s="42">
        <v>12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7</v>
      </c>
      <c r="C46" s="42">
        <v>5</v>
      </c>
      <c r="D46" s="42">
        <v>5</v>
      </c>
      <c r="E46" s="42">
        <v>6</v>
      </c>
      <c r="F46" s="42">
        <v>91</v>
      </c>
      <c r="G46" s="42">
        <v>126</v>
      </c>
      <c r="H46" s="42">
        <v>135</v>
      </c>
      <c r="I46" s="42">
        <v>85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3</v>
      </c>
      <c r="C47" s="42">
        <v>1</v>
      </c>
      <c r="D47" s="42">
        <v>0</v>
      </c>
      <c r="E47" s="42">
        <v>1</v>
      </c>
      <c r="F47" s="42">
        <v>39</v>
      </c>
      <c r="G47" s="42">
        <v>34</v>
      </c>
      <c r="H47" s="42">
        <v>41</v>
      </c>
      <c r="I47" s="42">
        <v>30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22</v>
      </c>
      <c r="C48" s="42">
        <v>17</v>
      </c>
      <c r="D48" s="42">
        <v>8</v>
      </c>
      <c r="E48" s="42">
        <v>13</v>
      </c>
      <c r="F48" s="42">
        <v>192</v>
      </c>
      <c r="G48" s="42">
        <v>370</v>
      </c>
      <c r="H48" s="42">
        <v>227</v>
      </c>
      <c r="I48" s="42">
        <v>254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59</v>
      </c>
      <c r="C49" s="42">
        <v>114</v>
      </c>
      <c r="D49" s="42">
        <v>50</v>
      </c>
      <c r="E49" s="42">
        <v>35</v>
      </c>
      <c r="F49" s="42">
        <v>1508</v>
      </c>
      <c r="G49" s="42">
        <v>2108</v>
      </c>
      <c r="H49" s="42">
        <v>1110</v>
      </c>
      <c r="I49" s="42">
        <v>923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3</v>
      </c>
      <c r="C50" s="42">
        <v>0</v>
      </c>
      <c r="D50" s="42">
        <v>1</v>
      </c>
      <c r="E50" s="42">
        <v>1</v>
      </c>
      <c r="F50" s="42">
        <v>16</v>
      </c>
      <c r="G50" s="42">
        <v>11</v>
      </c>
      <c r="H50" s="42">
        <v>10</v>
      </c>
      <c r="I50" s="42">
        <v>7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17</v>
      </c>
      <c r="C51" s="42">
        <v>41</v>
      </c>
      <c r="D51" s="42">
        <v>22</v>
      </c>
      <c r="E51" s="42">
        <v>23</v>
      </c>
      <c r="F51" s="42">
        <v>533</v>
      </c>
      <c r="G51" s="42">
        <v>952</v>
      </c>
      <c r="H51" s="42">
        <v>543</v>
      </c>
      <c r="I51" s="42">
        <v>504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6</v>
      </c>
      <c r="C52" s="42">
        <v>6</v>
      </c>
      <c r="D52" s="42">
        <v>5</v>
      </c>
      <c r="E52" s="42">
        <v>3</v>
      </c>
      <c r="F52" s="42">
        <v>81</v>
      </c>
      <c r="G52" s="42">
        <v>81</v>
      </c>
      <c r="H52" s="42">
        <v>100</v>
      </c>
      <c r="I52" s="42">
        <v>59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0</v>
      </c>
      <c r="C53" s="42">
        <v>5</v>
      </c>
      <c r="D53" s="42">
        <v>1</v>
      </c>
      <c r="E53" s="42">
        <v>0</v>
      </c>
      <c r="F53" s="42">
        <v>50</v>
      </c>
      <c r="G53" s="42">
        <v>71</v>
      </c>
      <c r="H53" s="42">
        <v>58</v>
      </c>
      <c r="I53" s="42">
        <v>56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134</v>
      </c>
      <c r="C54" s="42">
        <v>457</v>
      </c>
      <c r="D54" s="42">
        <v>123</v>
      </c>
      <c r="E54" s="42">
        <v>63</v>
      </c>
      <c r="F54" s="42">
        <v>2604</v>
      </c>
      <c r="G54" s="42">
        <v>7979</v>
      </c>
      <c r="H54" s="42">
        <v>2692</v>
      </c>
      <c r="I54" s="42">
        <v>1223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5</v>
      </c>
      <c r="C55" s="42">
        <v>6</v>
      </c>
      <c r="D55" s="42">
        <v>2</v>
      </c>
      <c r="E55" s="42">
        <v>4</v>
      </c>
      <c r="F55" s="42">
        <v>56</v>
      </c>
      <c r="G55" s="42">
        <v>93</v>
      </c>
      <c r="H55" s="42">
        <v>76</v>
      </c>
      <c r="I55" s="42">
        <v>126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4</v>
      </c>
      <c r="C56" s="42">
        <v>0</v>
      </c>
      <c r="D56" s="42">
        <v>0</v>
      </c>
      <c r="E56" s="42">
        <v>0</v>
      </c>
      <c r="F56" s="42">
        <v>10</v>
      </c>
      <c r="G56" s="42">
        <v>6</v>
      </c>
      <c r="H56" s="42">
        <v>13</v>
      </c>
      <c r="I56" s="42">
        <v>16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14</v>
      </c>
      <c r="C57" s="42">
        <v>9</v>
      </c>
      <c r="D57" s="42">
        <v>5</v>
      </c>
      <c r="E57" s="42">
        <v>3</v>
      </c>
      <c r="F57" s="42">
        <v>175</v>
      </c>
      <c r="G57" s="42">
        <v>154</v>
      </c>
      <c r="H57" s="42">
        <v>241</v>
      </c>
      <c r="I57" s="42">
        <v>153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1</v>
      </c>
      <c r="C58" s="42">
        <v>1</v>
      </c>
      <c r="D58" s="42">
        <v>0</v>
      </c>
      <c r="E58" s="42">
        <v>0</v>
      </c>
      <c r="F58" s="42">
        <v>22</v>
      </c>
      <c r="G58" s="42">
        <v>25</v>
      </c>
      <c r="H58" s="42">
        <v>14</v>
      </c>
      <c r="I58" s="42">
        <v>33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2</v>
      </c>
      <c r="C59" s="42">
        <v>4</v>
      </c>
      <c r="D59" s="42">
        <v>5</v>
      </c>
      <c r="E59" s="42">
        <v>3</v>
      </c>
      <c r="F59" s="42">
        <v>59</v>
      </c>
      <c r="G59" s="42">
        <v>59</v>
      </c>
      <c r="H59" s="42">
        <v>145</v>
      </c>
      <c r="I59" s="42">
        <v>98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1</v>
      </c>
      <c r="D60" s="42">
        <v>2</v>
      </c>
      <c r="E60" s="42">
        <v>0</v>
      </c>
      <c r="F60" s="42">
        <v>7</v>
      </c>
      <c r="G60" s="42">
        <v>4</v>
      </c>
      <c r="H60" s="42">
        <v>9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2</v>
      </c>
      <c r="C61" s="42">
        <v>1</v>
      </c>
      <c r="D61" s="42">
        <v>5</v>
      </c>
      <c r="E61" s="42">
        <v>3</v>
      </c>
      <c r="F61" s="42">
        <v>40</v>
      </c>
      <c r="G61" s="42">
        <v>42</v>
      </c>
      <c r="H61" s="42">
        <v>45</v>
      </c>
      <c r="I61" s="42">
        <v>42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2</v>
      </c>
      <c r="C62" s="42">
        <v>2</v>
      </c>
      <c r="D62" s="42">
        <v>0</v>
      </c>
      <c r="E62" s="42">
        <v>2</v>
      </c>
      <c r="F62" s="42">
        <v>43</v>
      </c>
      <c r="G62" s="42">
        <v>46</v>
      </c>
      <c r="H62" s="42">
        <v>44</v>
      </c>
      <c r="I62" s="42">
        <v>50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1</v>
      </c>
      <c r="C63" s="42">
        <v>5</v>
      </c>
      <c r="D63" s="42">
        <v>1</v>
      </c>
      <c r="E63" s="42">
        <v>0</v>
      </c>
      <c r="F63" s="42">
        <v>25</v>
      </c>
      <c r="G63" s="42">
        <v>42</v>
      </c>
      <c r="H63" s="42">
        <v>25</v>
      </c>
      <c r="I63" s="42">
        <v>22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4</v>
      </c>
      <c r="C64" s="42">
        <v>1</v>
      </c>
      <c r="D64" s="42">
        <v>3</v>
      </c>
      <c r="E64" s="42">
        <v>2</v>
      </c>
      <c r="F64" s="42">
        <v>47</v>
      </c>
      <c r="G64" s="42">
        <v>52</v>
      </c>
      <c r="H64" s="42">
        <v>52</v>
      </c>
      <c r="I64" s="42">
        <v>45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2</v>
      </c>
      <c r="C65" s="42">
        <v>4</v>
      </c>
      <c r="D65" s="42">
        <v>3</v>
      </c>
      <c r="E65" s="42">
        <v>3</v>
      </c>
      <c r="F65" s="42">
        <v>35</v>
      </c>
      <c r="G65" s="42">
        <v>44</v>
      </c>
      <c r="H65" s="42">
        <v>41</v>
      </c>
      <c r="I65" s="42">
        <v>37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15</v>
      </c>
      <c r="C66" s="42">
        <v>12</v>
      </c>
      <c r="D66" s="42">
        <v>11</v>
      </c>
      <c r="E66" s="42">
        <v>8</v>
      </c>
      <c r="F66" s="42">
        <v>210</v>
      </c>
      <c r="G66" s="42">
        <v>222</v>
      </c>
      <c r="H66" s="42">
        <v>349</v>
      </c>
      <c r="I66" s="42">
        <v>206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5</v>
      </c>
      <c r="C67" s="42">
        <v>2</v>
      </c>
      <c r="D67" s="42">
        <v>8</v>
      </c>
      <c r="E67" s="42">
        <v>3</v>
      </c>
      <c r="F67" s="42">
        <v>39</v>
      </c>
      <c r="G67" s="42">
        <v>63</v>
      </c>
      <c r="H67" s="42">
        <v>69</v>
      </c>
      <c r="I67" s="42">
        <v>71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19</v>
      </c>
      <c r="C68" s="42">
        <v>23</v>
      </c>
      <c r="D68" s="42">
        <v>17</v>
      </c>
      <c r="E68" s="42">
        <v>23</v>
      </c>
      <c r="F68" s="42">
        <v>389</v>
      </c>
      <c r="G68" s="42">
        <v>416</v>
      </c>
      <c r="H68" s="42">
        <v>578</v>
      </c>
      <c r="I68" s="42">
        <v>321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5</v>
      </c>
      <c r="C69" s="42">
        <v>3</v>
      </c>
      <c r="D69" s="42">
        <v>1</v>
      </c>
      <c r="E69" s="42">
        <v>3</v>
      </c>
      <c r="F69" s="42">
        <v>43</v>
      </c>
      <c r="G69" s="42">
        <v>40</v>
      </c>
      <c r="H69" s="42">
        <v>43</v>
      </c>
      <c r="I69" s="42">
        <v>36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33</v>
      </c>
      <c r="C70" s="42">
        <v>65</v>
      </c>
      <c r="D70" s="42">
        <v>24</v>
      </c>
      <c r="E70" s="42">
        <v>30</v>
      </c>
      <c r="F70" s="42">
        <v>772</v>
      </c>
      <c r="G70" s="42">
        <v>1210</v>
      </c>
      <c r="H70" s="42">
        <v>586</v>
      </c>
      <c r="I70" s="42">
        <v>776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925</v>
      </c>
      <c r="C71" s="67">
        <f>SUM(C4:C70)</f>
        <v>1687</v>
      </c>
      <c r="D71" s="67">
        <f>SUM(D4:D70)</f>
        <v>758</v>
      </c>
      <c r="E71" s="67">
        <f>SUM(E4:E70)</f>
        <v>577</v>
      </c>
      <c r="F71" s="67">
        <f t="shared" ref="F71:I71" si="0">SUM(F4:F70)</f>
        <v>18928</v>
      </c>
      <c r="G71" s="67">
        <f t="shared" si="0"/>
        <v>31644</v>
      </c>
      <c r="H71" s="67">
        <f t="shared" si="0"/>
        <v>18194</v>
      </c>
      <c r="I71" s="67">
        <f t="shared" si="0"/>
        <v>13647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5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H56" sqref="H56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0" t="s">
        <v>130</v>
      </c>
      <c r="C1" s="91"/>
      <c r="D1" s="92" t="s">
        <v>126</v>
      </c>
      <c r="E1" s="93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9</v>
      </c>
      <c r="C3" s="53">
        <v>16</v>
      </c>
      <c r="D3" s="53">
        <v>134</v>
      </c>
      <c r="E3" s="53">
        <v>272</v>
      </c>
    </row>
    <row r="4" spans="1:5" x14ac:dyDescent="0.25">
      <c r="A4" s="42" t="s">
        <v>2</v>
      </c>
      <c r="B4" s="53">
        <v>183</v>
      </c>
      <c r="C4" s="53">
        <v>58</v>
      </c>
      <c r="D4" s="53">
        <v>2534</v>
      </c>
      <c r="E4" s="53">
        <v>1234</v>
      </c>
    </row>
    <row r="5" spans="1:5" x14ac:dyDescent="0.25">
      <c r="A5" s="42" t="s">
        <v>3</v>
      </c>
      <c r="B5" s="53">
        <v>3</v>
      </c>
      <c r="C5" s="53">
        <v>0</v>
      </c>
      <c r="D5" s="53">
        <v>26</v>
      </c>
      <c r="E5" s="53">
        <v>51</v>
      </c>
    </row>
    <row r="6" spans="1:5" x14ac:dyDescent="0.25">
      <c r="A6" s="42" t="s">
        <v>4</v>
      </c>
      <c r="B6" s="53">
        <v>4</v>
      </c>
      <c r="C6" s="53">
        <v>2</v>
      </c>
      <c r="D6" s="53">
        <v>109</v>
      </c>
      <c r="E6" s="53">
        <v>136</v>
      </c>
    </row>
    <row r="7" spans="1:5" x14ac:dyDescent="0.25">
      <c r="A7" s="42" t="s">
        <v>5</v>
      </c>
      <c r="B7" s="53">
        <v>1</v>
      </c>
      <c r="C7" s="53">
        <v>6</v>
      </c>
      <c r="D7" s="53">
        <v>10</v>
      </c>
      <c r="E7" s="53">
        <v>22</v>
      </c>
    </row>
    <row r="8" spans="1:5" x14ac:dyDescent="0.25">
      <c r="A8" s="42" t="s">
        <v>6</v>
      </c>
      <c r="B8" s="53">
        <v>38</v>
      </c>
      <c r="C8" s="53">
        <v>36</v>
      </c>
      <c r="D8" s="53">
        <v>1064</v>
      </c>
      <c r="E8" s="53">
        <v>857</v>
      </c>
    </row>
    <row r="9" spans="1:5" x14ac:dyDescent="0.25">
      <c r="A9" s="42" t="s">
        <v>7</v>
      </c>
      <c r="B9" s="53">
        <v>2</v>
      </c>
      <c r="C9" s="53">
        <v>5</v>
      </c>
      <c r="D9" s="53">
        <v>86</v>
      </c>
      <c r="E9" s="53">
        <v>123</v>
      </c>
    </row>
    <row r="10" spans="1:5" x14ac:dyDescent="0.25">
      <c r="A10" s="42" t="s">
        <v>8</v>
      </c>
      <c r="B10" s="53">
        <v>3</v>
      </c>
      <c r="C10" s="53">
        <v>1</v>
      </c>
      <c r="D10" s="53">
        <v>42</v>
      </c>
      <c r="E10" s="53">
        <v>64</v>
      </c>
    </row>
    <row r="11" spans="1:5" x14ac:dyDescent="0.25">
      <c r="A11" s="42" t="s">
        <v>9</v>
      </c>
      <c r="B11" s="53">
        <v>53</v>
      </c>
      <c r="C11" s="53">
        <v>35</v>
      </c>
      <c r="D11" s="53">
        <v>1333</v>
      </c>
      <c r="E11" s="53">
        <v>1454</v>
      </c>
    </row>
    <row r="12" spans="1:5" x14ac:dyDescent="0.25">
      <c r="A12" s="42" t="s">
        <v>10</v>
      </c>
      <c r="B12" s="53">
        <v>9</v>
      </c>
      <c r="C12" s="53">
        <v>8</v>
      </c>
      <c r="D12" s="53">
        <v>153</v>
      </c>
      <c r="E12" s="53">
        <v>253</v>
      </c>
    </row>
    <row r="13" spans="1:5" x14ac:dyDescent="0.25">
      <c r="A13" s="42" t="s">
        <v>11</v>
      </c>
      <c r="B13" s="53">
        <v>5</v>
      </c>
      <c r="C13" s="53">
        <v>1</v>
      </c>
      <c r="D13" s="53">
        <v>110</v>
      </c>
      <c r="E13" s="53">
        <v>115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2</v>
      </c>
      <c r="E14" s="53">
        <v>3</v>
      </c>
    </row>
    <row r="15" spans="1:5" x14ac:dyDescent="0.25">
      <c r="A15" s="42" t="s">
        <v>13</v>
      </c>
      <c r="B15" s="53">
        <v>1</v>
      </c>
      <c r="C15" s="53">
        <v>1</v>
      </c>
      <c r="D15" s="53">
        <v>74</v>
      </c>
      <c r="E15" s="53">
        <v>81</v>
      </c>
    </row>
    <row r="16" spans="1:5" x14ac:dyDescent="0.25">
      <c r="A16" s="42" t="s">
        <v>14</v>
      </c>
      <c r="B16" s="53">
        <v>10</v>
      </c>
      <c r="C16" s="53">
        <v>9</v>
      </c>
      <c r="D16" s="53">
        <v>153</v>
      </c>
      <c r="E16" s="53">
        <v>147</v>
      </c>
    </row>
    <row r="17" spans="1:5" x14ac:dyDescent="0.25">
      <c r="A17" s="42" t="s">
        <v>15</v>
      </c>
      <c r="B17" s="53">
        <v>37</v>
      </c>
      <c r="C17" s="53">
        <v>32</v>
      </c>
      <c r="D17" s="53">
        <v>934</v>
      </c>
      <c r="E17" s="53">
        <v>971</v>
      </c>
    </row>
    <row r="18" spans="1:5" x14ac:dyDescent="0.25">
      <c r="A18" s="42" t="s">
        <v>16</v>
      </c>
      <c r="B18" s="53">
        <v>1</v>
      </c>
      <c r="C18" s="53">
        <v>0</v>
      </c>
      <c r="D18" s="53">
        <v>18</v>
      </c>
      <c r="E18" s="53">
        <v>26</v>
      </c>
    </row>
    <row r="19" spans="1:5" x14ac:dyDescent="0.25">
      <c r="A19" s="42" t="s">
        <v>17</v>
      </c>
      <c r="B19" s="53">
        <v>2</v>
      </c>
      <c r="C19" s="53">
        <v>2</v>
      </c>
      <c r="D19" s="53">
        <v>48</v>
      </c>
      <c r="E19" s="53">
        <v>71</v>
      </c>
    </row>
    <row r="20" spans="1:5" x14ac:dyDescent="0.25">
      <c r="A20" s="42" t="s">
        <v>18</v>
      </c>
      <c r="B20" s="53">
        <v>1</v>
      </c>
      <c r="C20" s="53">
        <v>0</v>
      </c>
      <c r="D20" s="53">
        <v>30</v>
      </c>
      <c r="E20" s="53">
        <v>44</v>
      </c>
    </row>
    <row r="21" spans="1:5" x14ac:dyDescent="0.25">
      <c r="A21" s="42" t="s">
        <v>19</v>
      </c>
      <c r="B21" s="53">
        <v>0</v>
      </c>
      <c r="C21" s="53">
        <v>1</v>
      </c>
      <c r="D21" s="53">
        <v>38</v>
      </c>
      <c r="E21" s="53">
        <v>59</v>
      </c>
    </row>
    <row r="22" spans="1:5" x14ac:dyDescent="0.25">
      <c r="A22" s="42" t="s">
        <v>20</v>
      </c>
      <c r="B22" s="53">
        <v>2</v>
      </c>
      <c r="C22" s="53">
        <v>3</v>
      </c>
      <c r="D22" s="53">
        <v>55</v>
      </c>
      <c r="E22" s="53">
        <v>62</v>
      </c>
    </row>
    <row r="23" spans="1:5" x14ac:dyDescent="0.25">
      <c r="A23" s="42" t="s">
        <v>21</v>
      </c>
      <c r="B23" s="53">
        <v>18</v>
      </c>
      <c r="C23" s="53">
        <v>29</v>
      </c>
      <c r="D23" s="53">
        <v>509</v>
      </c>
      <c r="E23" s="53">
        <v>605</v>
      </c>
    </row>
    <row r="24" spans="1:5" x14ac:dyDescent="0.25">
      <c r="A24" s="42" t="s">
        <v>22</v>
      </c>
      <c r="B24" s="53">
        <v>29</v>
      </c>
      <c r="C24" s="53">
        <v>26</v>
      </c>
      <c r="D24" s="53">
        <v>1142</v>
      </c>
      <c r="E24" s="53">
        <v>639</v>
      </c>
    </row>
    <row r="25" spans="1:5" x14ac:dyDescent="0.25">
      <c r="A25" s="42" t="s">
        <v>23</v>
      </c>
      <c r="B25" s="53">
        <v>100</v>
      </c>
      <c r="C25" s="53">
        <v>30</v>
      </c>
      <c r="D25" s="53">
        <v>1095</v>
      </c>
      <c r="E25" s="53">
        <v>611</v>
      </c>
    </row>
    <row r="26" spans="1:5" x14ac:dyDescent="0.25">
      <c r="A26" s="42" t="s">
        <v>24</v>
      </c>
      <c r="B26" s="53">
        <v>0</v>
      </c>
      <c r="C26" s="53">
        <v>0</v>
      </c>
      <c r="D26" s="53">
        <v>9</v>
      </c>
      <c r="E26" s="53">
        <v>28</v>
      </c>
    </row>
    <row r="27" spans="1:5" x14ac:dyDescent="0.25">
      <c r="A27" s="42" t="s">
        <v>25</v>
      </c>
      <c r="B27" s="53">
        <v>7</v>
      </c>
      <c r="C27" s="53">
        <v>11</v>
      </c>
      <c r="D27" s="53">
        <v>254</v>
      </c>
      <c r="E27" s="53">
        <v>219</v>
      </c>
    </row>
    <row r="28" spans="1:5" x14ac:dyDescent="0.25">
      <c r="A28" s="42" t="s">
        <v>26</v>
      </c>
      <c r="B28" s="53">
        <v>2</v>
      </c>
      <c r="C28" s="53">
        <v>2</v>
      </c>
      <c r="D28" s="53">
        <v>94</v>
      </c>
      <c r="E28" s="53">
        <v>101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1</v>
      </c>
      <c r="E29" s="53">
        <v>2</v>
      </c>
    </row>
    <row r="30" spans="1:5" x14ac:dyDescent="0.25">
      <c r="A30" s="42" t="s">
        <v>28</v>
      </c>
      <c r="B30" s="53">
        <v>5</v>
      </c>
      <c r="C30" s="53">
        <v>18</v>
      </c>
      <c r="D30" s="53">
        <v>218</v>
      </c>
      <c r="E30" s="53">
        <v>356</v>
      </c>
    </row>
    <row r="31" spans="1:5" x14ac:dyDescent="0.25">
      <c r="A31" s="42" t="s">
        <v>29</v>
      </c>
      <c r="B31" s="53">
        <v>1</v>
      </c>
      <c r="C31" s="53">
        <v>0</v>
      </c>
      <c r="D31" s="53">
        <v>12</v>
      </c>
      <c r="E31" s="53">
        <v>17</v>
      </c>
    </row>
    <row r="32" spans="1:5" x14ac:dyDescent="0.25">
      <c r="A32" s="42" t="s">
        <v>30</v>
      </c>
      <c r="B32" s="53">
        <v>0</v>
      </c>
      <c r="C32" s="53">
        <v>2</v>
      </c>
      <c r="D32" s="53">
        <v>26</v>
      </c>
      <c r="E32" s="53">
        <v>29</v>
      </c>
    </row>
    <row r="33" spans="1:5" x14ac:dyDescent="0.25">
      <c r="A33" s="42" t="s">
        <v>31</v>
      </c>
      <c r="B33" s="53">
        <v>0</v>
      </c>
      <c r="C33" s="53">
        <v>0</v>
      </c>
      <c r="D33" s="53">
        <v>15</v>
      </c>
      <c r="E33" s="53">
        <v>24</v>
      </c>
    </row>
    <row r="34" spans="1:5" x14ac:dyDescent="0.25">
      <c r="A34" s="42" t="s">
        <v>32</v>
      </c>
      <c r="B34" s="53">
        <v>0</v>
      </c>
      <c r="C34" s="53">
        <v>2</v>
      </c>
      <c r="D34" s="53">
        <v>46</v>
      </c>
      <c r="E34" s="53">
        <v>51</v>
      </c>
    </row>
    <row r="35" spans="1:5" x14ac:dyDescent="0.25">
      <c r="A35" s="42" t="s">
        <v>33</v>
      </c>
      <c r="B35" s="53">
        <v>0</v>
      </c>
      <c r="C35" s="53">
        <v>0</v>
      </c>
      <c r="D35" s="53">
        <v>7</v>
      </c>
      <c r="E35" s="53">
        <v>22</v>
      </c>
    </row>
    <row r="36" spans="1:5" x14ac:dyDescent="0.25">
      <c r="A36" s="42" t="s">
        <v>34</v>
      </c>
      <c r="B36" s="53">
        <v>0</v>
      </c>
      <c r="C36" s="53">
        <v>1</v>
      </c>
      <c r="D36" s="53">
        <v>17</v>
      </c>
      <c r="E36" s="53">
        <v>15</v>
      </c>
    </row>
    <row r="37" spans="1:5" x14ac:dyDescent="0.25">
      <c r="A37" s="42" t="s">
        <v>35</v>
      </c>
      <c r="B37" s="53">
        <v>13</v>
      </c>
      <c r="C37" s="53">
        <v>8</v>
      </c>
      <c r="D37" s="53">
        <v>359</v>
      </c>
      <c r="E37" s="53">
        <v>283</v>
      </c>
    </row>
    <row r="38" spans="1:5" x14ac:dyDescent="0.25">
      <c r="A38" s="42" t="s">
        <v>36</v>
      </c>
      <c r="B38" s="53">
        <v>38</v>
      </c>
      <c r="C38" s="53">
        <v>36</v>
      </c>
      <c r="D38" s="53">
        <v>1059</v>
      </c>
      <c r="E38" s="53">
        <v>1188</v>
      </c>
    </row>
    <row r="39" spans="1:5" x14ac:dyDescent="0.25">
      <c r="A39" s="42" t="s">
        <v>37</v>
      </c>
      <c r="B39" s="53">
        <v>1</v>
      </c>
      <c r="C39" s="53">
        <v>3</v>
      </c>
      <c r="D39" s="53">
        <v>54</v>
      </c>
      <c r="E39" s="53">
        <v>64</v>
      </c>
    </row>
    <row r="40" spans="1:5" x14ac:dyDescent="0.25">
      <c r="A40" s="42" t="s">
        <v>38</v>
      </c>
      <c r="B40" s="53">
        <v>6</v>
      </c>
      <c r="C40" s="53">
        <v>13</v>
      </c>
      <c r="D40" s="53">
        <v>170</v>
      </c>
      <c r="E40" s="53">
        <v>183</v>
      </c>
    </row>
    <row r="41" spans="1:5" x14ac:dyDescent="0.25">
      <c r="A41" s="42" t="s">
        <v>39</v>
      </c>
      <c r="B41" s="53">
        <v>25</v>
      </c>
      <c r="C41" s="53">
        <v>29</v>
      </c>
      <c r="D41" s="53">
        <v>771</v>
      </c>
      <c r="E41" s="53">
        <v>549</v>
      </c>
    </row>
    <row r="42" spans="1:5" x14ac:dyDescent="0.25">
      <c r="A42" s="42" t="s">
        <v>40</v>
      </c>
      <c r="B42" s="53">
        <v>13</v>
      </c>
      <c r="C42" s="53">
        <v>21</v>
      </c>
      <c r="D42" s="53">
        <v>487</v>
      </c>
      <c r="E42" s="53">
        <v>395</v>
      </c>
    </row>
    <row r="43" spans="1:5" x14ac:dyDescent="0.25">
      <c r="A43" s="42" t="s">
        <v>41</v>
      </c>
      <c r="B43" s="53">
        <v>5</v>
      </c>
      <c r="C43" s="53">
        <v>6</v>
      </c>
      <c r="D43" s="53">
        <v>131</v>
      </c>
      <c r="E43" s="53">
        <v>181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11</v>
      </c>
      <c r="E44" s="53">
        <v>15</v>
      </c>
    </row>
    <row r="45" spans="1:5" x14ac:dyDescent="0.25">
      <c r="A45" s="42" t="s">
        <v>43</v>
      </c>
      <c r="B45" s="53">
        <v>2</v>
      </c>
      <c r="C45" s="53">
        <v>3</v>
      </c>
      <c r="D45" s="53">
        <v>97</v>
      </c>
      <c r="E45" s="53">
        <v>98</v>
      </c>
    </row>
    <row r="46" spans="1:5" x14ac:dyDescent="0.25">
      <c r="A46" s="42" t="s">
        <v>44</v>
      </c>
      <c r="B46" s="53">
        <v>0</v>
      </c>
      <c r="C46" s="53">
        <v>1</v>
      </c>
      <c r="D46" s="53">
        <v>11</v>
      </c>
      <c r="E46" s="53">
        <v>31</v>
      </c>
    </row>
    <row r="47" spans="1:5" x14ac:dyDescent="0.25">
      <c r="A47" s="42" t="s">
        <v>45</v>
      </c>
      <c r="B47" s="53">
        <v>8</v>
      </c>
      <c r="C47" s="53">
        <v>8</v>
      </c>
      <c r="D47" s="53">
        <v>311</v>
      </c>
      <c r="E47" s="53">
        <v>234</v>
      </c>
    </row>
    <row r="48" spans="1:5" x14ac:dyDescent="0.25">
      <c r="A48" s="42" t="s">
        <v>46</v>
      </c>
      <c r="B48" s="53">
        <v>105</v>
      </c>
      <c r="C48" s="53">
        <v>48</v>
      </c>
      <c r="D48" s="53">
        <v>1878</v>
      </c>
      <c r="E48" s="53">
        <v>1464</v>
      </c>
    </row>
    <row r="49" spans="1:5" x14ac:dyDescent="0.25">
      <c r="A49" s="42" t="s">
        <v>47</v>
      </c>
      <c r="B49" s="53">
        <v>0</v>
      </c>
      <c r="C49" s="53">
        <v>0</v>
      </c>
      <c r="D49" s="53">
        <v>7</v>
      </c>
      <c r="E49" s="53">
        <v>12</v>
      </c>
    </row>
    <row r="50" spans="1:5" x14ac:dyDescent="0.25">
      <c r="A50" s="42" t="s">
        <v>48</v>
      </c>
      <c r="B50" s="53">
        <v>18</v>
      </c>
      <c r="C50" s="53">
        <v>13</v>
      </c>
      <c r="D50" s="53">
        <v>709</v>
      </c>
      <c r="E50" s="53">
        <v>546</v>
      </c>
    </row>
    <row r="51" spans="1:5" x14ac:dyDescent="0.25">
      <c r="A51" s="42" t="s">
        <v>49</v>
      </c>
      <c r="B51" s="53">
        <v>2</v>
      </c>
      <c r="C51" s="53">
        <v>4</v>
      </c>
      <c r="D51" s="53">
        <v>65</v>
      </c>
      <c r="E51" s="53">
        <v>79</v>
      </c>
    </row>
    <row r="52" spans="1:5" x14ac:dyDescent="0.25">
      <c r="A52" s="42" t="s">
        <v>50</v>
      </c>
      <c r="B52" s="53">
        <v>1</v>
      </c>
      <c r="C52" s="53">
        <v>6</v>
      </c>
      <c r="D52" s="53">
        <v>52</v>
      </c>
      <c r="E52" s="53">
        <v>87</v>
      </c>
    </row>
    <row r="53" spans="1:5" x14ac:dyDescent="0.25">
      <c r="A53" s="42" t="s">
        <v>51</v>
      </c>
      <c r="B53" s="53">
        <v>415</v>
      </c>
      <c r="C53" s="53">
        <v>82</v>
      </c>
      <c r="D53" s="53">
        <v>7405</v>
      </c>
      <c r="E53" s="53">
        <v>1657</v>
      </c>
    </row>
    <row r="54" spans="1:5" x14ac:dyDescent="0.25">
      <c r="A54" s="42" t="s">
        <v>52</v>
      </c>
      <c r="B54" s="53">
        <v>1</v>
      </c>
      <c r="C54" s="53">
        <v>0</v>
      </c>
      <c r="D54" s="53">
        <v>76</v>
      </c>
      <c r="E54" s="53">
        <v>98</v>
      </c>
    </row>
    <row r="55" spans="1:5" x14ac:dyDescent="0.25">
      <c r="A55" s="42" t="s">
        <v>53</v>
      </c>
      <c r="B55" s="53">
        <v>0</v>
      </c>
      <c r="C55" s="53">
        <v>0</v>
      </c>
      <c r="D55" s="53">
        <v>7</v>
      </c>
      <c r="E55" s="53">
        <v>16</v>
      </c>
    </row>
    <row r="56" spans="1:5" x14ac:dyDescent="0.25">
      <c r="A56" s="42" t="s">
        <v>54</v>
      </c>
      <c r="B56" s="53">
        <v>4</v>
      </c>
      <c r="C56" s="53">
        <v>3</v>
      </c>
      <c r="D56" s="53">
        <v>137</v>
      </c>
      <c r="E56" s="53">
        <v>168</v>
      </c>
    </row>
    <row r="57" spans="1:5" x14ac:dyDescent="0.25">
      <c r="A57" s="42" t="s">
        <v>55</v>
      </c>
      <c r="B57" s="53">
        <v>1</v>
      </c>
      <c r="C57" s="53">
        <v>1</v>
      </c>
      <c r="D57" s="53">
        <v>12</v>
      </c>
      <c r="E57" s="53">
        <v>17</v>
      </c>
    </row>
    <row r="58" spans="1:5" x14ac:dyDescent="0.25">
      <c r="A58" s="42" t="s">
        <v>56</v>
      </c>
      <c r="B58" s="53">
        <v>1</v>
      </c>
      <c r="C58" s="53">
        <v>1</v>
      </c>
      <c r="D58" s="53">
        <v>63</v>
      </c>
      <c r="E58" s="53">
        <v>84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9</v>
      </c>
    </row>
    <row r="60" spans="1:5" x14ac:dyDescent="0.25">
      <c r="A60" s="42" t="s">
        <v>58</v>
      </c>
      <c r="B60" s="53">
        <v>2</v>
      </c>
      <c r="C60" s="53">
        <v>1</v>
      </c>
      <c r="D60" s="53">
        <v>34</v>
      </c>
      <c r="E60" s="53">
        <v>38</v>
      </c>
    </row>
    <row r="61" spans="1:5" x14ac:dyDescent="0.25">
      <c r="A61" s="42" t="s">
        <v>59</v>
      </c>
      <c r="B61" s="53">
        <v>0</v>
      </c>
      <c r="C61" s="53">
        <v>1</v>
      </c>
      <c r="D61" s="53">
        <v>27</v>
      </c>
      <c r="E61" s="53">
        <v>45</v>
      </c>
    </row>
    <row r="62" spans="1:5" x14ac:dyDescent="0.25">
      <c r="A62" s="42" t="s">
        <v>60</v>
      </c>
      <c r="B62" s="53">
        <v>1</v>
      </c>
      <c r="C62" s="53">
        <v>1</v>
      </c>
      <c r="D62" s="53">
        <v>15</v>
      </c>
      <c r="E62" s="53">
        <v>33</v>
      </c>
    </row>
    <row r="63" spans="1:5" x14ac:dyDescent="0.25">
      <c r="A63" s="42" t="s">
        <v>61</v>
      </c>
      <c r="B63" s="53">
        <v>0</v>
      </c>
      <c r="C63" s="53">
        <v>2</v>
      </c>
      <c r="D63" s="53">
        <v>41</v>
      </c>
      <c r="E63" s="53">
        <v>60</v>
      </c>
    </row>
    <row r="64" spans="1:5" x14ac:dyDescent="0.25">
      <c r="A64" s="42" t="s">
        <v>62</v>
      </c>
      <c r="B64" s="53">
        <v>1</v>
      </c>
      <c r="C64" s="53">
        <v>1</v>
      </c>
      <c r="D64" s="53">
        <v>26</v>
      </c>
      <c r="E64" s="53">
        <v>44</v>
      </c>
    </row>
    <row r="65" spans="1:5" x14ac:dyDescent="0.25">
      <c r="A65" s="42" t="s">
        <v>63</v>
      </c>
      <c r="B65" s="53">
        <v>3</v>
      </c>
      <c r="C65" s="53">
        <v>10</v>
      </c>
      <c r="D65" s="53">
        <v>185</v>
      </c>
      <c r="E65" s="53">
        <v>223</v>
      </c>
    </row>
    <row r="66" spans="1:5" x14ac:dyDescent="0.25">
      <c r="A66" s="42" t="s">
        <v>64</v>
      </c>
      <c r="B66" s="53">
        <v>3</v>
      </c>
      <c r="C66" s="53">
        <v>7</v>
      </c>
      <c r="D66" s="53">
        <v>50</v>
      </c>
      <c r="E66" s="53">
        <v>55</v>
      </c>
    </row>
    <row r="67" spans="1:5" x14ac:dyDescent="0.25">
      <c r="A67" s="42" t="s">
        <v>65</v>
      </c>
      <c r="B67" s="53">
        <v>16</v>
      </c>
      <c r="C67" s="53">
        <v>17</v>
      </c>
      <c r="D67" s="53">
        <v>323</v>
      </c>
      <c r="E67" s="53">
        <v>370</v>
      </c>
    </row>
    <row r="68" spans="1:5" x14ac:dyDescent="0.25">
      <c r="A68" s="42" t="s">
        <v>66</v>
      </c>
      <c r="B68" s="53">
        <v>4</v>
      </c>
      <c r="C68" s="53">
        <v>2</v>
      </c>
      <c r="D68" s="53">
        <v>33</v>
      </c>
      <c r="E68" s="53">
        <v>54</v>
      </c>
    </row>
    <row r="69" spans="1:5" x14ac:dyDescent="0.25">
      <c r="A69" s="42" t="s">
        <v>67</v>
      </c>
      <c r="B69" s="53">
        <v>48</v>
      </c>
      <c r="C69" s="53">
        <v>39</v>
      </c>
      <c r="D69" s="53">
        <v>1051</v>
      </c>
      <c r="E69" s="53">
        <v>1041</v>
      </c>
    </row>
    <row r="70" spans="1:5" x14ac:dyDescent="0.25">
      <c r="A70" s="39" t="s">
        <v>68</v>
      </c>
      <c r="B70" s="43">
        <f>SUM(B3:B69)</f>
        <v>1263</v>
      </c>
      <c r="C70" s="43">
        <f>SUM(C3:C69)</f>
        <v>704</v>
      </c>
      <c r="D70" s="43">
        <f t="shared" ref="D70:E70" si="0">SUM(D3:D69)</f>
        <v>26056</v>
      </c>
      <c r="E70" s="43">
        <f t="shared" si="0"/>
        <v>18185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4"/>
      <c r="E137" s="94"/>
    </row>
    <row r="138" spans="4:5" ht="14.4" x14ac:dyDescent="0.25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L21" sqref="AL21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4"/>
      <c r="AA137" s="94"/>
    </row>
    <row r="138" spans="26:27" ht="14.4" x14ac:dyDescent="0.25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50" sqref="I50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6275</v>
      </c>
      <c r="C2" s="11">
        <v>10675</v>
      </c>
      <c r="D2" s="11">
        <v>10919</v>
      </c>
      <c r="E2" s="11">
        <v>10069</v>
      </c>
      <c r="F2" s="11">
        <v>13759</v>
      </c>
      <c r="G2" s="11">
        <v>14090</v>
      </c>
      <c r="H2" s="11">
        <v>11038</v>
      </c>
    </row>
    <row r="3" spans="1:8" x14ac:dyDescent="0.25">
      <c r="A3" s="11" t="s">
        <v>2</v>
      </c>
      <c r="B3" s="11">
        <v>80121</v>
      </c>
      <c r="C3" s="11">
        <v>172535</v>
      </c>
      <c r="D3" s="11">
        <v>162334</v>
      </c>
      <c r="E3" s="11">
        <v>123564</v>
      </c>
      <c r="F3" s="11">
        <v>131492</v>
      </c>
      <c r="G3" s="11">
        <v>139542</v>
      </c>
      <c r="H3" s="11">
        <v>109479</v>
      </c>
    </row>
    <row r="4" spans="1:8" x14ac:dyDescent="0.25">
      <c r="A4" s="11" t="s">
        <v>3</v>
      </c>
      <c r="B4" s="11">
        <v>3130</v>
      </c>
      <c r="C4" s="11">
        <v>5608</v>
      </c>
      <c r="D4" s="11">
        <v>6147</v>
      </c>
      <c r="E4" s="11">
        <v>6394</v>
      </c>
      <c r="F4" s="11">
        <v>7706</v>
      </c>
      <c r="G4" s="11">
        <v>8269</v>
      </c>
      <c r="H4" s="11">
        <v>6363</v>
      </c>
    </row>
    <row r="5" spans="1:8" x14ac:dyDescent="0.25">
      <c r="A5" s="11" t="s">
        <v>4</v>
      </c>
      <c r="B5" s="11">
        <v>7519</v>
      </c>
      <c r="C5" s="11">
        <v>16016</v>
      </c>
      <c r="D5" s="11">
        <v>17919</v>
      </c>
      <c r="E5" s="11">
        <v>16308</v>
      </c>
      <c r="F5" s="11">
        <v>19538</v>
      </c>
      <c r="G5" s="11">
        <v>21044</v>
      </c>
      <c r="H5" s="11">
        <v>15830</v>
      </c>
    </row>
    <row r="6" spans="1:8" x14ac:dyDescent="0.25">
      <c r="A6" s="11" t="s">
        <v>5</v>
      </c>
      <c r="B6" s="11">
        <v>2223</v>
      </c>
      <c r="C6" s="11">
        <v>4253</v>
      </c>
      <c r="D6" s="11">
        <v>4467</v>
      </c>
      <c r="E6" s="11">
        <v>4781</v>
      </c>
      <c r="F6" s="11">
        <v>6050</v>
      </c>
      <c r="G6" s="11">
        <v>6340</v>
      </c>
      <c r="H6" s="11">
        <v>4949</v>
      </c>
    </row>
    <row r="7" spans="1:8" x14ac:dyDescent="0.25">
      <c r="A7" s="11" t="s">
        <v>6</v>
      </c>
      <c r="B7" s="11">
        <v>23419</v>
      </c>
      <c r="C7" s="11">
        <v>41937</v>
      </c>
      <c r="D7" s="11">
        <v>44007</v>
      </c>
      <c r="E7" s="11">
        <v>40673</v>
      </c>
      <c r="F7" s="11">
        <v>47592</v>
      </c>
      <c r="G7" s="11">
        <v>43049</v>
      </c>
      <c r="H7" s="11">
        <v>33885</v>
      </c>
    </row>
    <row r="8" spans="1:8" x14ac:dyDescent="0.25">
      <c r="A8" s="11" t="s">
        <v>7</v>
      </c>
      <c r="B8" s="11">
        <v>6186</v>
      </c>
      <c r="C8" s="11">
        <v>11314</v>
      </c>
      <c r="D8" s="11">
        <v>12314</v>
      </c>
      <c r="E8" s="11">
        <v>12170</v>
      </c>
      <c r="F8" s="11">
        <v>13639</v>
      </c>
      <c r="G8" s="11">
        <v>13993</v>
      </c>
      <c r="H8" s="11">
        <v>11973</v>
      </c>
    </row>
    <row r="9" spans="1:8" x14ac:dyDescent="0.25">
      <c r="A9" s="11" t="s">
        <v>8</v>
      </c>
      <c r="B9" s="11">
        <v>2914</v>
      </c>
      <c r="C9" s="11">
        <v>5286</v>
      </c>
      <c r="D9" s="11">
        <v>5766</v>
      </c>
      <c r="E9" s="11">
        <v>5392</v>
      </c>
      <c r="F9" s="11">
        <v>6988</v>
      </c>
      <c r="G9" s="11">
        <v>6918</v>
      </c>
      <c r="H9" s="11">
        <v>5673</v>
      </c>
    </row>
    <row r="10" spans="1:8" x14ac:dyDescent="0.25">
      <c r="A10" s="11" t="s">
        <v>9</v>
      </c>
      <c r="B10" s="11">
        <v>39679</v>
      </c>
      <c r="C10" s="11">
        <v>68453</v>
      </c>
      <c r="D10" s="11">
        <v>73919</v>
      </c>
      <c r="E10" s="11">
        <v>71088</v>
      </c>
      <c r="F10" s="11">
        <v>86673</v>
      </c>
      <c r="G10" s="11">
        <v>82467</v>
      </c>
      <c r="H10" s="11">
        <v>62988</v>
      </c>
    </row>
    <row r="11" spans="1:8" x14ac:dyDescent="0.25">
      <c r="A11" s="11" t="s">
        <v>10</v>
      </c>
      <c r="B11" s="11">
        <v>11174</v>
      </c>
      <c r="C11" s="11">
        <v>20518</v>
      </c>
      <c r="D11" s="11">
        <v>22630</v>
      </c>
      <c r="E11" s="11">
        <v>20869</v>
      </c>
      <c r="F11" s="11">
        <v>25022</v>
      </c>
      <c r="G11" s="11">
        <v>24642</v>
      </c>
      <c r="H11" s="11">
        <v>18947</v>
      </c>
    </row>
    <row r="12" spans="1:8" x14ac:dyDescent="0.25">
      <c r="A12" s="11" t="s">
        <v>11</v>
      </c>
      <c r="B12" s="11">
        <v>6241</v>
      </c>
      <c r="C12" s="11">
        <v>11188</v>
      </c>
      <c r="D12" s="11">
        <v>12037</v>
      </c>
      <c r="E12" s="11">
        <v>12612</v>
      </c>
      <c r="F12" s="11">
        <v>14499</v>
      </c>
      <c r="G12" s="11">
        <v>16357</v>
      </c>
      <c r="H12" s="11">
        <v>12966</v>
      </c>
    </row>
    <row r="13" spans="1:8" x14ac:dyDescent="0.25">
      <c r="A13" s="11" t="s">
        <v>12</v>
      </c>
      <c r="B13" s="11">
        <v>142</v>
      </c>
      <c r="C13" s="11">
        <v>293</v>
      </c>
      <c r="D13" s="11">
        <v>365</v>
      </c>
      <c r="E13" s="11">
        <v>346</v>
      </c>
      <c r="F13" s="11">
        <v>544</v>
      </c>
      <c r="G13" s="11">
        <v>660</v>
      </c>
      <c r="H13" s="11">
        <v>528</v>
      </c>
    </row>
    <row r="14" spans="1:8" x14ac:dyDescent="0.25">
      <c r="A14" s="11" t="s">
        <v>13</v>
      </c>
      <c r="B14" s="11">
        <v>3137</v>
      </c>
      <c r="C14" s="11">
        <v>6182</v>
      </c>
      <c r="D14" s="11">
        <v>6819</v>
      </c>
      <c r="E14" s="11">
        <v>6837</v>
      </c>
      <c r="F14" s="11">
        <v>8613</v>
      </c>
      <c r="G14" s="11">
        <v>8314</v>
      </c>
      <c r="H14" s="11">
        <v>5886</v>
      </c>
    </row>
    <row r="15" spans="1:8" x14ac:dyDescent="0.25">
      <c r="A15" s="11" t="s">
        <v>14</v>
      </c>
      <c r="B15" s="11">
        <v>17501</v>
      </c>
      <c r="C15" s="11">
        <v>19504</v>
      </c>
      <c r="D15" s="11">
        <v>13820</v>
      </c>
      <c r="E15" s="11">
        <v>12373</v>
      </c>
      <c r="F15" s="11">
        <v>13905</v>
      </c>
      <c r="G15" s="11">
        <v>13546</v>
      </c>
      <c r="H15" s="11">
        <v>11530</v>
      </c>
    </row>
    <row r="16" spans="1:8" x14ac:dyDescent="0.25">
      <c r="A16" s="11" t="s">
        <v>15</v>
      </c>
      <c r="B16" s="11">
        <v>36887</v>
      </c>
      <c r="C16" s="11">
        <v>60816</v>
      </c>
      <c r="D16" s="11">
        <v>60289</v>
      </c>
      <c r="E16" s="11">
        <v>58937</v>
      </c>
      <c r="F16" s="11">
        <v>66611</v>
      </c>
      <c r="G16" s="11">
        <v>59842</v>
      </c>
      <c r="H16" s="11">
        <v>46582</v>
      </c>
    </row>
    <row r="17" spans="1:8" x14ac:dyDescent="0.25">
      <c r="A17" s="11" t="s">
        <v>16</v>
      </c>
      <c r="B17" s="11">
        <v>1653</v>
      </c>
      <c r="C17" s="11">
        <v>3062</v>
      </c>
      <c r="D17" s="11">
        <v>3282</v>
      </c>
      <c r="E17" s="11">
        <v>3386</v>
      </c>
      <c r="F17" s="11">
        <v>4207</v>
      </c>
      <c r="G17" s="11">
        <v>4296</v>
      </c>
      <c r="H17" s="11">
        <v>3390</v>
      </c>
    </row>
    <row r="18" spans="1:8" x14ac:dyDescent="0.25">
      <c r="A18" s="11" t="s">
        <v>17</v>
      </c>
      <c r="B18" s="11">
        <v>3313</v>
      </c>
      <c r="C18" s="11">
        <v>6442</v>
      </c>
      <c r="D18" s="11">
        <v>7085</v>
      </c>
      <c r="E18" s="11">
        <v>7473</v>
      </c>
      <c r="F18" s="11">
        <v>9119</v>
      </c>
      <c r="G18" s="11">
        <v>9012</v>
      </c>
      <c r="H18" s="11">
        <v>7128</v>
      </c>
    </row>
    <row r="19" spans="1:8" x14ac:dyDescent="0.25">
      <c r="A19" s="11" t="s">
        <v>18</v>
      </c>
      <c r="B19" s="11">
        <v>1717</v>
      </c>
      <c r="C19" s="11">
        <v>3310</v>
      </c>
      <c r="D19" s="11">
        <v>3279</v>
      </c>
      <c r="E19" s="11">
        <v>3323</v>
      </c>
      <c r="F19" s="11">
        <v>3828</v>
      </c>
      <c r="G19" s="11">
        <v>3965</v>
      </c>
      <c r="H19" s="11">
        <v>3112</v>
      </c>
    </row>
    <row r="20" spans="1:8" x14ac:dyDescent="0.25">
      <c r="A20" s="11" t="s">
        <v>19</v>
      </c>
      <c r="B20" s="11">
        <v>3737</v>
      </c>
      <c r="C20" s="11">
        <v>5938</v>
      </c>
      <c r="D20" s="11">
        <v>5909</v>
      </c>
      <c r="E20" s="11">
        <v>5770</v>
      </c>
      <c r="F20" s="11">
        <v>6718</v>
      </c>
      <c r="G20" s="11">
        <v>6988</v>
      </c>
      <c r="H20" s="11">
        <v>5531</v>
      </c>
    </row>
    <row r="21" spans="1:8" x14ac:dyDescent="0.25">
      <c r="A21" s="11" t="s">
        <v>20</v>
      </c>
      <c r="B21" s="11">
        <v>3895</v>
      </c>
      <c r="C21" s="11">
        <v>6980</v>
      </c>
      <c r="D21" s="11">
        <v>7502</v>
      </c>
      <c r="E21" s="11">
        <v>7358</v>
      </c>
      <c r="F21" s="11">
        <v>9286</v>
      </c>
      <c r="G21" s="11">
        <v>9765</v>
      </c>
      <c r="H21" s="11">
        <v>8206</v>
      </c>
    </row>
    <row r="22" spans="1:8" x14ac:dyDescent="0.25">
      <c r="A22" s="11" t="s">
        <v>21</v>
      </c>
      <c r="B22" s="11">
        <v>16157</v>
      </c>
      <c r="C22" s="11">
        <v>28237</v>
      </c>
      <c r="D22" s="11">
        <v>30255</v>
      </c>
      <c r="E22" s="11">
        <v>27390</v>
      </c>
      <c r="F22" s="11">
        <v>29208</v>
      </c>
      <c r="G22" s="11">
        <v>28275</v>
      </c>
      <c r="H22" s="11">
        <v>24601</v>
      </c>
    </row>
    <row r="23" spans="1:8" x14ac:dyDescent="0.25">
      <c r="A23" s="11" t="s">
        <v>22</v>
      </c>
      <c r="B23" s="11">
        <v>17111</v>
      </c>
      <c r="C23" s="11">
        <v>34706</v>
      </c>
      <c r="D23" s="11">
        <v>34847</v>
      </c>
      <c r="E23" s="11">
        <v>30080</v>
      </c>
      <c r="F23" s="11">
        <v>32489</v>
      </c>
      <c r="G23" s="11">
        <v>30447</v>
      </c>
      <c r="H23" s="11">
        <v>21951</v>
      </c>
    </row>
    <row r="24" spans="1:8" x14ac:dyDescent="0.25">
      <c r="A24" s="11" t="s">
        <v>23</v>
      </c>
      <c r="B24" s="11">
        <v>38010</v>
      </c>
      <c r="C24" s="11">
        <v>66386</v>
      </c>
      <c r="D24" s="11">
        <v>72710</v>
      </c>
      <c r="E24" s="11">
        <v>60925</v>
      </c>
      <c r="F24" s="11">
        <v>65245</v>
      </c>
      <c r="G24" s="11">
        <v>62128</v>
      </c>
      <c r="H24" s="11">
        <v>46139</v>
      </c>
    </row>
    <row r="25" spans="1:8" x14ac:dyDescent="0.25">
      <c r="A25" s="11" t="s">
        <v>24</v>
      </c>
      <c r="B25" s="11">
        <v>1455</v>
      </c>
      <c r="C25" s="11">
        <v>2537</v>
      </c>
      <c r="D25" s="11">
        <v>2739</v>
      </c>
      <c r="E25" s="11">
        <v>2838</v>
      </c>
      <c r="F25" s="11">
        <v>3895</v>
      </c>
      <c r="G25" s="11">
        <v>3946</v>
      </c>
      <c r="H25" s="11">
        <v>3025</v>
      </c>
    </row>
    <row r="26" spans="1:8" x14ac:dyDescent="0.25">
      <c r="A26" s="11" t="s">
        <v>25</v>
      </c>
      <c r="B26" s="11">
        <v>14388</v>
      </c>
      <c r="C26" s="11">
        <v>27163</v>
      </c>
      <c r="D26" s="11">
        <v>27242</v>
      </c>
      <c r="E26" s="11">
        <v>25179</v>
      </c>
      <c r="F26" s="11">
        <v>28676</v>
      </c>
      <c r="G26" s="11">
        <v>29567</v>
      </c>
      <c r="H26" s="11">
        <v>22613</v>
      </c>
    </row>
    <row r="27" spans="1:8" x14ac:dyDescent="0.25">
      <c r="A27" s="11" t="s">
        <v>26</v>
      </c>
      <c r="B27" s="11">
        <v>5047</v>
      </c>
      <c r="C27" s="11">
        <v>10716</v>
      </c>
      <c r="D27" s="11">
        <v>11648</v>
      </c>
      <c r="E27" s="11">
        <v>12065</v>
      </c>
      <c r="F27" s="11">
        <v>14048</v>
      </c>
      <c r="G27" s="11">
        <v>14662</v>
      </c>
      <c r="H27" s="11">
        <v>11356</v>
      </c>
    </row>
    <row r="28" spans="1:8" x14ac:dyDescent="0.25">
      <c r="A28" s="11" t="s">
        <v>27</v>
      </c>
      <c r="B28" s="11">
        <v>155</v>
      </c>
      <c r="C28" s="11">
        <v>236</v>
      </c>
      <c r="D28" s="11">
        <v>309</v>
      </c>
      <c r="E28" s="11">
        <v>387</v>
      </c>
      <c r="F28" s="11">
        <v>677</v>
      </c>
      <c r="G28" s="11">
        <v>840</v>
      </c>
      <c r="H28" s="11">
        <v>654</v>
      </c>
    </row>
    <row r="29" spans="1:8" x14ac:dyDescent="0.25">
      <c r="A29" s="11" t="s">
        <v>28</v>
      </c>
      <c r="B29" s="11">
        <v>8262</v>
      </c>
      <c r="C29" s="11">
        <v>15445</v>
      </c>
      <c r="D29" s="11">
        <v>16182</v>
      </c>
      <c r="E29" s="11">
        <v>15716</v>
      </c>
      <c r="F29" s="11">
        <v>18092</v>
      </c>
      <c r="G29" s="11">
        <v>16940</v>
      </c>
      <c r="H29" s="11">
        <v>14838</v>
      </c>
    </row>
    <row r="30" spans="1:8" x14ac:dyDescent="0.25">
      <c r="A30" s="11" t="s">
        <v>29</v>
      </c>
      <c r="B30" s="11">
        <v>726</v>
      </c>
      <c r="C30" s="11">
        <v>1375</v>
      </c>
      <c r="D30" s="11">
        <v>1401</v>
      </c>
      <c r="E30" s="11">
        <v>1530</v>
      </c>
      <c r="F30" s="11">
        <v>1872</v>
      </c>
      <c r="G30" s="11">
        <v>1767</v>
      </c>
      <c r="H30" s="11">
        <v>1452</v>
      </c>
    </row>
    <row r="31" spans="1:8" x14ac:dyDescent="0.25">
      <c r="A31" s="11" t="s">
        <v>30</v>
      </c>
      <c r="B31" s="11">
        <v>1512</v>
      </c>
      <c r="C31" s="11">
        <v>2999</v>
      </c>
      <c r="D31" s="11">
        <v>3061</v>
      </c>
      <c r="E31" s="11">
        <v>3415</v>
      </c>
      <c r="F31" s="11">
        <v>3788</v>
      </c>
      <c r="G31" s="11">
        <v>3991</v>
      </c>
      <c r="H31" s="11">
        <v>3025</v>
      </c>
    </row>
    <row r="32" spans="1:8" x14ac:dyDescent="0.25">
      <c r="A32" s="11" t="s">
        <v>31</v>
      </c>
      <c r="B32" s="11">
        <v>2283</v>
      </c>
      <c r="C32" s="11">
        <v>3733</v>
      </c>
      <c r="D32" s="11">
        <v>3613</v>
      </c>
      <c r="E32" s="11">
        <v>3977</v>
      </c>
      <c r="F32" s="11">
        <v>4947</v>
      </c>
      <c r="G32" s="11">
        <v>5059</v>
      </c>
      <c r="H32" s="11">
        <v>4263</v>
      </c>
    </row>
    <row r="33" spans="1:8" x14ac:dyDescent="0.25">
      <c r="A33" s="11" t="s">
        <v>32</v>
      </c>
      <c r="B33" s="11">
        <v>4450</v>
      </c>
      <c r="C33" s="11">
        <v>6626</v>
      </c>
      <c r="D33" s="11">
        <v>6739</v>
      </c>
      <c r="E33" s="11">
        <v>6931</v>
      </c>
      <c r="F33" s="11">
        <v>8286</v>
      </c>
      <c r="G33" s="11">
        <v>8995</v>
      </c>
      <c r="H33" s="11">
        <v>7077</v>
      </c>
    </row>
    <row r="34" spans="1:8" x14ac:dyDescent="0.25">
      <c r="A34" s="11" t="s">
        <v>33</v>
      </c>
      <c r="B34" s="11">
        <v>2059</v>
      </c>
      <c r="C34" s="11">
        <v>3582</v>
      </c>
      <c r="D34" s="11">
        <v>4172</v>
      </c>
      <c r="E34" s="11">
        <v>4053</v>
      </c>
      <c r="F34" s="11">
        <v>4885</v>
      </c>
      <c r="G34" s="11">
        <v>5279</v>
      </c>
      <c r="H34" s="11">
        <v>4026</v>
      </c>
    </row>
    <row r="35" spans="1:8" x14ac:dyDescent="0.25">
      <c r="A35" s="11" t="s">
        <v>34</v>
      </c>
      <c r="B35" s="11">
        <v>937</v>
      </c>
      <c r="C35" s="11">
        <v>1771</v>
      </c>
      <c r="D35" s="11">
        <v>1997</v>
      </c>
      <c r="E35" s="11">
        <v>2114</v>
      </c>
      <c r="F35" s="11">
        <v>2595</v>
      </c>
      <c r="G35" s="11">
        <v>2575</v>
      </c>
      <c r="H35" s="11">
        <v>2087</v>
      </c>
    </row>
    <row r="36" spans="1:8" x14ac:dyDescent="0.25">
      <c r="A36" s="11" t="s">
        <v>35</v>
      </c>
      <c r="B36" s="11">
        <v>12099</v>
      </c>
      <c r="C36" s="11">
        <v>22945</v>
      </c>
      <c r="D36" s="11">
        <v>24242</v>
      </c>
      <c r="E36" s="11">
        <v>21717</v>
      </c>
      <c r="F36" s="11">
        <v>25006</v>
      </c>
      <c r="G36" s="11">
        <v>24102</v>
      </c>
      <c r="H36" s="11">
        <v>19993</v>
      </c>
    </row>
    <row r="37" spans="1:8" x14ac:dyDescent="0.25">
      <c r="A37" s="11" t="s">
        <v>36</v>
      </c>
      <c r="B37" s="11">
        <v>30603</v>
      </c>
      <c r="C37" s="11">
        <v>58999</v>
      </c>
      <c r="D37" s="11">
        <v>59679</v>
      </c>
      <c r="E37" s="11">
        <v>51250</v>
      </c>
      <c r="F37" s="11">
        <v>56726</v>
      </c>
      <c r="G37" s="11">
        <v>57638</v>
      </c>
      <c r="H37" s="11">
        <v>50094</v>
      </c>
    </row>
    <row r="38" spans="1:8" x14ac:dyDescent="0.25">
      <c r="A38" s="11" t="s">
        <v>37</v>
      </c>
      <c r="B38" s="11">
        <v>4255</v>
      </c>
      <c r="C38" s="11">
        <v>7850</v>
      </c>
      <c r="D38" s="11">
        <v>8367</v>
      </c>
      <c r="E38" s="11">
        <v>8288</v>
      </c>
      <c r="F38" s="11">
        <v>9759</v>
      </c>
      <c r="G38" s="11">
        <v>10394</v>
      </c>
      <c r="H38" s="11">
        <v>8399</v>
      </c>
    </row>
    <row r="39" spans="1:8" x14ac:dyDescent="0.25">
      <c r="A39" s="11" t="s">
        <v>38</v>
      </c>
      <c r="B39" s="11">
        <v>7304</v>
      </c>
      <c r="C39" s="11">
        <v>13146</v>
      </c>
      <c r="D39" s="11">
        <v>14503</v>
      </c>
      <c r="E39" s="11">
        <v>14103</v>
      </c>
      <c r="F39" s="11">
        <v>15914</v>
      </c>
      <c r="G39" s="11">
        <v>15712</v>
      </c>
      <c r="H39" s="11">
        <v>13622</v>
      </c>
    </row>
    <row r="40" spans="1:8" x14ac:dyDescent="0.25">
      <c r="A40" s="11" t="s">
        <v>39</v>
      </c>
      <c r="B40" s="11">
        <v>21715</v>
      </c>
      <c r="C40" s="11">
        <v>41917</v>
      </c>
      <c r="D40" s="11">
        <v>42577</v>
      </c>
      <c r="E40" s="11">
        <v>38736</v>
      </c>
      <c r="F40" s="11">
        <v>41209</v>
      </c>
      <c r="G40" s="11">
        <v>38478</v>
      </c>
      <c r="H40" s="11">
        <v>30055</v>
      </c>
    </row>
    <row r="41" spans="1:8" x14ac:dyDescent="0.25">
      <c r="A41" s="11" t="s">
        <v>40</v>
      </c>
      <c r="B41" s="11">
        <v>16169</v>
      </c>
      <c r="C41" s="11">
        <v>30966</v>
      </c>
      <c r="D41" s="11">
        <v>33415</v>
      </c>
      <c r="E41" s="11">
        <v>30702</v>
      </c>
      <c r="F41" s="11">
        <v>35968</v>
      </c>
      <c r="G41" s="11">
        <v>33418</v>
      </c>
      <c r="H41" s="11">
        <v>27514</v>
      </c>
    </row>
    <row r="42" spans="1:8" x14ac:dyDescent="0.25">
      <c r="A42" s="11" t="s">
        <v>41</v>
      </c>
      <c r="B42" s="11">
        <v>5533</v>
      </c>
      <c r="C42" s="11">
        <v>10084</v>
      </c>
      <c r="D42" s="11">
        <v>11453</v>
      </c>
      <c r="E42" s="11">
        <v>10415</v>
      </c>
      <c r="F42" s="11">
        <v>12158</v>
      </c>
      <c r="G42" s="11">
        <v>12990</v>
      </c>
      <c r="H42" s="11">
        <v>10070</v>
      </c>
    </row>
    <row r="43" spans="1:8" x14ac:dyDescent="0.25">
      <c r="A43" s="11" t="s">
        <v>91</v>
      </c>
      <c r="B43" s="11">
        <v>1788</v>
      </c>
      <c r="C43" s="11">
        <v>3307</v>
      </c>
      <c r="D43" s="11">
        <v>3690</v>
      </c>
      <c r="E43" s="11">
        <v>3755</v>
      </c>
      <c r="F43" s="11">
        <v>4549</v>
      </c>
      <c r="G43" s="11">
        <v>4646</v>
      </c>
      <c r="H43" s="11">
        <v>3587</v>
      </c>
    </row>
    <row r="44" spans="1:8" x14ac:dyDescent="0.25">
      <c r="A44" s="11" t="s">
        <v>43</v>
      </c>
      <c r="B44" s="11">
        <v>5492</v>
      </c>
      <c r="C44" s="11">
        <v>9820</v>
      </c>
      <c r="D44" s="11">
        <v>10011</v>
      </c>
      <c r="E44" s="11">
        <v>9883</v>
      </c>
      <c r="F44" s="11">
        <v>12326</v>
      </c>
      <c r="G44" s="11">
        <v>13471</v>
      </c>
      <c r="H44" s="11">
        <v>10954</v>
      </c>
    </row>
    <row r="45" spans="1:8" x14ac:dyDescent="0.25">
      <c r="A45" s="11" t="s">
        <v>44</v>
      </c>
      <c r="B45" s="11">
        <v>1724</v>
      </c>
      <c r="C45" s="11">
        <v>3627</v>
      </c>
      <c r="D45" s="11">
        <v>3909</v>
      </c>
      <c r="E45" s="11">
        <v>3911</v>
      </c>
      <c r="F45" s="11">
        <v>5013</v>
      </c>
      <c r="G45" s="11">
        <v>4761</v>
      </c>
      <c r="H45" s="11">
        <v>4214</v>
      </c>
    </row>
    <row r="46" spans="1:8" x14ac:dyDescent="0.25">
      <c r="A46" s="11" t="s">
        <v>45</v>
      </c>
      <c r="B46" s="11">
        <v>9684</v>
      </c>
      <c r="C46" s="11">
        <v>17562</v>
      </c>
      <c r="D46" s="11">
        <v>17831</v>
      </c>
      <c r="E46" s="11">
        <v>17450</v>
      </c>
      <c r="F46" s="11">
        <v>22534</v>
      </c>
      <c r="G46" s="11">
        <v>20368</v>
      </c>
      <c r="H46" s="11">
        <v>12501</v>
      </c>
    </row>
    <row r="47" spans="1:8" x14ac:dyDescent="0.25">
      <c r="A47" s="11" t="s">
        <v>46</v>
      </c>
      <c r="B47" s="11">
        <v>53945</v>
      </c>
      <c r="C47" s="11">
        <v>96903</v>
      </c>
      <c r="D47" s="11">
        <v>105169</v>
      </c>
      <c r="E47" s="11">
        <v>93751</v>
      </c>
      <c r="F47" s="11">
        <v>101549</v>
      </c>
      <c r="G47" s="11">
        <v>95586</v>
      </c>
      <c r="H47" s="11">
        <v>77908</v>
      </c>
    </row>
    <row r="48" spans="1:8" x14ac:dyDescent="0.25">
      <c r="A48" s="11" t="s">
        <v>47</v>
      </c>
      <c r="B48" s="11">
        <v>812</v>
      </c>
      <c r="C48" s="11">
        <v>1882</v>
      </c>
      <c r="D48" s="11">
        <v>2022</v>
      </c>
      <c r="E48" s="11">
        <v>1652</v>
      </c>
      <c r="F48" s="11">
        <v>1972</v>
      </c>
      <c r="G48" s="11">
        <v>2171</v>
      </c>
      <c r="H48" s="11">
        <v>1858</v>
      </c>
    </row>
    <row r="49" spans="1:8" x14ac:dyDescent="0.25">
      <c r="A49" s="11" t="s">
        <v>48</v>
      </c>
      <c r="B49" s="11">
        <v>22739</v>
      </c>
      <c r="C49" s="11">
        <v>36968</v>
      </c>
      <c r="D49" s="11">
        <v>35940</v>
      </c>
      <c r="E49" s="11">
        <v>33182</v>
      </c>
      <c r="F49" s="11">
        <v>38510</v>
      </c>
      <c r="G49" s="11">
        <v>36476</v>
      </c>
      <c r="H49" s="11">
        <v>29152</v>
      </c>
    </row>
    <row r="50" spans="1:8" x14ac:dyDescent="0.25">
      <c r="A50" s="11" t="s">
        <v>49</v>
      </c>
      <c r="B50" s="11">
        <v>3654</v>
      </c>
      <c r="C50" s="11">
        <v>7212</v>
      </c>
      <c r="D50" s="11">
        <v>8580</v>
      </c>
      <c r="E50" s="11">
        <v>8201</v>
      </c>
      <c r="F50" s="11">
        <v>9670</v>
      </c>
      <c r="G50" s="11">
        <v>10041</v>
      </c>
      <c r="H50" s="11">
        <v>8031</v>
      </c>
    </row>
    <row r="51" spans="1:8" x14ac:dyDescent="0.25">
      <c r="A51" s="11" t="s">
        <v>50</v>
      </c>
      <c r="B51" s="11">
        <v>2355</v>
      </c>
      <c r="C51" s="11">
        <v>4353</v>
      </c>
      <c r="D51" s="11">
        <v>4876</v>
      </c>
      <c r="E51" s="11">
        <v>4739</v>
      </c>
      <c r="F51" s="11">
        <v>5822</v>
      </c>
      <c r="G51" s="11">
        <v>5365</v>
      </c>
      <c r="H51" s="11">
        <v>3771</v>
      </c>
    </row>
    <row r="52" spans="1:8" x14ac:dyDescent="0.25">
      <c r="A52" s="11" t="s">
        <v>51</v>
      </c>
      <c r="B52" s="11">
        <v>102021</v>
      </c>
      <c r="C52" s="11">
        <v>259820</v>
      </c>
      <c r="D52" s="11">
        <v>223227</v>
      </c>
      <c r="E52" s="11">
        <v>144661</v>
      </c>
      <c r="F52" s="11">
        <v>144701</v>
      </c>
      <c r="G52" s="11">
        <v>127266</v>
      </c>
      <c r="H52" s="11">
        <v>92455</v>
      </c>
    </row>
    <row r="53" spans="1:8" x14ac:dyDescent="0.25">
      <c r="A53" s="11" t="s">
        <v>52</v>
      </c>
      <c r="B53" s="11">
        <v>3142</v>
      </c>
      <c r="C53" s="11">
        <v>5961</v>
      </c>
      <c r="D53" s="11">
        <v>6516</v>
      </c>
      <c r="E53" s="11">
        <v>6643</v>
      </c>
      <c r="F53" s="11">
        <v>9536</v>
      </c>
      <c r="G53" s="11">
        <v>9255</v>
      </c>
      <c r="H53" s="11">
        <v>6393</v>
      </c>
    </row>
    <row r="54" spans="1:8" x14ac:dyDescent="0.25">
      <c r="A54" s="11" t="s">
        <v>53</v>
      </c>
      <c r="B54" s="11">
        <v>735</v>
      </c>
      <c r="C54" s="11">
        <v>1257</v>
      </c>
      <c r="D54" s="11">
        <v>1475</v>
      </c>
      <c r="E54" s="11">
        <v>1497</v>
      </c>
      <c r="F54" s="11">
        <v>2025</v>
      </c>
      <c r="G54" s="11">
        <v>2235</v>
      </c>
      <c r="H54" s="11">
        <v>1769</v>
      </c>
    </row>
    <row r="55" spans="1:8" x14ac:dyDescent="0.25">
      <c r="A55" s="11" t="s">
        <v>54</v>
      </c>
      <c r="B55" s="11">
        <v>6861</v>
      </c>
      <c r="C55" s="11">
        <v>12489</v>
      </c>
      <c r="D55" s="11">
        <v>13907</v>
      </c>
      <c r="E55" s="11">
        <v>14195</v>
      </c>
      <c r="F55" s="11">
        <v>16654</v>
      </c>
      <c r="G55" s="11">
        <v>16139</v>
      </c>
      <c r="H55" s="11">
        <v>12297</v>
      </c>
    </row>
    <row r="56" spans="1:8" x14ac:dyDescent="0.25">
      <c r="A56" s="11" t="s">
        <v>55</v>
      </c>
      <c r="B56" s="11">
        <v>2202</v>
      </c>
      <c r="C56" s="11">
        <v>3215</v>
      </c>
      <c r="D56" s="11">
        <v>3483</v>
      </c>
      <c r="E56" s="11">
        <v>3427</v>
      </c>
      <c r="F56" s="11">
        <v>4153</v>
      </c>
      <c r="G56" s="11">
        <v>3980</v>
      </c>
      <c r="H56" s="11">
        <v>3401</v>
      </c>
    </row>
    <row r="57" spans="1:8" x14ac:dyDescent="0.25">
      <c r="A57" s="11" t="s">
        <v>56</v>
      </c>
      <c r="B57" s="11">
        <v>3236</v>
      </c>
      <c r="C57" s="11">
        <v>6007</v>
      </c>
      <c r="D57" s="11">
        <v>6777</v>
      </c>
      <c r="E57" s="11">
        <v>7027</v>
      </c>
      <c r="F57" s="11">
        <v>8587</v>
      </c>
      <c r="G57" s="11">
        <v>9365</v>
      </c>
      <c r="H57" s="11">
        <v>7510</v>
      </c>
    </row>
    <row r="58" spans="1:8" x14ac:dyDescent="0.25">
      <c r="A58" s="11" t="s">
        <v>57</v>
      </c>
      <c r="B58" s="11">
        <v>250</v>
      </c>
      <c r="C58" s="11">
        <v>415</v>
      </c>
      <c r="D58" s="11">
        <v>563</v>
      </c>
      <c r="E58" s="11">
        <v>562</v>
      </c>
      <c r="F58" s="11">
        <v>803</v>
      </c>
      <c r="G58" s="11">
        <v>1083</v>
      </c>
      <c r="H58" s="11">
        <v>790</v>
      </c>
    </row>
    <row r="59" spans="1:8" x14ac:dyDescent="0.25">
      <c r="A59" s="11" t="s">
        <v>58</v>
      </c>
      <c r="B59" s="11">
        <v>1867</v>
      </c>
      <c r="C59" s="11">
        <v>3530</v>
      </c>
      <c r="D59" s="11">
        <v>3929</v>
      </c>
      <c r="E59" s="11">
        <v>3652</v>
      </c>
      <c r="F59" s="11">
        <v>4992</v>
      </c>
      <c r="G59" s="11">
        <v>5287</v>
      </c>
      <c r="H59" s="11">
        <v>4173</v>
      </c>
    </row>
    <row r="60" spans="1:8" x14ac:dyDescent="0.25">
      <c r="A60" s="11" t="s">
        <v>59</v>
      </c>
      <c r="B60" s="11">
        <v>1869</v>
      </c>
      <c r="C60" s="11">
        <v>3293</v>
      </c>
      <c r="D60" s="11">
        <v>3914</v>
      </c>
      <c r="E60" s="11">
        <v>3761</v>
      </c>
      <c r="F60" s="11">
        <v>4745</v>
      </c>
      <c r="G60" s="11">
        <v>5073</v>
      </c>
      <c r="H60" s="11">
        <v>4168</v>
      </c>
    </row>
    <row r="61" spans="1:8" x14ac:dyDescent="0.25">
      <c r="A61" s="11" t="s">
        <v>60</v>
      </c>
      <c r="B61" s="11">
        <v>3702</v>
      </c>
      <c r="C61" s="11">
        <v>4079</v>
      </c>
      <c r="D61" s="11">
        <v>3648</v>
      </c>
      <c r="E61" s="11">
        <v>3445</v>
      </c>
      <c r="F61" s="11">
        <v>3987</v>
      </c>
      <c r="G61" s="11">
        <v>3891</v>
      </c>
      <c r="H61" s="11">
        <v>3758</v>
      </c>
    </row>
    <row r="62" spans="1:8" x14ac:dyDescent="0.25">
      <c r="A62" s="11" t="s">
        <v>61</v>
      </c>
      <c r="B62" s="11">
        <v>2224</v>
      </c>
      <c r="C62" s="11">
        <v>3944</v>
      </c>
      <c r="D62" s="11">
        <v>4674</v>
      </c>
      <c r="E62" s="11">
        <v>4779</v>
      </c>
      <c r="F62" s="11">
        <v>5676</v>
      </c>
      <c r="G62" s="11">
        <v>6610</v>
      </c>
      <c r="H62" s="11">
        <v>4945</v>
      </c>
    </row>
    <row r="63" spans="1:8" x14ac:dyDescent="0.25">
      <c r="A63" s="11" t="s">
        <v>62</v>
      </c>
      <c r="B63" s="11">
        <v>1714</v>
      </c>
      <c r="C63" s="11">
        <v>3046</v>
      </c>
      <c r="D63" s="11">
        <v>3619</v>
      </c>
      <c r="E63" s="11">
        <v>3498</v>
      </c>
      <c r="F63" s="11">
        <v>4682</v>
      </c>
      <c r="G63" s="11">
        <v>5031</v>
      </c>
      <c r="H63" s="11">
        <v>3830</v>
      </c>
    </row>
    <row r="64" spans="1:8" x14ac:dyDescent="0.25">
      <c r="A64" s="11" t="s">
        <v>63</v>
      </c>
      <c r="B64" s="11">
        <v>10373</v>
      </c>
      <c r="C64" s="11">
        <v>19680</v>
      </c>
      <c r="D64" s="11">
        <v>22535</v>
      </c>
      <c r="E64" s="11">
        <v>21294</v>
      </c>
      <c r="F64" s="11">
        <v>25014</v>
      </c>
      <c r="G64" s="11">
        <v>26111</v>
      </c>
      <c r="H64" s="11">
        <v>20127</v>
      </c>
    </row>
    <row r="65" spans="1:8" x14ac:dyDescent="0.25">
      <c r="A65" s="11" t="s">
        <v>64</v>
      </c>
      <c r="B65" s="11">
        <v>2199</v>
      </c>
      <c r="C65" s="11">
        <v>4540</v>
      </c>
      <c r="D65" s="11">
        <v>5056</v>
      </c>
      <c r="E65" s="11">
        <v>4906</v>
      </c>
      <c r="F65" s="11">
        <v>6907</v>
      </c>
      <c r="G65" s="11">
        <v>7459</v>
      </c>
      <c r="H65" s="11">
        <v>5662</v>
      </c>
    </row>
    <row r="66" spans="1:8" x14ac:dyDescent="0.25">
      <c r="A66" s="11" t="s">
        <v>65</v>
      </c>
      <c r="B66" s="11">
        <v>17284</v>
      </c>
      <c r="C66" s="11">
        <v>33096</v>
      </c>
      <c r="D66" s="11">
        <v>36461</v>
      </c>
      <c r="E66" s="11">
        <v>35058</v>
      </c>
      <c r="F66" s="11">
        <v>44072</v>
      </c>
      <c r="G66" s="11">
        <v>46644</v>
      </c>
      <c r="H66" s="11">
        <v>38156</v>
      </c>
    </row>
    <row r="67" spans="1:8" x14ac:dyDescent="0.25">
      <c r="A67" s="11" t="s">
        <v>66</v>
      </c>
      <c r="B67" s="11">
        <v>1335</v>
      </c>
      <c r="C67" s="11">
        <v>2509</v>
      </c>
      <c r="D67" s="11">
        <v>2695</v>
      </c>
      <c r="E67" s="11">
        <v>2688</v>
      </c>
      <c r="F67" s="11">
        <v>3253</v>
      </c>
      <c r="G67" s="11">
        <v>3358</v>
      </c>
      <c r="H67" s="11">
        <v>2665</v>
      </c>
    </row>
    <row r="68" spans="1:8" ht="13.8" thickBot="1" x14ac:dyDescent="0.3">
      <c r="A68" s="13" t="s">
        <v>67</v>
      </c>
      <c r="B68" s="13">
        <v>26703</v>
      </c>
      <c r="C68" s="13">
        <v>50439</v>
      </c>
      <c r="D68" s="13">
        <v>54920</v>
      </c>
      <c r="E68" s="13">
        <v>50325</v>
      </c>
      <c r="F68" s="13">
        <v>57032</v>
      </c>
      <c r="G68" s="13">
        <v>50605</v>
      </c>
      <c r="H68" s="13">
        <v>38401</v>
      </c>
    </row>
    <row r="69" spans="1:8" x14ac:dyDescent="0.25">
      <c r="A69" s="32" t="s">
        <v>68</v>
      </c>
      <c r="B69" s="32">
        <f>SUM(B2:B68)</f>
        <v>761003</v>
      </c>
      <c r="C69" s="32">
        <f t="shared" ref="C69:G69" si="0">SUM(C2:C68)</f>
        <v>1470683</v>
      </c>
      <c r="D69" s="32">
        <f t="shared" si="0"/>
        <v>1481387</v>
      </c>
      <c r="E69" s="32">
        <f t="shared" si="0"/>
        <v>1289476</v>
      </c>
      <c r="F69" s="32">
        <f t="shared" si="0"/>
        <v>1459996</v>
      </c>
      <c r="G69" s="32">
        <f t="shared" si="0"/>
        <v>1422579</v>
      </c>
      <c r="H69" s="32">
        <f>SUM(H2:H68)</f>
        <v>1115314</v>
      </c>
    </row>
    <row r="70" spans="1:8" x14ac:dyDescent="0.25">
      <c r="B70" s="17">
        <f t="shared" ref="B70:H70" si="1">B69/$B$72</f>
        <v>8.4551774035885804E-2</v>
      </c>
      <c r="C70" s="17">
        <f>C69/$B$72</f>
        <v>0.16340127002708091</v>
      </c>
      <c r="D70" s="17">
        <f>D69/$B$72</f>
        <v>0.16459054548234209</v>
      </c>
      <c r="E70" s="17">
        <f t="shared" si="1"/>
        <v>0.14326813872835967</v>
      </c>
      <c r="F70" s="17">
        <f t="shared" si="1"/>
        <v>0.16221388336878717</v>
      </c>
      <c r="G70" s="17">
        <f t="shared" si="1"/>
        <v>0.15805664124345947</v>
      </c>
      <c r="H70" s="17">
        <f t="shared" si="1"/>
        <v>0.12391774711408489</v>
      </c>
    </row>
    <row r="72" spans="1:8" x14ac:dyDescent="0.25">
      <c r="A72" s="32" t="s">
        <v>80</v>
      </c>
      <c r="B72" s="16">
        <f>SUM(B69:H69)</f>
        <v>9000438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32" sqref="L32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1951</v>
      </c>
      <c r="D2" s="11">
        <v>2797</v>
      </c>
      <c r="E2" s="11">
        <v>2345</v>
      </c>
      <c r="F2" s="11">
        <v>2123</v>
      </c>
      <c r="G2" s="11">
        <v>2651</v>
      </c>
      <c r="H2" s="11">
        <v>3794</v>
      </c>
      <c r="I2" s="11">
        <v>3560</v>
      </c>
    </row>
    <row r="3" spans="1:9" x14ac:dyDescent="0.25">
      <c r="A3" s="11" t="s">
        <v>2</v>
      </c>
      <c r="B3" s="10" t="s">
        <v>0</v>
      </c>
      <c r="C3" s="11">
        <v>42104</v>
      </c>
      <c r="D3" s="11">
        <v>94755</v>
      </c>
      <c r="E3" s="11">
        <v>89803</v>
      </c>
      <c r="F3" s="11">
        <v>64488</v>
      </c>
      <c r="G3" s="11">
        <v>67151</v>
      </c>
      <c r="H3" s="11">
        <v>79877</v>
      </c>
      <c r="I3" s="11">
        <v>66140</v>
      </c>
    </row>
    <row r="4" spans="1:9" x14ac:dyDescent="0.25">
      <c r="A4" s="11" t="s">
        <v>3</v>
      </c>
      <c r="B4" s="10" t="s">
        <v>0</v>
      </c>
      <c r="C4" s="11">
        <v>611</v>
      </c>
      <c r="D4" s="11">
        <v>1100</v>
      </c>
      <c r="E4" s="11">
        <v>1196</v>
      </c>
      <c r="F4" s="11">
        <v>1265</v>
      </c>
      <c r="G4" s="11">
        <v>1732</v>
      </c>
      <c r="H4" s="11">
        <v>2543</v>
      </c>
      <c r="I4" s="11">
        <v>2182</v>
      </c>
    </row>
    <row r="5" spans="1:9" x14ac:dyDescent="0.25">
      <c r="A5" s="11" t="s">
        <v>4</v>
      </c>
      <c r="B5" s="10" t="s">
        <v>0</v>
      </c>
      <c r="C5" s="11">
        <v>2530</v>
      </c>
      <c r="D5" s="11">
        <v>5668</v>
      </c>
      <c r="E5" s="11">
        <v>6400</v>
      </c>
      <c r="F5" s="11">
        <v>5909</v>
      </c>
      <c r="G5" s="11">
        <v>7298</v>
      </c>
      <c r="H5" s="11">
        <v>9821</v>
      </c>
      <c r="I5" s="11">
        <v>8100</v>
      </c>
    </row>
    <row r="6" spans="1:9" x14ac:dyDescent="0.25">
      <c r="A6" s="11" t="s">
        <v>5</v>
      </c>
      <c r="B6" s="10" t="s">
        <v>0</v>
      </c>
      <c r="C6" s="11">
        <v>305</v>
      </c>
      <c r="D6" s="11">
        <v>522</v>
      </c>
      <c r="E6" s="11">
        <v>589</v>
      </c>
      <c r="F6" s="11">
        <v>620</v>
      </c>
      <c r="G6" s="11">
        <v>855</v>
      </c>
      <c r="H6" s="11">
        <v>1178</v>
      </c>
      <c r="I6" s="11">
        <v>1196</v>
      </c>
    </row>
    <row r="7" spans="1:9" x14ac:dyDescent="0.25">
      <c r="A7" s="11" t="s">
        <v>6</v>
      </c>
      <c r="B7" s="10" t="s">
        <v>0</v>
      </c>
      <c r="C7" s="11">
        <v>8565</v>
      </c>
      <c r="D7" s="11">
        <v>15784</v>
      </c>
      <c r="E7" s="11">
        <v>16333</v>
      </c>
      <c r="F7" s="11">
        <v>14919</v>
      </c>
      <c r="G7" s="11">
        <v>16806</v>
      </c>
      <c r="H7" s="11">
        <v>17355</v>
      </c>
      <c r="I7" s="11">
        <v>14589</v>
      </c>
    </row>
    <row r="8" spans="1:9" x14ac:dyDescent="0.25">
      <c r="A8" s="11" t="s">
        <v>7</v>
      </c>
      <c r="B8" s="10" t="s">
        <v>0</v>
      </c>
      <c r="C8" s="11">
        <v>1517</v>
      </c>
      <c r="D8" s="11">
        <v>3055</v>
      </c>
      <c r="E8" s="11">
        <v>3129</v>
      </c>
      <c r="F8" s="11">
        <v>2569</v>
      </c>
      <c r="G8" s="11">
        <v>2742</v>
      </c>
      <c r="H8" s="11">
        <v>3520</v>
      </c>
      <c r="I8" s="11">
        <v>3291</v>
      </c>
    </row>
    <row r="9" spans="1:9" x14ac:dyDescent="0.25">
      <c r="A9" s="11" t="s">
        <v>8</v>
      </c>
      <c r="B9" s="10" t="s">
        <v>0</v>
      </c>
      <c r="C9" s="11">
        <v>509</v>
      </c>
      <c r="D9" s="11">
        <v>1061</v>
      </c>
      <c r="E9" s="11">
        <v>1070</v>
      </c>
      <c r="F9" s="11">
        <v>916</v>
      </c>
      <c r="G9" s="11">
        <v>1169</v>
      </c>
      <c r="H9" s="11">
        <v>1602</v>
      </c>
      <c r="I9" s="11">
        <v>1499</v>
      </c>
    </row>
    <row r="10" spans="1:9" x14ac:dyDescent="0.25">
      <c r="A10" s="11" t="s">
        <v>9</v>
      </c>
      <c r="B10" s="10" t="s">
        <v>0</v>
      </c>
      <c r="C10" s="11">
        <v>15804</v>
      </c>
      <c r="D10" s="11">
        <v>28219</v>
      </c>
      <c r="E10" s="11">
        <v>30146</v>
      </c>
      <c r="F10" s="11">
        <v>27202</v>
      </c>
      <c r="G10" s="11">
        <v>31050</v>
      </c>
      <c r="H10" s="11">
        <v>34578</v>
      </c>
      <c r="I10" s="11">
        <v>27342</v>
      </c>
    </row>
    <row r="11" spans="1:9" x14ac:dyDescent="0.25">
      <c r="A11" s="11" t="s">
        <v>10</v>
      </c>
      <c r="B11" s="10" t="s">
        <v>0</v>
      </c>
      <c r="C11" s="11">
        <v>3030</v>
      </c>
      <c r="D11" s="11">
        <v>5329</v>
      </c>
      <c r="E11" s="11">
        <v>5961</v>
      </c>
      <c r="F11" s="11">
        <v>5059</v>
      </c>
      <c r="G11" s="11">
        <v>5729</v>
      </c>
      <c r="H11" s="11">
        <v>7525</v>
      </c>
      <c r="I11" s="11">
        <v>6653</v>
      </c>
    </row>
    <row r="12" spans="1:9" x14ac:dyDescent="0.25">
      <c r="A12" s="11" t="s">
        <v>11</v>
      </c>
      <c r="B12" s="10" t="s">
        <v>0</v>
      </c>
      <c r="C12" s="11">
        <v>1715</v>
      </c>
      <c r="D12" s="11">
        <v>3315</v>
      </c>
      <c r="E12" s="11">
        <v>3678</v>
      </c>
      <c r="F12" s="11">
        <v>3704</v>
      </c>
      <c r="G12" s="11">
        <v>4611</v>
      </c>
      <c r="H12" s="11">
        <v>6594</v>
      </c>
      <c r="I12" s="11">
        <v>5738</v>
      </c>
    </row>
    <row r="13" spans="1:9" x14ac:dyDescent="0.25">
      <c r="A13" s="11" t="s">
        <v>12</v>
      </c>
      <c r="B13" s="10" t="s">
        <v>0</v>
      </c>
      <c r="C13" s="11">
        <v>35</v>
      </c>
      <c r="D13" s="11">
        <v>64</v>
      </c>
      <c r="E13" s="11">
        <v>77</v>
      </c>
      <c r="F13" s="11">
        <v>60</v>
      </c>
      <c r="G13" s="11">
        <v>107</v>
      </c>
      <c r="H13" s="11">
        <v>171</v>
      </c>
      <c r="I13" s="11">
        <v>147</v>
      </c>
    </row>
    <row r="14" spans="1:9" x14ac:dyDescent="0.25">
      <c r="A14" s="11" t="s">
        <v>13</v>
      </c>
      <c r="B14" s="10" t="s">
        <v>0</v>
      </c>
      <c r="C14" s="11">
        <v>869</v>
      </c>
      <c r="D14" s="11">
        <v>1777</v>
      </c>
      <c r="E14" s="11">
        <v>1947</v>
      </c>
      <c r="F14" s="11">
        <v>1914</v>
      </c>
      <c r="G14" s="11">
        <v>2394</v>
      </c>
      <c r="H14" s="11">
        <v>2884</v>
      </c>
      <c r="I14" s="11">
        <v>2287</v>
      </c>
    </row>
    <row r="15" spans="1:9" x14ac:dyDescent="0.25">
      <c r="A15" s="11" t="s">
        <v>14</v>
      </c>
      <c r="B15" s="10" t="s">
        <v>0</v>
      </c>
      <c r="C15" s="11">
        <v>7692</v>
      </c>
      <c r="D15" s="11">
        <v>9134</v>
      </c>
      <c r="E15" s="11">
        <v>5726</v>
      </c>
      <c r="F15" s="11">
        <v>4675</v>
      </c>
      <c r="G15" s="11">
        <v>4491</v>
      </c>
      <c r="H15" s="11">
        <v>5094</v>
      </c>
      <c r="I15" s="11">
        <v>4720</v>
      </c>
    </row>
    <row r="16" spans="1:9" x14ac:dyDescent="0.25">
      <c r="A16" s="11" t="s">
        <v>15</v>
      </c>
      <c r="B16" s="10" t="s">
        <v>0</v>
      </c>
      <c r="C16" s="11">
        <v>16589</v>
      </c>
      <c r="D16" s="11">
        <v>27391</v>
      </c>
      <c r="E16" s="11">
        <v>26434</v>
      </c>
      <c r="F16" s="11">
        <v>23486</v>
      </c>
      <c r="G16" s="11">
        <v>24000</v>
      </c>
      <c r="H16" s="11">
        <v>24415</v>
      </c>
      <c r="I16" s="11">
        <v>18973</v>
      </c>
    </row>
    <row r="17" spans="1:9" x14ac:dyDescent="0.25">
      <c r="A17" s="11" t="s">
        <v>16</v>
      </c>
      <c r="B17" s="10" t="s">
        <v>0</v>
      </c>
      <c r="C17" s="11">
        <v>306</v>
      </c>
      <c r="D17" s="11">
        <v>645</v>
      </c>
      <c r="E17" s="11">
        <v>589</v>
      </c>
      <c r="F17" s="11">
        <v>596</v>
      </c>
      <c r="G17" s="11">
        <v>724</v>
      </c>
      <c r="H17" s="11">
        <v>1149</v>
      </c>
      <c r="I17" s="11">
        <v>1034</v>
      </c>
    </row>
    <row r="18" spans="1:9" x14ac:dyDescent="0.25">
      <c r="A18" s="11" t="s">
        <v>17</v>
      </c>
      <c r="B18" s="10" t="s">
        <v>0</v>
      </c>
      <c r="C18" s="11">
        <v>693</v>
      </c>
      <c r="D18" s="11">
        <v>1362</v>
      </c>
      <c r="E18" s="11">
        <v>1463</v>
      </c>
      <c r="F18" s="11">
        <v>1515</v>
      </c>
      <c r="G18" s="11">
        <v>1948</v>
      </c>
      <c r="H18" s="11">
        <v>2560</v>
      </c>
      <c r="I18" s="11">
        <v>2487</v>
      </c>
    </row>
    <row r="19" spans="1:9" x14ac:dyDescent="0.25">
      <c r="A19" s="11" t="s">
        <v>18</v>
      </c>
      <c r="B19" s="10" t="s">
        <v>0</v>
      </c>
      <c r="C19" s="11">
        <v>392</v>
      </c>
      <c r="D19" s="11">
        <v>855</v>
      </c>
      <c r="E19" s="11">
        <v>784</v>
      </c>
      <c r="F19" s="11">
        <v>748</v>
      </c>
      <c r="G19" s="11">
        <v>898</v>
      </c>
      <c r="H19" s="11">
        <v>1279</v>
      </c>
      <c r="I19" s="11">
        <v>1126</v>
      </c>
    </row>
    <row r="20" spans="1:9" x14ac:dyDescent="0.25">
      <c r="A20" s="11" t="s">
        <v>19</v>
      </c>
      <c r="B20" s="10" t="s">
        <v>0</v>
      </c>
      <c r="C20" s="11">
        <v>1187</v>
      </c>
      <c r="D20" s="11">
        <v>1751</v>
      </c>
      <c r="E20" s="11">
        <v>1674</v>
      </c>
      <c r="F20" s="11">
        <v>1485</v>
      </c>
      <c r="G20" s="11">
        <v>1598</v>
      </c>
      <c r="H20" s="11">
        <v>2200</v>
      </c>
      <c r="I20" s="11">
        <v>1902</v>
      </c>
    </row>
    <row r="21" spans="1:9" x14ac:dyDescent="0.25">
      <c r="A21" s="11" t="s">
        <v>20</v>
      </c>
      <c r="B21" s="10" t="s">
        <v>0</v>
      </c>
      <c r="C21" s="11">
        <v>1012</v>
      </c>
      <c r="D21" s="11">
        <v>1830</v>
      </c>
      <c r="E21" s="11">
        <v>1769</v>
      </c>
      <c r="F21" s="11">
        <v>1727</v>
      </c>
      <c r="G21" s="11">
        <v>2150</v>
      </c>
      <c r="H21" s="11">
        <v>3023</v>
      </c>
      <c r="I21" s="11">
        <v>2902</v>
      </c>
    </row>
    <row r="22" spans="1:9" x14ac:dyDescent="0.25">
      <c r="A22" s="11" t="s">
        <v>21</v>
      </c>
      <c r="B22" s="10" t="s">
        <v>0</v>
      </c>
      <c r="C22" s="11">
        <v>6366</v>
      </c>
      <c r="D22" s="11">
        <v>10405</v>
      </c>
      <c r="E22" s="11">
        <v>10922</v>
      </c>
      <c r="F22" s="11">
        <v>8777</v>
      </c>
      <c r="G22" s="11">
        <v>8029</v>
      </c>
      <c r="H22" s="11">
        <v>9046</v>
      </c>
      <c r="I22" s="11">
        <v>8390</v>
      </c>
    </row>
    <row r="23" spans="1:9" x14ac:dyDescent="0.25">
      <c r="A23" s="11" t="s">
        <v>22</v>
      </c>
      <c r="B23" s="10" t="s">
        <v>0</v>
      </c>
      <c r="C23" s="11">
        <v>7441</v>
      </c>
      <c r="D23" s="11">
        <v>15751</v>
      </c>
      <c r="E23" s="11">
        <v>15329</v>
      </c>
      <c r="F23" s="11">
        <v>12942</v>
      </c>
      <c r="G23" s="11">
        <v>13009</v>
      </c>
      <c r="H23" s="11">
        <v>13180</v>
      </c>
      <c r="I23" s="11">
        <v>9250</v>
      </c>
    </row>
    <row r="24" spans="1:9" x14ac:dyDescent="0.25">
      <c r="A24" s="11" t="s">
        <v>23</v>
      </c>
      <c r="B24" s="10" t="s">
        <v>0</v>
      </c>
      <c r="C24" s="11">
        <v>19344</v>
      </c>
      <c r="D24" s="11">
        <v>35020</v>
      </c>
      <c r="E24" s="11">
        <v>38807</v>
      </c>
      <c r="F24" s="11">
        <v>30684</v>
      </c>
      <c r="G24" s="11">
        <v>29402</v>
      </c>
      <c r="H24" s="11">
        <v>29131</v>
      </c>
      <c r="I24" s="11">
        <v>21029</v>
      </c>
    </row>
    <row r="25" spans="1:9" x14ac:dyDescent="0.25">
      <c r="A25" s="11" t="s">
        <v>24</v>
      </c>
      <c r="B25" s="10" t="s">
        <v>0</v>
      </c>
      <c r="C25" s="11">
        <v>324</v>
      </c>
      <c r="D25" s="11">
        <v>593</v>
      </c>
      <c r="E25" s="11">
        <v>650</v>
      </c>
      <c r="F25" s="11">
        <v>644</v>
      </c>
      <c r="G25" s="11">
        <v>998</v>
      </c>
      <c r="H25" s="11">
        <v>1314</v>
      </c>
      <c r="I25" s="11">
        <v>1235</v>
      </c>
    </row>
    <row r="26" spans="1:9" x14ac:dyDescent="0.25">
      <c r="A26" s="11" t="s">
        <v>25</v>
      </c>
      <c r="B26" s="10" t="s">
        <v>0</v>
      </c>
      <c r="C26" s="11">
        <v>5437</v>
      </c>
      <c r="D26" s="11">
        <v>11281</v>
      </c>
      <c r="E26" s="11">
        <v>11190</v>
      </c>
      <c r="F26" s="11">
        <v>10136</v>
      </c>
      <c r="G26" s="11">
        <v>11679</v>
      </c>
      <c r="H26" s="11">
        <v>14799</v>
      </c>
      <c r="I26" s="11">
        <v>11963</v>
      </c>
    </row>
    <row r="27" spans="1:9" x14ac:dyDescent="0.25">
      <c r="A27" s="11" t="s">
        <v>26</v>
      </c>
      <c r="B27" s="10" t="s">
        <v>0</v>
      </c>
      <c r="C27" s="11">
        <v>1345</v>
      </c>
      <c r="D27" s="11">
        <v>2921</v>
      </c>
      <c r="E27" s="11">
        <v>3477</v>
      </c>
      <c r="F27" s="11">
        <v>3824</v>
      </c>
      <c r="G27" s="11">
        <v>4999</v>
      </c>
      <c r="H27" s="11">
        <v>6841</v>
      </c>
      <c r="I27" s="11">
        <v>6010</v>
      </c>
    </row>
    <row r="28" spans="1:9" x14ac:dyDescent="0.25">
      <c r="A28" s="11" t="s">
        <v>27</v>
      </c>
      <c r="B28" s="10" t="s">
        <v>0</v>
      </c>
      <c r="C28" s="11">
        <v>18</v>
      </c>
      <c r="D28" s="11">
        <v>46</v>
      </c>
      <c r="E28" s="11">
        <v>58</v>
      </c>
      <c r="F28" s="11">
        <v>67</v>
      </c>
      <c r="G28" s="11">
        <v>151</v>
      </c>
      <c r="H28" s="11">
        <v>239</v>
      </c>
      <c r="I28" s="11">
        <v>209</v>
      </c>
    </row>
    <row r="29" spans="1:9" x14ac:dyDescent="0.25">
      <c r="A29" s="11" t="s">
        <v>28</v>
      </c>
      <c r="B29" s="10" t="s">
        <v>0</v>
      </c>
      <c r="C29" s="11">
        <v>2045</v>
      </c>
      <c r="D29" s="11">
        <v>3710</v>
      </c>
      <c r="E29" s="11">
        <v>3473</v>
      </c>
      <c r="F29" s="11">
        <v>3114</v>
      </c>
      <c r="G29" s="11">
        <v>3233</v>
      </c>
      <c r="H29" s="11">
        <v>3948</v>
      </c>
      <c r="I29" s="11">
        <v>4034</v>
      </c>
    </row>
    <row r="30" spans="1:9" x14ac:dyDescent="0.25">
      <c r="A30" s="11" t="s">
        <v>29</v>
      </c>
      <c r="B30" s="10" t="s">
        <v>0</v>
      </c>
      <c r="C30" s="11">
        <v>86</v>
      </c>
      <c r="D30" s="11">
        <v>140</v>
      </c>
      <c r="E30" s="11">
        <v>160</v>
      </c>
      <c r="F30" s="11">
        <v>176</v>
      </c>
      <c r="G30" s="11">
        <v>243</v>
      </c>
      <c r="H30" s="11">
        <v>285</v>
      </c>
      <c r="I30" s="11">
        <v>387</v>
      </c>
    </row>
    <row r="31" spans="1:9" x14ac:dyDescent="0.25">
      <c r="A31" s="11" t="s">
        <v>30</v>
      </c>
      <c r="B31" s="10" t="s">
        <v>0</v>
      </c>
      <c r="C31" s="11">
        <v>297</v>
      </c>
      <c r="D31" s="11">
        <v>670</v>
      </c>
      <c r="E31" s="11">
        <v>816</v>
      </c>
      <c r="F31" s="11">
        <v>945</v>
      </c>
      <c r="G31" s="11">
        <v>1262</v>
      </c>
      <c r="H31" s="11">
        <v>1811</v>
      </c>
      <c r="I31" s="11">
        <v>1533</v>
      </c>
    </row>
    <row r="32" spans="1:9" x14ac:dyDescent="0.25">
      <c r="A32" s="11" t="s">
        <v>31</v>
      </c>
      <c r="B32" s="10" t="s">
        <v>0</v>
      </c>
      <c r="C32" s="11">
        <v>595</v>
      </c>
      <c r="D32" s="11">
        <v>859</v>
      </c>
      <c r="E32" s="11">
        <v>602</v>
      </c>
      <c r="F32" s="11">
        <v>705</v>
      </c>
      <c r="G32" s="11">
        <v>862</v>
      </c>
      <c r="H32" s="11">
        <v>1202</v>
      </c>
      <c r="I32" s="11">
        <v>1185</v>
      </c>
    </row>
    <row r="33" spans="1:9" x14ac:dyDescent="0.25">
      <c r="A33" s="11" t="s">
        <v>32</v>
      </c>
      <c r="B33" s="10" t="s">
        <v>0</v>
      </c>
      <c r="C33" s="11">
        <v>1255</v>
      </c>
      <c r="D33" s="11">
        <v>1840</v>
      </c>
      <c r="E33" s="11">
        <v>1516</v>
      </c>
      <c r="F33" s="11">
        <v>1518</v>
      </c>
      <c r="G33" s="11">
        <v>2059</v>
      </c>
      <c r="H33" s="11">
        <v>3003</v>
      </c>
      <c r="I33" s="11">
        <v>2675</v>
      </c>
    </row>
    <row r="34" spans="1:9" x14ac:dyDescent="0.25">
      <c r="A34" s="11" t="s">
        <v>33</v>
      </c>
      <c r="B34" s="10" t="s">
        <v>0</v>
      </c>
      <c r="C34" s="11">
        <v>347</v>
      </c>
      <c r="D34" s="11">
        <v>615</v>
      </c>
      <c r="E34" s="11">
        <v>668</v>
      </c>
      <c r="F34" s="11">
        <v>663</v>
      </c>
      <c r="G34" s="11">
        <v>788</v>
      </c>
      <c r="H34" s="11">
        <v>1258</v>
      </c>
      <c r="I34" s="11">
        <v>1080</v>
      </c>
    </row>
    <row r="35" spans="1:9" x14ac:dyDescent="0.25">
      <c r="A35" s="11" t="s">
        <v>34</v>
      </c>
      <c r="B35" s="10" t="s">
        <v>0</v>
      </c>
      <c r="C35" s="11">
        <v>141</v>
      </c>
      <c r="D35" s="11">
        <v>247</v>
      </c>
      <c r="E35" s="11">
        <v>299</v>
      </c>
      <c r="F35" s="11">
        <v>321</v>
      </c>
      <c r="G35" s="11">
        <v>406</v>
      </c>
      <c r="H35" s="11">
        <v>591</v>
      </c>
      <c r="I35" s="11">
        <v>538</v>
      </c>
    </row>
    <row r="36" spans="1:9" x14ac:dyDescent="0.25">
      <c r="A36" s="11" t="s">
        <v>35</v>
      </c>
      <c r="B36" s="10" t="s">
        <v>0</v>
      </c>
      <c r="C36" s="11">
        <v>5245</v>
      </c>
      <c r="D36" s="11">
        <v>10696</v>
      </c>
      <c r="E36" s="11">
        <v>11798</v>
      </c>
      <c r="F36" s="11">
        <v>10288</v>
      </c>
      <c r="G36" s="11">
        <v>12537</v>
      </c>
      <c r="H36" s="11">
        <v>14026</v>
      </c>
      <c r="I36" s="11">
        <v>12311</v>
      </c>
    </row>
    <row r="37" spans="1:9" x14ac:dyDescent="0.25">
      <c r="A37" s="11" t="s">
        <v>36</v>
      </c>
      <c r="B37" s="10" t="s">
        <v>0</v>
      </c>
      <c r="C37" s="11">
        <v>9854</v>
      </c>
      <c r="D37" s="11">
        <v>20194</v>
      </c>
      <c r="E37" s="11">
        <v>19714</v>
      </c>
      <c r="F37" s="11">
        <v>15350</v>
      </c>
      <c r="G37" s="11">
        <v>15265</v>
      </c>
      <c r="H37" s="11">
        <v>17464</v>
      </c>
      <c r="I37" s="11">
        <v>15578</v>
      </c>
    </row>
    <row r="38" spans="1:9" x14ac:dyDescent="0.25">
      <c r="A38" s="11" t="s">
        <v>37</v>
      </c>
      <c r="B38" s="10" t="s">
        <v>0</v>
      </c>
      <c r="C38" s="11">
        <v>1156</v>
      </c>
      <c r="D38" s="11">
        <v>2392</v>
      </c>
      <c r="E38" s="11">
        <v>2499</v>
      </c>
      <c r="F38" s="11">
        <v>2475</v>
      </c>
      <c r="G38" s="11">
        <v>3222</v>
      </c>
      <c r="H38" s="11">
        <v>4183</v>
      </c>
      <c r="I38" s="11">
        <v>3733</v>
      </c>
    </row>
    <row r="39" spans="1:9" x14ac:dyDescent="0.25">
      <c r="A39" s="11" t="s">
        <v>38</v>
      </c>
      <c r="B39" s="10" t="s">
        <v>0</v>
      </c>
      <c r="C39" s="11">
        <v>2129</v>
      </c>
      <c r="D39" s="11">
        <v>3738</v>
      </c>
      <c r="E39" s="11">
        <v>4039</v>
      </c>
      <c r="F39" s="11">
        <v>3665</v>
      </c>
      <c r="G39" s="11">
        <v>3854</v>
      </c>
      <c r="H39" s="11">
        <v>4219</v>
      </c>
      <c r="I39" s="11">
        <v>3887</v>
      </c>
    </row>
    <row r="40" spans="1:9" x14ac:dyDescent="0.25">
      <c r="A40" s="11" t="s">
        <v>39</v>
      </c>
      <c r="B40" s="10" t="s">
        <v>0</v>
      </c>
      <c r="C40" s="11">
        <v>9396</v>
      </c>
      <c r="D40" s="11">
        <v>18399</v>
      </c>
      <c r="E40" s="11">
        <v>18711</v>
      </c>
      <c r="F40" s="11">
        <v>16828</v>
      </c>
      <c r="G40" s="11">
        <v>17026</v>
      </c>
      <c r="H40" s="11">
        <v>17487</v>
      </c>
      <c r="I40" s="11">
        <v>14170</v>
      </c>
    </row>
    <row r="41" spans="1:9" x14ac:dyDescent="0.25">
      <c r="A41" s="11" t="s">
        <v>40</v>
      </c>
      <c r="B41" s="10" t="s">
        <v>0</v>
      </c>
      <c r="C41" s="11">
        <v>6241</v>
      </c>
      <c r="D41" s="11">
        <v>12311</v>
      </c>
      <c r="E41" s="11">
        <v>13390</v>
      </c>
      <c r="F41" s="11">
        <v>12003</v>
      </c>
      <c r="G41" s="11">
        <v>13800</v>
      </c>
      <c r="H41" s="11">
        <v>15019</v>
      </c>
      <c r="I41" s="11">
        <v>12951</v>
      </c>
    </row>
    <row r="42" spans="1:9" x14ac:dyDescent="0.25">
      <c r="A42" s="11" t="s">
        <v>41</v>
      </c>
      <c r="B42" s="10" t="s">
        <v>0</v>
      </c>
      <c r="C42" s="11">
        <v>1433</v>
      </c>
      <c r="D42" s="11">
        <v>2906</v>
      </c>
      <c r="E42" s="11">
        <v>2831</v>
      </c>
      <c r="F42" s="11">
        <v>2333</v>
      </c>
      <c r="G42" s="11">
        <v>2571</v>
      </c>
      <c r="H42" s="11">
        <v>3369</v>
      </c>
      <c r="I42" s="11">
        <v>2787</v>
      </c>
    </row>
    <row r="43" spans="1:9" x14ac:dyDescent="0.25">
      <c r="A43" s="11" t="s">
        <v>42</v>
      </c>
      <c r="B43" s="10" t="s">
        <v>0</v>
      </c>
      <c r="C43" s="11">
        <v>373</v>
      </c>
      <c r="D43" s="11">
        <v>752</v>
      </c>
      <c r="E43" s="11">
        <v>694</v>
      </c>
      <c r="F43" s="11">
        <v>648</v>
      </c>
      <c r="G43" s="11">
        <v>779</v>
      </c>
      <c r="H43" s="11">
        <v>1114</v>
      </c>
      <c r="I43" s="11">
        <v>955</v>
      </c>
    </row>
    <row r="44" spans="1:9" x14ac:dyDescent="0.25">
      <c r="A44" s="11" t="s">
        <v>43</v>
      </c>
      <c r="B44" s="10" t="s">
        <v>0</v>
      </c>
      <c r="C44" s="11">
        <v>1397</v>
      </c>
      <c r="D44" s="11">
        <v>2675</v>
      </c>
      <c r="E44" s="11">
        <v>2965</v>
      </c>
      <c r="F44" s="11">
        <v>2770</v>
      </c>
      <c r="G44" s="11">
        <v>3651</v>
      </c>
      <c r="H44" s="11">
        <v>5229</v>
      </c>
      <c r="I44" s="11">
        <v>4477</v>
      </c>
    </row>
    <row r="45" spans="1:9" x14ac:dyDescent="0.25">
      <c r="A45" s="11" t="s">
        <v>44</v>
      </c>
      <c r="B45" s="10" t="s">
        <v>0</v>
      </c>
      <c r="C45" s="11">
        <v>309</v>
      </c>
      <c r="D45" s="11">
        <v>689</v>
      </c>
      <c r="E45" s="11">
        <v>768</v>
      </c>
      <c r="F45" s="11">
        <v>702</v>
      </c>
      <c r="G45" s="11">
        <v>799</v>
      </c>
      <c r="H45" s="11">
        <v>1007</v>
      </c>
      <c r="I45" s="11">
        <v>1113</v>
      </c>
    </row>
    <row r="46" spans="1:9" x14ac:dyDescent="0.25">
      <c r="A46" s="11" t="s">
        <v>45</v>
      </c>
      <c r="B46" s="10" t="s">
        <v>0</v>
      </c>
      <c r="C46" s="11">
        <v>4154</v>
      </c>
      <c r="D46" s="11">
        <v>7359</v>
      </c>
      <c r="E46" s="11">
        <v>6778</v>
      </c>
      <c r="F46" s="11">
        <v>6923</v>
      </c>
      <c r="G46" s="11">
        <v>9108</v>
      </c>
      <c r="H46" s="11">
        <v>8822</v>
      </c>
      <c r="I46" s="11">
        <v>5588</v>
      </c>
    </row>
    <row r="47" spans="1:9" x14ac:dyDescent="0.25">
      <c r="A47" s="11" t="s">
        <v>46</v>
      </c>
      <c r="B47" s="10" t="s">
        <v>0</v>
      </c>
      <c r="C47" s="11">
        <v>26929</v>
      </c>
      <c r="D47" s="11">
        <v>49253</v>
      </c>
      <c r="E47" s="11">
        <v>54166</v>
      </c>
      <c r="F47" s="11">
        <v>45615</v>
      </c>
      <c r="G47" s="11">
        <v>44618</v>
      </c>
      <c r="H47" s="11">
        <v>46438</v>
      </c>
      <c r="I47" s="11">
        <v>39045</v>
      </c>
    </row>
    <row r="48" spans="1:9" x14ac:dyDescent="0.25">
      <c r="A48" s="11" t="s">
        <v>47</v>
      </c>
      <c r="B48" s="10" t="s">
        <v>0</v>
      </c>
      <c r="C48" s="11">
        <v>241</v>
      </c>
      <c r="D48" s="11">
        <v>593</v>
      </c>
      <c r="E48" s="11">
        <v>632</v>
      </c>
      <c r="F48" s="11">
        <v>451</v>
      </c>
      <c r="G48" s="11">
        <v>501</v>
      </c>
      <c r="H48" s="11">
        <v>710</v>
      </c>
      <c r="I48" s="11">
        <v>648</v>
      </c>
    </row>
    <row r="49" spans="1:9" x14ac:dyDescent="0.25">
      <c r="A49" s="11" t="s">
        <v>48</v>
      </c>
      <c r="B49" s="10" t="s">
        <v>0</v>
      </c>
      <c r="C49" s="11">
        <v>10121</v>
      </c>
      <c r="D49" s="11">
        <v>15296</v>
      </c>
      <c r="E49" s="11">
        <v>14439</v>
      </c>
      <c r="F49" s="11">
        <v>12997</v>
      </c>
      <c r="G49" s="11">
        <v>14276</v>
      </c>
      <c r="H49" s="11">
        <v>15793</v>
      </c>
      <c r="I49" s="11">
        <v>13549</v>
      </c>
    </row>
    <row r="50" spans="1:9" x14ac:dyDescent="0.25">
      <c r="A50" s="11" t="s">
        <v>49</v>
      </c>
      <c r="B50" s="10" t="s">
        <v>0</v>
      </c>
      <c r="C50" s="11">
        <v>868</v>
      </c>
      <c r="D50" s="11">
        <v>1926</v>
      </c>
      <c r="E50" s="11">
        <v>2209</v>
      </c>
      <c r="F50" s="11">
        <v>2069</v>
      </c>
      <c r="G50" s="11">
        <v>2343</v>
      </c>
      <c r="H50" s="11">
        <v>3172</v>
      </c>
      <c r="I50" s="11">
        <v>2754</v>
      </c>
    </row>
    <row r="51" spans="1:9" x14ac:dyDescent="0.25">
      <c r="A51" s="11" t="s">
        <v>50</v>
      </c>
      <c r="B51" s="10" t="s">
        <v>0</v>
      </c>
      <c r="C51" s="11">
        <v>469</v>
      </c>
      <c r="D51" s="11">
        <v>829</v>
      </c>
      <c r="E51" s="11">
        <v>891</v>
      </c>
      <c r="F51" s="11">
        <v>840</v>
      </c>
      <c r="G51" s="11">
        <v>943</v>
      </c>
      <c r="H51" s="11">
        <v>1107</v>
      </c>
      <c r="I51" s="11">
        <v>949</v>
      </c>
    </row>
    <row r="52" spans="1:9" x14ac:dyDescent="0.25">
      <c r="A52" s="11" t="s">
        <v>51</v>
      </c>
      <c r="B52" s="10" t="s">
        <v>0</v>
      </c>
      <c r="C52" s="11">
        <v>62768</v>
      </c>
      <c r="D52" s="11">
        <v>178030</v>
      </c>
      <c r="E52" s="11">
        <v>157044</v>
      </c>
      <c r="F52" s="11">
        <v>103234</v>
      </c>
      <c r="G52" s="11">
        <v>108776</v>
      </c>
      <c r="H52" s="11">
        <v>99060</v>
      </c>
      <c r="I52" s="11">
        <v>72276</v>
      </c>
    </row>
    <row r="53" spans="1:9" x14ac:dyDescent="0.25">
      <c r="A53" s="11" t="s">
        <v>52</v>
      </c>
      <c r="B53" s="10" t="s">
        <v>0</v>
      </c>
      <c r="C53" s="11">
        <v>963</v>
      </c>
      <c r="D53" s="11">
        <v>1797</v>
      </c>
      <c r="E53" s="11">
        <v>1718</v>
      </c>
      <c r="F53" s="11">
        <v>1787</v>
      </c>
      <c r="G53" s="11">
        <v>2473</v>
      </c>
      <c r="H53" s="11">
        <v>2821</v>
      </c>
      <c r="I53" s="11">
        <v>2075</v>
      </c>
    </row>
    <row r="54" spans="1:9" x14ac:dyDescent="0.25">
      <c r="A54" s="11" t="s">
        <v>53</v>
      </c>
      <c r="B54" s="10" t="s">
        <v>0</v>
      </c>
      <c r="C54" s="11">
        <v>109</v>
      </c>
      <c r="D54" s="11">
        <v>139</v>
      </c>
      <c r="E54" s="11">
        <v>205</v>
      </c>
      <c r="F54" s="11">
        <v>205</v>
      </c>
      <c r="G54" s="11">
        <v>285</v>
      </c>
      <c r="H54" s="11">
        <v>419</v>
      </c>
      <c r="I54" s="11">
        <v>374</v>
      </c>
    </row>
    <row r="55" spans="1:9" x14ac:dyDescent="0.25">
      <c r="A55" s="11" t="s">
        <v>54</v>
      </c>
      <c r="B55" s="10" t="s">
        <v>0</v>
      </c>
      <c r="C55" s="11">
        <v>1533</v>
      </c>
      <c r="D55" s="11">
        <v>3313</v>
      </c>
      <c r="E55" s="11">
        <v>3672</v>
      </c>
      <c r="F55" s="11">
        <v>3524</v>
      </c>
      <c r="G55" s="11">
        <v>4156</v>
      </c>
      <c r="H55" s="11">
        <v>5061</v>
      </c>
      <c r="I55" s="11">
        <v>4134</v>
      </c>
    </row>
    <row r="56" spans="1:9" x14ac:dyDescent="0.25">
      <c r="A56" s="11" t="s">
        <v>55</v>
      </c>
      <c r="B56" s="10" t="s">
        <v>0</v>
      </c>
      <c r="C56" s="11">
        <v>594</v>
      </c>
      <c r="D56" s="11">
        <v>714</v>
      </c>
      <c r="E56" s="11">
        <v>643</v>
      </c>
      <c r="F56" s="11">
        <v>591</v>
      </c>
      <c r="G56" s="11">
        <v>680</v>
      </c>
      <c r="H56" s="11">
        <v>853</v>
      </c>
      <c r="I56" s="11">
        <v>820</v>
      </c>
    </row>
    <row r="57" spans="1:9" x14ac:dyDescent="0.25">
      <c r="A57" s="11" t="s">
        <v>56</v>
      </c>
      <c r="B57" s="10" t="s">
        <v>0</v>
      </c>
      <c r="C57" s="11">
        <v>488</v>
      </c>
      <c r="D57" s="11">
        <v>1056</v>
      </c>
      <c r="E57" s="11">
        <v>1326</v>
      </c>
      <c r="F57" s="11">
        <v>1246</v>
      </c>
      <c r="G57" s="11">
        <v>1626</v>
      </c>
      <c r="H57" s="11">
        <v>2435</v>
      </c>
      <c r="I57" s="11">
        <v>2315</v>
      </c>
    </row>
    <row r="58" spans="1:9" x14ac:dyDescent="0.25">
      <c r="A58" s="11" t="s">
        <v>57</v>
      </c>
      <c r="B58" s="10" t="s">
        <v>0</v>
      </c>
      <c r="C58" s="11">
        <v>46</v>
      </c>
      <c r="D58" s="11">
        <v>83</v>
      </c>
      <c r="E58" s="11">
        <v>97</v>
      </c>
      <c r="F58" s="11">
        <v>103</v>
      </c>
      <c r="G58" s="11">
        <v>166</v>
      </c>
      <c r="H58" s="11">
        <v>307</v>
      </c>
      <c r="I58" s="11">
        <v>268</v>
      </c>
    </row>
    <row r="59" spans="1:9" x14ac:dyDescent="0.25">
      <c r="A59" s="11" t="s">
        <v>58</v>
      </c>
      <c r="B59" s="10" t="s">
        <v>0</v>
      </c>
      <c r="C59" s="11">
        <v>360</v>
      </c>
      <c r="D59" s="11">
        <v>697</v>
      </c>
      <c r="E59" s="11">
        <v>761</v>
      </c>
      <c r="F59" s="11">
        <v>740</v>
      </c>
      <c r="G59" s="11">
        <v>1021</v>
      </c>
      <c r="H59" s="11">
        <v>1348</v>
      </c>
      <c r="I59" s="11">
        <v>1211</v>
      </c>
    </row>
    <row r="60" spans="1:9" x14ac:dyDescent="0.25">
      <c r="A60" s="11" t="s">
        <v>59</v>
      </c>
      <c r="B60" s="10" t="s">
        <v>0</v>
      </c>
      <c r="C60" s="11">
        <v>383</v>
      </c>
      <c r="D60" s="11">
        <v>610</v>
      </c>
      <c r="E60" s="11">
        <v>619</v>
      </c>
      <c r="F60" s="11">
        <v>611</v>
      </c>
      <c r="G60" s="11">
        <v>745</v>
      </c>
      <c r="H60" s="11">
        <v>1032</v>
      </c>
      <c r="I60" s="11">
        <v>934</v>
      </c>
    </row>
    <row r="61" spans="1:9" x14ac:dyDescent="0.25">
      <c r="A61" s="11" t="s">
        <v>60</v>
      </c>
      <c r="B61" s="10" t="s">
        <v>0</v>
      </c>
      <c r="C61" s="11">
        <v>1513</v>
      </c>
      <c r="D61" s="11">
        <v>1407</v>
      </c>
      <c r="E61" s="11">
        <v>1034</v>
      </c>
      <c r="F61" s="11">
        <v>860</v>
      </c>
      <c r="G61" s="11">
        <v>896</v>
      </c>
      <c r="H61" s="11">
        <v>1068</v>
      </c>
      <c r="I61" s="11">
        <v>1099</v>
      </c>
    </row>
    <row r="62" spans="1:9" x14ac:dyDescent="0.25">
      <c r="A62" s="11" t="s">
        <v>61</v>
      </c>
      <c r="B62" s="10" t="s">
        <v>0</v>
      </c>
      <c r="C62" s="11">
        <v>496</v>
      </c>
      <c r="D62" s="11">
        <v>882</v>
      </c>
      <c r="E62" s="11">
        <v>1018</v>
      </c>
      <c r="F62" s="11">
        <v>963</v>
      </c>
      <c r="G62" s="11">
        <v>1177</v>
      </c>
      <c r="H62" s="11">
        <v>1923</v>
      </c>
      <c r="I62" s="11">
        <v>1573</v>
      </c>
    </row>
    <row r="63" spans="1:9" x14ac:dyDescent="0.25">
      <c r="A63" s="11" t="s">
        <v>62</v>
      </c>
      <c r="B63" s="10" t="s">
        <v>0</v>
      </c>
      <c r="C63" s="11">
        <v>381</v>
      </c>
      <c r="D63" s="11">
        <v>646</v>
      </c>
      <c r="E63" s="11">
        <v>765</v>
      </c>
      <c r="F63" s="11">
        <v>713</v>
      </c>
      <c r="G63" s="11">
        <v>1051</v>
      </c>
      <c r="H63" s="11">
        <v>1474</v>
      </c>
      <c r="I63" s="11">
        <v>1312</v>
      </c>
    </row>
    <row r="64" spans="1:9" x14ac:dyDescent="0.25">
      <c r="A64" s="11" t="s">
        <v>63</v>
      </c>
      <c r="B64" s="10" t="s">
        <v>0</v>
      </c>
      <c r="C64" s="11">
        <v>3087</v>
      </c>
      <c r="D64" s="11">
        <v>5891</v>
      </c>
      <c r="E64" s="11">
        <v>7077</v>
      </c>
      <c r="F64" s="11">
        <v>6596</v>
      </c>
      <c r="G64" s="11">
        <v>8461</v>
      </c>
      <c r="H64" s="11">
        <v>11417</v>
      </c>
      <c r="I64" s="11">
        <v>10088</v>
      </c>
    </row>
    <row r="65" spans="1:9" x14ac:dyDescent="0.25">
      <c r="A65" s="11" t="s">
        <v>64</v>
      </c>
      <c r="B65" s="10" t="s">
        <v>0</v>
      </c>
      <c r="C65" s="11">
        <v>504</v>
      </c>
      <c r="D65" s="11">
        <v>1017</v>
      </c>
      <c r="E65" s="11">
        <v>1189</v>
      </c>
      <c r="F65" s="11">
        <v>1091</v>
      </c>
      <c r="G65" s="11">
        <v>1427</v>
      </c>
      <c r="H65" s="11">
        <v>1910</v>
      </c>
      <c r="I65" s="11">
        <v>1576</v>
      </c>
    </row>
    <row r="66" spans="1:9" x14ac:dyDescent="0.25">
      <c r="A66" s="11" t="s">
        <v>65</v>
      </c>
      <c r="B66" s="10" t="s">
        <v>0</v>
      </c>
      <c r="C66" s="11">
        <v>5229</v>
      </c>
      <c r="D66" s="11">
        <v>10003</v>
      </c>
      <c r="E66" s="11">
        <v>11317</v>
      </c>
      <c r="F66" s="11">
        <v>10544</v>
      </c>
      <c r="G66" s="11">
        <v>13515</v>
      </c>
      <c r="H66" s="11">
        <v>18799</v>
      </c>
      <c r="I66" s="11">
        <v>17331</v>
      </c>
    </row>
    <row r="67" spans="1:9" x14ac:dyDescent="0.25">
      <c r="A67" s="11" t="s">
        <v>66</v>
      </c>
      <c r="B67" s="10" t="s">
        <v>0</v>
      </c>
      <c r="C67" s="11">
        <v>328</v>
      </c>
      <c r="D67" s="11">
        <v>624</v>
      </c>
      <c r="E67" s="11">
        <v>662</v>
      </c>
      <c r="F67" s="11">
        <v>604</v>
      </c>
      <c r="G67" s="11">
        <v>769</v>
      </c>
      <c r="H67" s="11">
        <v>963</v>
      </c>
      <c r="I67" s="11">
        <v>761</v>
      </c>
    </row>
    <row r="68" spans="1:9" ht="13.8" thickBot="1" x14ac:dyDescent="0.3">
      <c r="A68" s="13" t="s">
        <v>67</v>
      </c>
      <c r="B68" s="12" t="s">
        <v>0</v>
      </c>
      <c r="C68" s="11">
        <v>8219</v>
      </c>
      <c r="D68" s="11">
        <v>15269</v>
      </c>
      <c r="E68" s="11">
        <v>15922</v>
      </c>
      <c r="F68" s="11">
        <v>14200</v>
      </c>
      <c r="G68" s="11">
        <v>14421</v>
      </c>
      <c r="H68" s="11">
        <v>15491</v>
      </c>
      <c r="I68" s="11">
        <v>13272</v>
      </c>
    </row>
    <row r="69" spans="1:9" x14ac:dyDescent="0.25">
      <c r="A69" s="32" t="s">
        <v>68</v>
      </c>
      <c r="C69" s="14">
        <f>SUM(C2:C68)</f>
        <v>319773</v>
      </c>
      <c r="D69" s="14">
        <f>SUM(D2:D68)</f>
        <v>662698</v>
      </c>
      <c r="E69" s="14">
        <f t="shared" ref="E69:I69" si="0">SUM(E2:E68)</f>
        <v>650673</v>
      </c>
      <c r="F69" s="14">
        <f t="shared" si="0"/>
        <v>523065</v>
      </c>
      <c r="G69" s="14">
        <f t="shared" si="0"/>
        <v>564162</v>
      </c>
      <c r="H69" s="14">
        <f t="shared" si="0"/>
        <v>623350</v>
      </c>
      <c r="I69" s="14">
        <f t="shared" si="0"/>
        <v>511300</v>
      </c>
    </row>
    <row r="70" spans="1:9" x14ac:dyDescent="0.25">
      <c r="C70" s="17">
        <f>C69/$C$73</f>
        <v>8.294974268622661E-2</v>
      </c>
      <c r="D70" s="17">
        <f t="shared" ref="D70:I70" si="1">D69/$C$73</f>
        <v>0.17190515953090788</v>
      </c>
      <c r="E70" s="17">
        <f t="shared" si="1"/>
        <v>0.16878585097201806</v>
      </c>
      <c r="F70" s="17">
        <f t="shared" si="1"/>
        <v>0.13568408576762617</v>
      </c>
      <c r="G70" s="17">
        <f t="shared" si="1"/>
        <v>0.14634472808319332</v>
      </c>
      <c r="H70" s="17">
        <f t="shared" si="1"/>
        <v>0.16169821124191022</v>
      </c>
      <c r="I70" s="17">
        <f t="shared" si="1"/>
        <v>0.13263222171811775</v>
      </c>
    </row>
    <row r="73" spans="1:9" x14ac:dyDescent="0.25">
      <c r="A73" s="32" t="s">
        <v>80</v>
      </c>
      <c r="C73" s="16">
        <f>SUM(C69:I69)</f>
        <v>3855021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4" sqref="M14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2732</v>
      </c>
      <c r="D2" s="52">
        <v>5200</v>
      </c>
      <c r="E2" s="52">
        <v>6010</v>
      </c>
      <c r="F2" s="52">
        <v>5994</v>
      </c>
      <c r="G2" s="52">
        <v>9180</v>
      </c>
      <c r="H2" s="52">
        <v>8576</v>
      </c>
      <c r="I2" s="52">
        <v>6359</v>
      </c>
      <c r="J2" s="10"/>
    </row>
    <row r="3" spans="1:10" x14ac:dyDescent="0.25">
      <c r="A3" s="11" t="s">
        <v>2</v>
      </c>
      <c r="B3" s="10" t="s">
        <v>70</v>
      </c>
      <c r="C3" s="52">
        <v>18402</v>
      </c>
      <c r="D3" s="52">
        <v>38752</v>
      </c>
      <c r="E3" s="52">
        <v>38944</v>
      </c>
      <c r="F3" s="52">
        <v>36618</v>
      </c>
      <c r="G3" s="52">
        <v>47722</v>
      </c>
      <c r="H3" s="52">
        <v>46834</v>
      </c>
      <c r="I3" s="52">
        <v>35619</v>
      </c>
    </row>
    <row r="4" spans="1:10" x14ac:dyDescent="0.25">
      <c r="A4" s="11" t="s">
        <v>3</v>
      </c>
      <c r="B4" s="10" t="s">
        <v>70</v>
      </c>
      <c r="C4" s="52">
        <v>1960</v>
      </c>
      <c r="D4" s="52">
        <v>3436</v>
      </c>
      <c r="E4" s="52">
        <v>3893</v>
      </c>
      <c r="F4" s="52">
        <v>4203</v>
      </c>
      <c r="G4" s="52">
        <v>5260</v>
      </c>
      <c r="H4" s="52">
        <v>5105</v>
      </c>
      <c r="I4" s="52">
        <v>3816</v>
      </c>
    </row>
    <row r="5" spans="1:10" x14ac:dyDescent="0.25">
      <c r="A5" s="11" t="s">
        <v>4</v>
      </c>
      <c r="B5" s="10" t="s">
        <v>70</v>
      </c>
      <c r="C5" s="52">
        <v>3343</v>
      </c>
      <c r="D5" s="52">
        <v>6693</v>
      </c>
      <c r="E5" s="52">
        <v>7907</v>
      </c>
      <c r="F5" s="52">
        <v>7702</v>
      </c>
      <c r="G5" s="52">
        <v>9996</v>
      </c>
      <c r="H5" s="52">
        <v>9509</v>
      </c>
      <c r="I5" s="52">
        <v>6723</v>
      </c>
    </row>
    <row r="6" spans="1:10" x14ac:dyDescent="0.25">
      <c r="A6" s="11" t="s">
        <v>5</v>
      </c>
      <c r="B6" s="10" t="s">
        <v>70</v>
      </c>
      <c r="C6" s="52">
        <v>1634</v>
      </c>
      <c r="D6" s="52">
        <v>3074</v>
      </c>
      <c r="E6" s="52">
        <v>3264</v>
      </c>
      <c r="F6" s="52">
        <v>3607</v>
      </c>
      <c r="G6" s="52">
        <v>4740</v>
      </c>
      <c r="H6" s="52">
        <v>4742</v>
      </c>
      <c r="I6" s="52">
        <v>3526</v>
      </c>
    </row>
    <row r="7" spans="1:10" x14ac:dyDescent="0.25">
      <c r="A7" s="11" t="s">
        <v>6</v>
      </c>
      <c r="B7" s="10" t="s">
        <v>70</v>
      </c>
      <c r="C7" s="52">
        <v>7960</v>
      </c>
      <c r="D7" s="52">
        <v>14590</v>
      </c>
      <c r="E7" s="52">
        <v>16784</v>
      </c>
      <c r="F7" s="52">
        <v>17427</v>
      </c>
      <c r="G7" s="52">
        <v>23813</v>
      </c>
      <c r="H7" s="52">
        <v>20880</v>
      </c>
      <c r="I7" s="52">
        <v>16478</v>
      </c>
    </row>
    <row r="8" spans="1:10" x14ac:dyDescent="0.25">
      <c r="A8" s="11" t="s">
        <v>7</v>
      </c>
      <c r="B8" s="10" t="s">
        <v>70</v>
      </c>
      <c r="C8" s="52">
        <v>3473</v>
      </c>
      <c r="D8" s="52">
        <v>5867</v>
      </c>
      <c r="E8" s="52">
        <v>6863</v>
      </c>
      <c r="F8" s="52">
        <v>7684</v>
      </c>
      <c r="G8" s="52">
        <v>9450</v>
      </c>
      <c r="H8" s="52">
        <v>9324</v>
      </c>
      <c r="I8" s="52">
        <v>7902</v>
      </c>
    </row>
    <row r="9" spans="1:10" x14ac:dyDescent="0.25">
      <c r="A9" s="11" t="s">
        <v>8</v>
      </c>
      <c r="B9" s="10" t="s">
        <v>70</v>
      </c>
      <c r="C9" s="52">
        <v>1818</v>
      </c>
      <c r="D9" s="52">
        <v>3151</v>
      </c>
      <c r="E9" s="52">
        <v>3620</v>
      </c>
      <c r="F9" s="52">
        <v>3633</v>
      </c>
      <c r="G9" s="52">
        <v>4989</v>
      </c>
      <c r="H9" s="52">
        <v>4635</v>
      </c>
      <c r="I9" s="52">
        <v>3804</v>
      </c>
    </row>
    <row r="10" spans="1:10" x14ac:dyDescent="0.25">
      <c r="A10" s="11" t="s">
        <v>9</v>
      </c>
      <c r="B10" s="10" t="s">
        <v>70</v>
      </c>
      <c r="C10" s="52">
        <v>13755</v>
      </c>
      <c r="D10" s="52">
        <v>24254</v>
      </c>
      <c r="E10" s="52">
        <v>26354</v>
      </c>
      <c r="F10" s="52">
        <v>28485</v>
      </c>
      <c r="G10" s="52">
        <v>41739</v>
      </c>
      <c r="H10" s="52">
        <v>37685</v>
      </c>
      <c r="I10" s="52">
        <v>29422</v>
      </c>
    </row>
    <row r="11" spans="1:10" x14ac:dyDescent="0.25">
      <c r="A11" s="11" t="s">
        <v>10</v>
      </c>
      <c r="B11" s="10" t="s">
        <v>70</v>
      </c>
      <c r="C11" s="52">
        <v>5745</v>
      </c>
      <c r="D11" s="52">
        <v>10936</v>
      </c>
      <c r="E11" s="52">
        <v>12160</v>
      </c>
      <c r="F11" s="52">
        <v>12284</v>
      </c>
      <c r="G11" s="52">
        <v>16311</v>
      </c>
      <c r="H11" s="52">
        <v>14703</v>
      </c>
      <c r="I11" s="52">
        <v>10799</v>
      </c>
    </row>
    <row r="12" spans="1:10" x14ac:dyDescent="0.25">
      <c r="A12" s="11" t="s">
        <v>11</v>
      </c>
      <c r="B12" s="10" t="s">
        <v>70</v>
      </c>
      <c r="C12" s="52">
        <v>3457</v>
      </c>
      <c r="D12" s="52">
        <v>5809</v>
      </c>
      <c r="E12" s="52">
        <v>6334</v>
      </c>
      <c r="F12" s="52">
        <v>7153</v>
      </c>
      <c r="G12" s="52">
        <v>8608</v>
      </c>
      <c r="H12" s="52">
        <v>8561</v>
      </c>
      <c r="I12" s="52">
        <v>6566</v>
      </c>
    </row>
    <row r="13" spans="1:10" x14ac:dyDescent="0.25">
      <c r="A13" s="11" t="s">
        <v>12</v>
      </c>
      <c r="B13" s="10" t="s">
        <v>70</v>
      </c>
      <c r="C13" s="52">
        <v>82</v>
      </c>
      <c r="D13" s="52">
        <v>165</v>
      </c>
      <c r="E13" s="52">
        <v>215</v>
      </c>
      <c r="F13" s="52">
        <v>230</v>
      </c>
      <c r="G13" s="52">
        <v>384</v>
      </c>
      <c r="H13" s="52">
        <v>419</v>
      </c>
      <c r="I13" s="52">
        <v>344</v>
      </c>
    </row>
    <row r="14" spans="1:10" x14ac:dyDescent="0.25">
      <c r="A14" s="11" t="s">
        <v>13</v>
      </c>
      <c r="B14" s="10" t="s">
        <v>70</v>
      </c>
      <c r="C14" s="52">
        <v>1502</v>
      </c>
      <c r="D14" s="52">
        <v>2847</v>
      </c>
      <c r="E14" s="52">
        <v>3305</v>
      </c>
      <c r="F14" s="52">
        <v>3658</v>
      </c>
      <c r="G14" s="52">
        <v>5047</v>
      </c>
      <c r="H14" s="52">
        <v>4479</v>
      </c>
      <c r="I14" s="52">
        <v>3106</v>
      </c>
    </row>
    <row r="15" spans="1:10" x14ac:dyDescent="0.25">
      <c r="A15" s="11" t="s">
        <v>14</v>
      </c>
      <c r="B15" s="10" t="s">
        <v>70</v>
      </c>
      <c r="C15" s="52">
        <v>5359</v>
      </c>
      <c r="D15" s="52">
        <v>5878</v>
      </c>
      <c r="E15" s="52">
        <v>5199</v>
      </c>
      <c r="F15" s="52">
        <v>5275</v>
      </c>
      <c r="G15" s="52">
        <v>7405</v>
      </c>
      <c r="H15" s="52">
        <v>6896</v>
      </c>
      <c r="I15" s="52">
        <v>5753</v>
      </c>
    </row>
    <row r="16" spans="1:10" x14ac:dyDescent="0.25">
      <c r="A16" s="11" t="s">
        <v>15</v>
      </c>
      <c r="B16" s="10" t="s">
        <v>70</v>
      </c>
      <c r="C16" s="52">
        <v>10670</v>
      </c>
      <c r="D16" s="52">
        <v>19058</v>
      </c>
      <c r="E16" s="52">
        <v>19597</v>
      </c>
      <c r="F16" s="52">
        <v>21654</v>
      </c>
      <c r="G16" s="52">
        <v>31061</v>
      </c>
      <c r="H16" s="52">
        <v>27296</v>
      </c>
      <c r="I16" s="52">
        <v>22355</v>
      </c>
    </row>
    <row r="17" spans="1:9" x14ac:dyDescent="0.25">
      <c r="A17" s="11" t="s">
        <v>16</v>
      </c>
      <c r="B17" s="10" t="s">
        <v>70</v>
      </c>
      <c r="C17" s="52">
        <v>1068</v>
      </c>
      <c r="D17" s="52">
        <v>1874</v>
      </c>
      <c r="E17" s="52">
        <v>2141</v>
      </c>
      <c r="F17" s="52">
        <v>2343</v>
      </c>
      <c r="G17" s="52">
        <v>3104</v>
      </c>
      <c r="H17" s="52">
        <v>2802</v>
      </c>
      <c r="I17" s="52">
        <v>2181</v>
      </c>
    </row>
    <row r="18" spans="1:9" x14ac:dyDescent="0.25">
      <c r="A18" s="11" t="s">
        <v>17</v>
      </c>
      <c r="B18" s="10" t="s">
        <v>70</v>
      </c>
      <c r="C18" s="52">
        <v>1987</v>
      </c>
      <c r="D18" s="52">
        <v>3897</v>
      </c>
      <c r="E18" s="52">
        <v>4381</v>
      </c>
      <c r="F18" s="52">
        <v>4916</v>
      </c>
      <c r="G18" s="52">
        <v>6268</v>
      </c>
      <c r="H18" s="52">
        <v>5743</v>
      </c>
      <c r="I18" s="52">
        <v>4231</v>
      </c>
    </row>
    <row r="19" spans="1:9" x14ac:dyDescent="0.25">
      <c r="A19" s="11" t="s">
        <v>18</v>
      </c>
      <c r="B19" s="10" t="s">
        <v>70</v>
      </c>
      <c r="C19" s="52">
        <v>951</v>
      </c>
      <c r="D19" s="52">
        <v>1738</v>
      </c>
      <c r="E19" s="52">
        <v>1840</v>
      </c>
      <c r="F19" s="52">
        <v>2064</v>
      </c>
      <c r="G19" s="52">
        <v>2545</v>
      </c>
      <c r="H19" s="52">
        <v>2338</v>
      </c>
      <c r="I19" s="52">
        <v>1788</v>
      </c>
    </row>
    <row r="20" spans="1:9" x14ac:dyDescent="0.25">
      <c r="A20" s="11" t="s">
        <v>19</v>
      </c>
      <c r="B20" s="10" t="s">
        <v>70</v>
      </c>
      <c r="C20" s="52">
        <v>1670</v>
      </c>
      <c r="D20" s="52">
        <v>2840</v>
      </c>
      <c r="E20" s="52">
        <v>3030</v>
      </c>
      <c r="F20" s="52">
        <v>3320</v>
      </c>
      <c r="G20" s="52">
        <v>4257</v>
      </c>
      <c r="H20" s="52">
        <v>4098</v>
      </c>
      <c r="I20" s="52">
        <v>3215</v>
      </c>
    </row>
    <row r="21" spans="1:9" x14ac:dyDescent="0.25">
      <c r="A21" s="11" t="s">
        <v>20</v>
      </c>
      <c r="B21" s="10" t="s">
        <v>70</v>
      </c>
      <c r="C21" s="52">
        <v>2104</v>
      </c>
      <c r="D21" s="52">
        <v>3747</v>
      </c>
      <c r="E21" s="52">
        <v>4339</v>
      </c>
      <c r="F21" s="52">
        <v>4599</v>
      </c>
      <c r="G21" s="52">
        <v>6172</v>
      </c>
      <c r="H21" s="52">
        <v>5997</v>
      </c>
      <c r="I21" s="52">
        <v>4821</v>
      </c>
    </row>
    <row r="22" spans="1:9" x14ac:dyDescent="0.25">
      <c r="A22" s="11" t="s">
        <v>21</v>
      </c>
      <c r="B22" s="10" t="s">
        <v>70</v>
      </c>
      <c r="C22" s="52">
        <v>5736</v>
      </c>
      <c r="D22" s="52">
        <v>10925</v>
      </c>
      <c r="E22" s="52">
        <v>12333</v>
      </c>
      <c r="F22" s="52">
        <v>12754</v>
      </c>
      <c r="G22" s="52">
        <v>16756</v>
      </c>
      <c r="H22" s="52">
        <v>15751</v>
      </c>
      <c r="I22" s="52">
        <v>13925</v>
      </c>
    </row>
    <row r="23" spans="1:9" x14ac:dyDescent="0.25">
      <c r="A23" s="11" t="s">
        <v>22</v>
      </c>
      <c r="B23" s="10" t="s">
        <v>70</v>
      </c>
      <c r="C23" s="52">
        <v>4776</v>
      </c>
      <c r="D23" s="52">
        <v>9690</v>
      </c>
      <c r="E23" s="52">
        <v>10835</v>
      </c>
      <c r="F23" s="52">
        <v>10970</v>
      </c>
      <c r="G23" s="52">
        <v>14738</v>
      </c>
      <c r="H23" s="52">
        <v>14034</v>
      </c>
      <c r="I23" s="52">
        <v>10839</v>
      </c>
    </row>
    <row r="24" spans="1:9" x14ac:dyDescent="0.25">
      <c r="A24" s="11" t="s">
        <v>23</v>
      </c>
      <c r="B24" s="10" t="s">
        <v>70</v>
      </c>
      <c r="C24" s="52">
        <v>9402</v>
      </c>
      <c r="D24" s="52">
        <v>17525</v>
      </c>
      <c r="E24" s="52">
        <v>19795</v>
      </c>
      <c r="F24" s="52">
        <v>19566</v>
      </c>
      <c r="G24" s="52">
        <v>27838</v>
      </c>
      <c r="H24" s="52">
        <v>27113</v>
      </c>
      <c r="I24" s="52">
        <v>21373</v>
      </c>
    </row>
    <row r="25" spans="1:9" x14ac:dyDescent="0.25">
      <c r="A25" s="11" t="s">
        <v>24</v>
      </c>
      <c r="B25" s="10" t="s">
        <v>70</v>
      </c>
      <c r="C25" s="52">
        <v>801</v>
      </c>
      <c r="D25" s="52">
        <v>1486</v>
      </c>
      <c r="E25" s="52">
        <v>1649</v>
      </c>
      <c r="F25" s="52">
        <v>1749</v>
      </c>
      <c r="G25" s="52">
        <v>2507</v>
      </c>
      <c r="H25" s="52">
        <v>2314</v>
      </c>
      <c r="I25" s="52">
        <v>1614</v>
      </c>
    </row>
    <row r="26" spans="1:9" x14ac:dyDescent="0.25">
      <c r="A26" s="11" t="s">
        <v>25</v>
      </c>
      <c r="B26" s="10" t="s">
        <v>70</v>
      </c>
      <c r="C26" s="52">
        <v>5284</v>
      </c>
      <c r="D26" s="52">
        <v>9434</v>
      </c>
      <c r="E26" s="52">
        <v>10237</v>
      </c>
      <c r="F26" s="52">
        <v>10761</v>
      </c>
      <c r="G26" s="52">
        <v>13738</v>
      </c>
      <c r="H26" s="52">
        <v>12164</v>
      </c>
      <c r="I26" s="52">
        <v>9168</v>
      </c>
    </row>
    <row r="27" spans="1:9" x14ac:dyDescent="0.25">
      <c r="A27" s="11" t="s">
        <v>26</v>
      </c>
      <c r="B27" s="10" t="s">
        <v>70</v>
      </c>
      <c r="C27" s="52">
        <v>2747</v>
      </c>
      <c r="D27" s="52">
        <v>5804</v>
      </c>
      <c r="E27" s="52">
        <v>6215</v>
      </c>
      <c r="F27" s="52">
        <v>6757</v>
      </c>
      <c r="G27" s="52">
        <v>7931</v>
      </c>
      <c r="H27" s="52">
        <v>6975</v>
      </c>
      <c r="I27" s="52">
        <v>4891</v>
      </c>
    </row>
    <row r="28" spans="1:9" x14ac:dyDescent="0.25">
      <c r="A28" s="11" t="s">
        <v>27</v>
      </c>
      <c r="B28" s="10" t="s">
        <v>70</v>
      </c>
      <c r="C28" s="52">
        <v>106</v>
      </c>
      <c r="D28" s="52">
        <v>137</v>
      </c>
      <c r="E28" s="52">
        <v>201</v>
      </c>
      <c r="F28" s="52">
        <v>272</v>
      </c>
      <c r="G28" s="52">
        <v>449</v>
      </c>
      <c r="H28" s="52">
        <v>504</v>
      </c>
      <c r="I28" s="52">
        <v>394</v>
      </c>
    </row>
    <row r="29" spans="1:9" x14ac:dyDescent="0.25">
      <c r="A29" s="11" t="s">
        <v>28</v>
      </c>
      <c r="B29" s="10" t="s">
        <v>70</v>
      </c>
      <c r="C29" s="52">
        <v>4157</v>
      </c>
      <c r="D29" s="52">
        <v>8036</v>
      </c>
      <c r="E29" s="52">
        <v>9110</v>
      </c>
      <c r="F29" s="52">
        <v>9739</v>
      </c>
      <c r="G29" s="52">
        <v>12499</v>
      </c>
      <c r="H29" s="52">
        <v>11180</v>
      </c>
      <c r="I29" s="52">
        <v>9540</v>
      </c>
    </row>
    <row r="30" spans="1:9" x14ac:dyDescent="0.25">
      <c r="A30" s="11" t="s">
        <v>29</v>
      </c>
      <c r="B30" s="10" t="s">
        <v>70</v>
      </c>
      <c r="C30" s="52">
        <v>520</v>
      </c>
      <c r="D30" s="52">
        <v>996</v>
      </c>
      <c r="E30" s="52">
        <v>1010</v>
      </c>
      <c r="F30" s="52">
        <v>1150</v>
      </c>
      <c r="G30" s="52">
        <v>1457</v>
      </c>
      <c r="H30" s="52">
        <v>1348</v>
      </c>
      <c r="I30" s="52">
        <v>986</v>
      </c>
    </row>
    <row r="31" spans="1:9" x14ac:dyDescent="0.25">
      <c r="A31" s="11" t="s">
        <v>30</v>
      </c>
      <c r="B31" s="10" t="s">
        <v>70</v>
      </c>
      <c r="C31" s="52">
        <v>968</v>
      </c>
      <c r="D31" s="52">
        <v>1775</v>
      </c>
      <c r="E31" s="52">
        <v>1778</v>
      </c>
      <c r="F31" s="52">
        <v>2066</v>
      </c>
      <c r="G31" s="52">
        <v>2258</v>
      </c>
      <c r="H31" s="52">
        <v>1952</v>
      </c>
      <c r="I31" s="52">
        <v>1392</v>
      </c>
    </row>
    <row r="32" spans="1:9" x14ac:dyDescent="0.25">
      <c r="A32" s="11" t="s">
        <v>31</v>
      </c>
      <c r="B32" s="10" t="s">
        <v>70</v>
      </c>
      <c r="C32" s="52">
        <v>1347</v>
      </c>
      <c r="D32" s="52">
        <v>2295</v>
      </c>
      <c r="E32" s="52">
        <v>2459</v>
      </c>
      <c r="F32" s="52">
        <v>2768</v>
      </c>
      <c r="G32" s="52">
        <v>3665</v>
      </c>
      <c r="H32" s="52">
        <v>3514</v>
      </c>
      <c r="I32" s="52">
        <v>2832</v>
      </c>
    </row>
    <row r="33" spans="1:9" x14ac:dyDescent="0.25">
      <c r="A33" s="11" t="s">
        <v>32</v>
      </c>
      <c r="B33" s="10" t="s">
        <v>70</v>
      </c>
      <c r="C33" s="52">
        <v>2391</v>
      </c>
      <c r="D33" s="52">
        <v>3565</v>
      </c>
      <c r="E33" s="52">
        <v>3967</v>
      </c>
      <c r="F33" s="52">
        <v>4393</v>
      </c>
      <c r="G33" s="52">
        <v>5354</v>
      </c>
      <c r="H33" s="52">
        <v>5211</v>
      </c>
      <c r="I33" s="52">
        <v>3974</v>
      </c>
    </row>
    <row r="34" spans="1:9" x14ac:dyDescent="0.25">
      <c r="A34" s="11" t="s">
        <v>33</v>
      </c>
      <c r="B34" s="10" t="s">
        <v>70</v>
      </c>
      <c r="C34" s="52">
        <v>1321</v>
      </c>
      <c r="D34" s="52">
        <v>2354</v>
      </c>
      <c r="E34" s="52">
        <v>2844</v>
      </c>
      <c r="F34" s="52">
        <v>2840</v>
      </c>
      <c r="G34" s="52">
        <v>3677</v>
      </c>
      <c r="H34" s="52">
        <v>3621</v>
      </c>
      <c r="I34" s="52">
        <v>2749</v>
      </c>
    </row>
    <row r="35" spans="1:9" x14ac:dyDescent="0.25">
      <c r="A35" s="11" t="s">
        <v>34</v>
      </c>
      <c r="B35" s="10" t="s">
        <v>70</v>
      </c>
      <c r="C35" s="52">
        <v>653</v>
      </c>
      <c r="D35" s="52">
        <v>1278</v>
      </c>
      <c r="E35" s="52">
        <v>1370</v>
      </c>
      <c r="F35" s="52">
        <v>1509</v>
      </c>
      <c r="G35" s="52">
        <v>1953</v>
      </c>
      <c r="H35" s="52">
        <v>1820</v>
      </c>
      <c r="I35" s="52">
        <v>1435</v>
      </c>
    </row>
    <row r="36" spans="1:9" x14ac:dyDescent="0.25">
      <c r="A36" s="11" t="s">
        <v>35</v>
      </c>
      <c r="B36" s="10" t="s">
        <v>70</v>
      </c>
      <c r="C36" s="52">
        <v>4165</v>
      </c>
      <c r="D36" s="52">
        <v>7229</v>
      </c>
      <c r="E36" s="52">
        <v>7819</v>
      </c>
      <c r="F36" s="52">
        <v>8175</v>
      </c>
      <c r="G36" s="52">
        <v>10028</v>
      </c>
      <c r="H36" s="52">
        <v>8301</v>
      </c>
      <c r="I36" s="52">
        <v>6559</v>
      </c>
    </row>
    <row r="37" spans="1:9" x14ac:dyDescent="0.25">
      <c r="A37" s="11" t="s">
        <v>36</v>
      </c>
      <c r="B37" s="10" t="s">
        <v>70</v>
      </c>
      <c r="C37" s="52">
        <v>12779</v>
      </c>
      <c r="D37" s="52">
        <v>24397</v>
      </c>
      <c r="E37" s="52">
        <v>26206</v>
      </c>
      <c r="F37" s="52">
        <v>25294</v>
      </c>
      <c r="G37" s="52">
        <v>32691</v>
      </c>
      <c r="H37" s="52">
        <v>32857</v>
      </c>
      <c r="I37" s="52">
        <v>29411</v>
      </c>
    </row>
    <row r="38" spans="1:9" x14ac:dyDescent="0.25">
      <c r="A38" s="11" t="s">
        <v>37</v>
      </c>
      <c r="B38" s="10" t="s">
        <v>70</v>
      </c>
      <c r="C38" s="52">
        <v>2339</v>
      </c>
      <c r="D38" s="52">
        <v>3829</v>
      </c>
      <c r="E38" s="52">
        <v>4245</v>
      </c>
      <c r="F38" s="52">
        <v>4582</v>
      </c>
      <c r="G38" s="52">
        <v>5558</v>
      </c>
      <c r="H38" s="52">
        <v>5380</v>
      </c>
      <c r="I38" s="52">
        <v>4167</v>
      </c>
    </row>
    <row r="39" spans="1:9" x14ac:dyDescent="0.25">
      <c r="A39" s="11" t="s">
        <v>38</v>
      </c>
      <c r="B39" s="10" t="s">
        <v>70</v>
      </c>
      <c r="C39" s="52">
        <v>3350</v>
      </c>
      <c r="D39" s="52">
        <v>6218</v>
      </c>
      <c r="E39" s="52">
        <v>7144</v>
      </c>
      <c r="F39" s="52">
        <v>7747</v>
      </c>
      <c r="G39" s="52">
        <v>9830</v>
      </c>
      <c r="H39" s="52">
        <v>9783</v>
      </c>
      <c r="I39" s="52">
        <v>8594</v>
      </c>
    </row>
    <row r="40" spans="1:9" x14ac:dyDescent="0.25">
      <c r="A40" s="11" t="s">
        <v>39</v>
      </c>
      <c r="B40" s="10" t="s">
        <v>70</v>
      </c>
      <c r="C40" s="52">
        <v>5819</v>
      </c>
      <c r="D40" s="52">
        <v>11487</v>
      </c>
      <c r="E40" s="52">
        <v>12625</v>
      </c>
      <c r="F40" s="52">
        <v>13133</v>
      </c>
      <c r="G40" s="52">
        <v>17272</v>
      </c>
      <c r="H40" s="52">
        <v>16049</v>
      </c>
      <c r="I40" s="52">
        <v>13053</v>
      </c>
    </row>
    <row r="41" spans="1:9" x14ac:dyDescent="0.25">
      <c r="A41" s="11" t="s">
        <v>40</v>
      </c>
      <c r="B41" s="10" t="s">
        <v>70</v>
      </c>
      <c r="C41" s="52">
        <v>5752</v>
      </c>
      <c r="D41" s="52">
        <v>11182</v>
      </c>
      <c r="E41" s="52">
        <v>13121</v>
      </c>
      <c r="F41" s="52">
        <v>13812</v>
      </c>
      <c r="G41" s="52">
        <v>18364</v>
      </c>
      <c r="H41" s="52">
        <v>15671</v>
      </c>
      <c r="I41" s="52">
        <v>12876</v>
      </c>
    </row>
    <row r="42" spans="1:9" x14ac:dyDescent="0.25">
      <c r="A42" s="11" t="s">
        <v>41</v>
      </c>
      <c r="B42" s="10" t="s">
        <v>70</v>
      </c>
      <c r="C42" s="52">
        <v>2801</v>
      </c>
      <c r="D42" s="52">
        <v>4970</v>
      </c>
      <c r="E42" s="52">
        <v>6277</v>
      </c>
      <c r="F42" s="52">
        <v>6319</v>
      </c>
      <c r="G42" s="52">
        <v>8189</v>
      </c>
      <c r="H42" s="52">
        <v>8485</v>
      </c>
      <c r="I42" s="52">
        <v>6680</v>
      </c>
    </row>
    <row r="43" spans="1:9" x14ac:dyDescent="0.25">
      <c r="A43" s="11" t="s">
        <v>42</v>
      </c>
      <c r="B43" s="10" t="s">
        <v>70</v>
      </c>
      <c r="C43" s="52">
        <v>1024</v>
      </c>
      <c r="D43" s="52">
        <v>1868</v>
      </c>
      <c r="E43" s="52">
        <v>2223</v>
      </c>
      <c r="F43" s="52">
        <v>2411</v>
      </c>
      <c r="G43" s="52">
        <v>3216</v>
      </c>
      <c r="H43" s="52">
        <v>3095</v>
      </c>
      <c r="I43" s="52">
        <v>2382</v>
      </c>
    </row>
    <row r="44" spans="1:9" x14ac:dyDescent="0.25">
      <c r="A44" s="11" t="s">
        <v>43</v>
      </c>
      <c r="B44" s="10" t="s">
        <v>70</v>
      </c>
      <c r="C44" s="52">
        <v>2884</v>
      </c>
      <c r="D44" s="52">
        <v>4996</v>
      </c>
      <c r="E44" s="52">
        <v>5004</v>
      </c>
      <c r="F44" s="52">
        <v>5495</v>
      </c>
      <c r="G44" s="52">
        <v>7189</v>
      </c>
      <c r="H44" s="52">
        <v>7005</v>
      </c>
      <c r="I44" s="52">
        <v>5733</v>
      </c>
    </row>
    <row r="45" spans="1:9" x14ac:dyDescent="0.25">
      <c r="A45" s="11" t="s">
        <v>44</v>
      </c>
      <c r="B45" s="10" t="s">
        <v>70</v>
      </c>
      <c r="C45" s="52">
        <v>1126</v>
      </c>
      <c r="D45" s="52">
        <v>2317</v>
      </c>
      <c r="E45" s="52">
        <v>2501</v>
      </c>
      <c r="F45" s="52">
        <v>2674</v>
      </c>
      <c r="G45" s="52">
        <v>3724</v>
      </c>
      <c r="H45" s="52">
        <v>3411</v>
      </c>
      <c r="I45" s="52">
        <v>2884</v>
      </c>
    </row>
    <row r="46" spans="1:9" x14ac:dyDescent="0.25">
      <c r="A46" s="11" t="s">
        <v>45</v>
      </c>
      <c r="B46" s="10" t="s">
        <v>70</v>
      </c>
      <c r="C46" s="52">
        <v>2510</v>
      </c>
      <c r="D46" s="52">
        <v>5178</v>
      </c>
      <c r="E46" s="52">
        <v>6199</v>
      </c>
      <c r="F46" s="52">
        <v>6473</v>
      </c>
      <c r="G46" s="52">
        <v>9324</v>
      </c>
      <c r="H46" s="52">
        <v>8454</v>
      </c>
      <c r="I46" s="52">
        <v>5247</v>
      </c>
    </row>
    <row r="47" spans="1:9" x14ac:dyDescent="0.25">
      <c r="A47" s="11" t="s">
        <v>46</v>
      </c>
      <c r="B47" s="10" t="s">
        <v>70</v>
      </c>
      <c r="C47" s="52">
        <v>13857</v>
      </c>
      <c r="D47" s="52">
        <v>26048</v>
      </c>
      <c r="E47" s="52">
        <v>28075</v>
      </c>
      <c r="F47" s="52">
        <v>29092</v>
      </c>
      <c r="G47" s="52">
        <v>40997</v>
      </c>
      <c r="H47" s="52">
        <v>37807</v>
      </c>
      <c r="I47" s="52">
        <v>31660</v>
      </c>
    </row>
    <row r="48" spans="1:9" x14ac:dyDescent="0.25">
      <c r="A48" s="11" t="s">
        <v>47</v>
      </c>
      <c r="B48" s="10" t="s">
        <v>70</v>
      </c>
      <c r="C48" s="52">
        <v>391</v>
      </c>
      <c r="D48" s="52">
        <v>818</v>
      </c>
      <c r="E48" s="52">
        <v>943</v>
      </c>
      <c r="F48" s="52">
        <v>867</v>
      </c>
      <c r="G48" s="52">
        <v>1215</v>
      </c>
      <c r="H48" s="52">
        <v>1248</v>
      </c>
      <c r="I48" s="52">
        <v>1074</v>
      </c>
    </row>
    <row r="49" spans="1:9" x14ac:dyDescent="0.25">
      <c r="A49" s="11" t="s">
        <v>48</v>
      </c>
      <c r="B49" s="10" t="s">
        <v>70</v>
      </c>
      <c r="C49" s="52">
        <v>6051</v>
      </c>
      <c r="D49" s="52">
        <v>11248</v>
      </c>
      <c r="E49" s="52">
        <v>11866</v>
      </c>
      <c r="F49" s="52">
        <v>12456</v>
      </c>
      <c r="G49" s="52">
        <v>17400</v>
      </c>
      <c r="H49" s="52">
        <v>15553</v>
      </c>
      <c r="I49" s="52">
        <v>12364</v>
      </c>
    </row>
    <row r="50" spans="1:9" x14ac:dyDescent="0.25">
      <c r="A50" s="11" t="s">
        <v>49</v>
      </c>
      <c r="B50" s="10" t="s">
        <v>70</v>
      </c>
      <c r="C50" s="52">
        <v>2007</v>
      </c>
      <c r="D50" s="52">
        <v>3645</v>
      </c>
      <c r="E50" s="52">
        <v>4593</v>
      </c>
      <c r="F50" s="52">
        <v>4803</v>
      </c>
      <c r="G50" s="52">
        <v>6187</v>
      </c>
      <c r="H50" s="52">
        <v>5973</v>
      </c>
      <c r="I50" s="52">
        <v>4735</v>
      </c>
    </row>
    <row r="51" spans="1:9" x14ac:dyDescent="0.25">
      <c r="A51" s="11" t="s">
        <v>50</v>
      </c>
      <c r="B51" s="10" t="s">
        <v>70</v>
      </c>
      <c r="C51" s="52">
        <v>1414</v>
      </c>
      <c r="D51" s="52">
        <v>2642</v>
      </c>
      <c r="E51" s="52">
        <v>3064</v>
      </c>
      <c r="F51" s="52">
        <v>3179</v>
      </c>
      <c r="G51" s="52">
        <v>4257</v>
      </c>
      <c r="H51" s="52">
        <v>3804</v>
      </c>
      <c r="I51" s="52">
        <v>2581</v>
      </c>
    </row>
    <row r="52" spans="1:9" x14ac:dyDescent="0.25">
      <c r="A52" s="11" t="s">
        <v>51</v>
      </c>
      <c r="B52" s="10" t="s">
        <v>70</v>
      </c>
      <c r="C52" s="52">
        <v>9808</v>
      </c>
      <c r="D52" s="52">
        <v>25646</v>
      </c>
      <c r="E52" s="52">
        <v>23691</v>
      </c>
      <c r="F52" s="52">
        <v>18758</v>
      </c>
      <c r="G52" s="52">
        <v>20752</v>
      </c>
      <c r="H52" s="52">
        <v>18189</v>
      </c>
      <c r="I52" s="52">
        <v>14432</v>
      </c>
    </row>
    <row r="53" spans="1:9" x14ac:dyDescent="0.25">
      <c r="A53" s="11" t="s">
        <v>52</v>
      </c>
      <c r="B53" s="10" t="s">
        <v>70</v>
      </c>
      <c r="C53" s="52">
        <v>1219</v>
      </c>
      <c r="D53" s="52">
        <v>2423</v>
      </c>
      <c r="E53" s="52">
        <v>3005</v>
      </c>
      <c r="F53" s="52">
        <v>3249</v>
      </c>
      <c r="G53" s="52">
        <v>5203</v>
      </c>
      <c r="H53" s="52">
        <v>4752</v>
      </c>
      <c r="I53" s="52">
        <v>3275</v>
      </c>
    </row>
    <row r="54" spans="1:9" x14ac:dyDescent="0.25">
      <c r="A54" s="11" t="s">
        <v>53</v>
      </c>
      <c r="B54" s="10" t="s">
        <v>70</v>
      </c>
      <c r="C54" s="52">
        <v>492</v>
      </c>
      <c r="D54" s="52">
        <v>906</v>
      </c>
      <c r="E54" s="52">
        <v>1052</v>
      </c>
      <c r="F54" s="52">
        <v>1060</v>
      </c>
      <c r="G54" s="52">
        <v>1543</v>
      </c>
      <c r="H54" s="52">
        <v>1639</v>
      </c>
      <c r="I54" s="52">
        <v>1296</v>
      </c>
    </row>
    <row r="55" spans="1:9" x14ac:dyDescent="0.25">
      <c r="A55" s="11" t="s">
        <v>54</v>
      </c>
      <c r="B55" s="10" t="s">
        <v>70</v>
      </c>
      <c r="C55" s="52">
        <v>3622</v>
      </c>
      <c r="D55" s="52">
        <v>6288</v>
      </c>
      <c r="E55" s="52">
        <v>7366</v>
      </c>
      <c r="F55" s="52">
        <v>8310</v>
      </c>
      <c r="G55" s="52">
        <v>10563</v>
      </c>
      <c r="H55" s="52">
        <v>9664</v>
      </c>
      <c r="I55" s="52">
        <v>7360</v>
      </c>
    </row>
    <row r="56" spans="1:9" x14ac:dyDescent="0.25">
      <c r="A56" s="11" t="s">
        <v>55</v>
      </c>
      <c r="B56" s="10" t="s">
        <v>70</v>
      </c>
      <c r="C56" s="52">
        <v>1210</v>
      </c>
      <c r="D56" s="52">
        <v>1856</v>
      </c>
      <c r="E56" s="52">
        <v>2247</v>
      </c>
      <c r="F56" s="52">
        <v>2357</v>
      </c>
      <c r="G56" s="52">
        <v>3039</v>
      </c>
      <c r="H56" s="52">
        <v>2833</v>
      </c>
      <c r="I56" s="52">
        <v>2395</v>
      </c>
    </row>
    <row r="57" spans="1:9" x14ac:dyDescent="0.25">
      <c r="A57" s="11" t="s">
        <v>56</v>
      </c>
      <c r="B57" s="10" t="s">
        <v>70</v>
      </c>
      <c r="C57" s="52">
        <v>2216</v>
      </c>
      <c r="D57" s="52">
        <v>3943</v>
      </c>
      <c r="E57" s="52">
        <v>4392</v>
      </c>
      <c r="F57" s="52">
        <v>4880</v>
      </c>
      <c r="G57" s="52">
        <v>6259</v>
      </c>
      <c r="H57" s="52">
        <v>6333</v>
      </c>
      <c r="I57" s="52">
        <v>4785</v>
      </c>
    </row>
    <row r="58" spans="1:9" x14ac:dyDescent="0.25">
      <c r="A58" s="11" t="s">
        <v>57</v>
      </c>
      <c r="B58" s="10" t="s">
        <v>70</v>
      </c>
      <c r="C58" s="52">
        <v>161</v>
      </c>
      <c r="D58" s="52">
        <v>263</v>
      </c>
      <c r="E58" s="52">
        <v>355</v>
      </c>
      <c r="F58" s="52">
        <v>377</v>
      </c>
      <c r="G58" s="52">
        <v>562</v>
      </c>
      <c r="H58" s="52">
        <v>669</v>
      </c>
      <c r="I58" s="52">
        <v>467</v>
      </c>
    </row>
    <row r="59" spans="1:9" x14ac:dyDescent="0.25">
      <c r="A59" s="11" t="s">
        <v>58</v>
      </c>
      <c r="B59" s="10" t="s">
        <v>70</v>
      </c>
      <c r="C59" s="52">
        <v>1114</v>
      </c>
      <c r="D59" s="52">
        <v>2101</v>
      </c>
      <c r="E59" s="52">
        <v>2382</v>
      </c>
      <c r="F59" s="52">
        <v>2350</v>
      </c>
      <c r="G59" s="52">
        <v>3405</v>
      </c>
      <c r="H59" s="52">
        <v>3324</v>
      </c>
      <c r="I59" s="52">
        <v>2603</v>
      </c>
    </row>
    <row r="60" spans="1:9" x14ac:dyDescent="0.25">
      <c r="A60" s="11" t="s">
        <v>59</v>
      </c>
      <c r="B60" s="10" t="s">
        <v>70</v>
      </c>
      <c r="C60" s="52">
        <v>1076</v>
      </c>
      <c r="D60" s="52">
        <v>1994</v>
      </c>
      <c r="E60" s="52">
        <v>2459</v>
      </c>
      <c r="F60" s="52">
        <v>2556</v>
      </c>
      <c r="G60" s="52">
        <v>3459</v>
      </c>
      <c r="H60" s="52">
        <v>3589</v>
      </c>
      <c r="I60" s="52">
        <v>2977</v>
      </c>
    </row>
    <row r="61" spans="1:9" x14ac:dyDescent="0.25">
      <c r="A61" s="11" t="s">
        <v>60</v>
      </c>
      <c r="B61" s="10" t="s">
        <v>70</v>
      </c>
      <c r="C61" s="52">
        <v>1334</v>
      </c>
      <c r="D61" s="52">
        <v>1774</v>
      </c>
      <c r="E61" s="52">
        <v>1904</v>
      </c>
      <c r="F61" s="52">
        <v>1953</v>
      </c>
      <c r="G61" s="52">
        <v>2620</v>
      </c>
      <c r="H61" s="52">
        <v>2417</v>
      </c>
      <c r="I61" s="52">
        <v>2375</v>
      </c>
    </row>
    <row r="62" spans="1:9" x14ac:dyDescent="0.25">
      <c r="A62" s="11" t="s">
        <v>61</v>
      </c>
      <c r="B62" s="10" t="s">
        <v>70</v>
      </c>
      <c r="C62" s="52">
        <v>1222</v>
      </c>
      <c r="D62" s="52">
        <v>2222</v>
      </c>
      <c r="E62" s="52">
        <v>2709</v>
      </c>
      <c r="F62" s="52">
        <v>3022</v>
      </c>
      <c r="G62" s="52">
        <v>3857</v>
      </c>
      <c r="H62" s="52">
        <v>4070</v>
      </c>
      <c r="I62" s="52">
        <v>3034</v>
      </c>
    </row>
    <row r="63" spans="1:9" x14ac:dyDescent="0.25">
      <c r="A63" s="11" t="s">
        <v>62</v>
      </c>
      <c r="B63" s="10" t="s">
        <v>70</v>
      </c>
      <c r="C63" s="52">
        <v>951</v>
      </c>
      <c r="D63" s="52">
        <v>1728</v>
      </c>
      <c r="E63" s="52">
        <v>2066</v>
      </c>
      <c r="F63" s="52">
        <v>2146</v>
      </c>
      <c r="G63" s="52">
        <v>3075</v>
      </c>
      <c r="H63" s="52">
        <v>3048</v>
      </c>
      <c r="I63" s="52">
        <v>2213</v>
      </c>
    </row>
    <row r="64" spans="1:9" x14ac:dyDescent="0.25">
      <c r="A64" s="11" t="s">
        <v>63</v>
      </c>
      <c r="B64" s="10" t="s">
        <v>70</v>
      </c>
      <c r="C64" s="52">
        <v>5208</v>
      </c>
      <c r="D64" s="52">
        <v>9664</v>
      </c>
      <c r="E64" s="52">
        <v>11129</v>
      </c>
      <c r="F64" s="52">
        <v>11452</v>
      </c>
      <c r="G64" s="52">
        <v>13831</v>
      </c>
      <c r="H64" s="52">
        <v>12610</v>
      </c>
      <c r="I64" s="52">
        <v>8836</v>
      </c>
    </row>
    <row r="65" spans="1:9" x14ac:dyDescent="0.25">
      <c r="A65" s="11" t="s">
        <v>64</v>
      </c>
      <c r="B65" s="10" t="s">
        <v>70</v>
      </c>
      <c r="C65" s="52">
        <v>1255</v>
      </c>
      <c r="D65" s="52">
        <v>2494</v>
      </c>
      <c r="E65" s="52">
        <v>2781</v>
      </c>
      <c r="F65" s="52">
        <v>2873</v>
      </c>
      <c r="G65" s="52">
        <v>4507</v>
      </c>
      <c r="H65" s="52">
        <v>4450</v>
      </c>
      <c r="I65" s="52">
        <v>3380</v>
      </c>
    </row>
    <row r="66" spans="1:9" x14ac:dyDescent="0.25">
      <c r="A66" s="11" t="s">
        <v>65</v>
      </c>
      <c r="B66" s="10" t="s">
        <v>70</v>
      </c>
      <c r="C66" s="52">
        <v>8663</v>
      </c>
      <c r="D66" s="52">
        <v>16504</v>
      </c>
      <c r="E66" s="52">
        <v>18378</v>
      </c>
      <c r="F66" s="52">
        <v>19126</v>
      </c>
      <c r="G66" s="52">
        <v>25872</v>
      </c>
      <c r="H66" s="52">
        <v>23947</v>
      </c>
      <c r="I66" s="52">
        <v>18292</v>
      </c>
    </row>
    <row r="67" spans="1:9" x14ac:dyDescent="0.25">
      <c r="A67" s="11" t="s">
        <v>66</v>
      </c>
      <c r="B67" s="10" t="s">
        <v>70</v>
      </c>
      <c r="C67" s="52">
        <v>701</v>
      </c>
      <c r="D67" s="52">
        <v>1383</v>
      </c>
      <c r="E67" s="52">
        <v>1520</v>
      </c>
      <c r="F67" s="52">
        <v>1730</v>
      </c>
      <c r="G67" s="52">
        <v>2149</v>
      </c>
      <c r="H67" s="52">
        <v>2084</v>
      </c>
      <c r="I67" s="52">
        <v>1736</v>
      </c>
    </row>
    <row r="68" spans="1:9" ht="13.8" thickBot="1" x14ac:dyDescent="0.3">
      <c r="A68" s="13" t="s">
        <v>67</v>
      </c>
      <c r="B68" s="12" t="s">
        <v>70</v>
      </c>
      <c r="C68" s="52">
        <v>10958</v>
      </c>
      <c r="D68" s="52">
        <v>21503</v>
      </c>
      <c r="E68" s="52">
        <v>25262</v>
      </c>
      <c r="F68" s="52">
        <v>25378</v>
      </c>
      <c r="G68" s="52">
        <v>34238</v>
      </c>
      <c r="H68" s="52">
        <v>29173</v>
      </c>
      <c r="I68" s="52">
        <v>21822</v>
      </c>
    </row>
    <row r="69" spans="1:9" x14ac:dyDescent="0.25">
      <c r="A69" s="32" t="s">
        <v>68</v>
      </c>
      <c r="C69" s="14">
        <f>SUM(C2:C68)</f>
        <v>249360</v>
      </c>
      <c r="D69" s="14">
        <f t="shared" ref="D69:I69" si="0">SUM(D2:D68)</f>
        <v>469870</v>
      </c>
      <c r="E69" s="14">
        <f t="shared" si="0"/>
        <v>514586</v>
      </c>
      <c r="F69" s="14">
        <f t="shared" si="0"/>
        <v>528232</v>
      </c>
      <c r="G69" s="14">
        <f t="shared" si="0"/>
        <v>703246</v>
      </c>
      <c r="H69" s="14">
        <f t="shared" si="0"/>
        <v>653790</v>
      </c>
      <c r="I69" s="14">
        <f t="shared" si="0"/>
        <v>515198</v>
      </c>
    </row>
    <row r="70" spans="1:9" x14ac:dyDescent="0.25">
      <c r="C70" s="17">
        <f>C69/$C$72</f>
        <v>6.861327767080265E-2</v>
      </c>
      <c r="D70" s="17">
        <f t="shared" ref="D70:I70" si="1">D69/$C$72</f>
        <v>0.12928826106504668</v>
      </c>
      <c r="E70" s="17">
        <f t="shared" si="1"/>
        <v>0.14159220445744167</v>
      </c>
      <c r="F70" s="17">
        <f t="shared" si="1"/>
        <v>0.1453470038923782</v>
      </c>
      <c r="G70" s="17">
        <f t="shared" si="1"/>
        <v>0.19350342103337057</v>
      </c>
      <c r="H70" s="17">
        <f t="shared" si="1"/>
        <v>0.17989523102500027</v>
      </c>
      <c r="I70" s="17">
        <f t="shared" si="1"/>
        <v>0.14176060085595998</v>
      </c>
    </row>
    <row r="72" spans="1:9" x14ac:dyDescent="0.25">
      <c r="A72" s="32" t="s">
        <v>80</v>
      </c>
      <c r="C72" s="16">
        <f>SUM(C69:I69)</f>
        <v>3634282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J83" sqref="J83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9" width="9.109375" style="11"/>
    <col min="10" max="10" width="12" style="11" bestFit="1" customWidth="1"/>
    <col min="11" max="11" width="10" style="11" bestFit="1" customWidth="1"/>
    <col min="12" max="12" width="11.33203125" style="11" bestFit="1" customWidth="1"/>
    <col min="13" max="13" width="9.5546875" style="11" bestFit="1" customWidth="1"/>
    <col min="14" max="14" width="10.88671875" style="11" bestFit="1" customWidth="1"/>
    <col min="15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17189</v>
      </c>
      <c r="C3" s="70">
        <v>2032</v>
      </c>
      <c r="D3" s="69">
        <v>41089</v>
      </c>
      <c r="E3" s="70">
        <v>2962</v>
      </c>
      <c r="F3" s="72">
        <v>11727</v>
      </c>
      <c r="G3" s="74">
        <v>1826</v>
      </c>
    </row>
    <row r="4" spans="1:7" x14ac:dyDescent="0.25">
      <c r="A4" s="11" t="s">
        <v>2</v>
      </c>
      <c r="B4" s="69">
        <v>449463</v>
      </c>
      <c r="C4" s="70">
        <v>54855</v>
      </c>
      <c r="D4" s="69">
        <v>242143</v>
      </c>
      <c r="E4" s="70">
        <v>20748</v>
      </c>
      <c r="F4" s="72">
        <v>128899</v>
      </c>
      <c r="G4" s="75">
        <v>22959</v>
      </c>
    </row>
    <row r="5" spans="1:7" x14ac:dyDescent="0.25">
      <c r="A5" s="11" t="s">
        <v>3</v>
      </c>
      <c r="B5" s="69">
        <v>9882</v>
      </c>
      <c r="C5" s="70">
        <v>747</v>
      </c>
      <c r="D5" s="69">
        <v>26347</v>
      </c>
      <c r="E5" s="70">
        <v>1326</v>
      </c>
      <c r="F5" s="72">
        <v>4800</v>
      </c>
      <c r="G5" s="75">
        <v>515</v>
      </c>
    </row>
    <row r="6" spans="1:7" x14ac:dyDescent="0.25">
      <c r="A6" s="11" t="s">
        <v>4</v>
      </c>
      <c r="B6" s="69">
        <v>42248</v>
      </c>
      <c r="C6" s="70">
        <v>3478</v>
      </c>
      <c r="D6" s="69">
        <v>48994</v>
      </c>
      <c r="E6" s="70">
        <v>2879</v>
      </c>
      <c r="F6" s="72">
        <v>14657</v>
      </c>
      <c r="G6" s="75">
        <v>1918</v>
      </c>
    </row>
    <row r="7" spans="1:7" x14ac:dyDescent="0.25">
      <c r="A7" s="11" t="s">
        <v>5</v>
      </c>
      <c r="B7" s="69">
        <v>4879</v>
      </c>
      <c r="C7" s="70">
        <v>386</v>
      </c>
      <c r="D7" s="69">
        <v>23528</v>
      </c>
      <c r="E7" s="70">
        <v>1059</v>
      </c>
      <c r="F7" s="72">
        <v>2886</v>
      </c>
      <c r="G7" s="75">
        <v>325</v>
      </c>
    </row>
    <row r="8" spans="1:7" x14ac:dyDescent="0.25">
      <c r="A8" s="11" t="s">
        <v>6</v>
      </c>
      <c r="B8" s="69">
        <v>93989</v>
      </c>
      <c r="C8" s="70">
        <v>10362</v>
      </c>
      <c r="D8" s="69">
        <v>111220</v>
      </c>
      <c r="E8" s="70">
        <v>6712</v>
      </c>
      <c r="F8" s="72">
        <v>46147</v>
      </c>
      <c r="G8" s="75">
        <v>6132</v>
      </c>
    </row>
    <row r="9" spans="1:7" x14ac:dyDescent="0.25">
      <c r="A9" s="11" t="s">
        <v>7</v>
      </c>
      <c r="B9" s="69">
        <v>17676</v>
      </c>
      <c r="C9" s="70">
        <v>2147</v>
      </c>
      <c r="D9" s="69">
        <v>47243</v>
      </c>
      <c r="E9" s="70">
        <v>3320</v>
      </c>
      <c r="F9" s="72">
        <v>9559</v>
      </c>
      <c r="G9" s="75">
        <v>1644</v>
      </c>
    </row>
    <row r="10" spans="1:7" x14ac:dyDescent="0.25">
      <c r="A10" s="11" t="s">
        <v>8</v>
      </c>
      <c r="B10" s="69">
        <v>7054</v>
      </c>
      <c r="C10" s="70">
        <v>772</v>
      </c>
      <c r="D10" s="69">
        <v>23985</v>
      </c>
      <c r="E10" s="70">
        <v>1665</v>
      </c>
      <c r="F10" s="72">
        <v>4799</v>
      </c>
      <c r="G10" s="75">
        <v>662</v>
      </c>
    </row>
    <row r="11" spans="1:7" x14ac:dyDescent="0.25">
      <c r="A11" s="11" t="s">
        <v>9</v>
      </c>
      <c r="B11" s="69">
        <v>179150</v>
      </c>
      <c r="C11" s="70">
        <v>15191</v>
      </c>
      <c r="D11" s="69">
        <v>190388</v>
      </c>
      <c r="E11" s="70">
        <v>11306</v>
      </c>
      <c r="F11" s="72">
        <v>80598</v>
      </c>
      <c r="G11" s="75">
        <v>8634</v>
      </c>
    </row>
    <row r="12" spans="1:7" x14ac:dyDescent="0.25">
      <c r="A12" s="11" t="s">
        <v>10</v>
      </c>
      <c r="B12" s="69">
        <v>36412</v>
      </c>
      <c r="C12" s="70">
        <v>2874</v>
      </c>
      <c r="D12" s="69">
        <v>78464</v>
      </c>
      <c r="E12" s="70">
        <v>4474</v>
      </c>
      <c r="F12" s="72">
        <v>19232</v>
      </c>
      <c r="G12" s="75">
        <v>2346</v>
      </c>
    </row>
    <row r="13" spans="1:7" x14ac:dyDescent="0.25">
      <c r="A13" s="11" t="s">
        <v>11</v>
      </c>
      <c r="B13" s="69">
        <v>27152</v>
      </c>
      <c r="C13" s="70">
        <v>2203</v>
      </c>
      <c r="D13" s="69">
        <v>44328</v>
      </c>
      <c r="E13" s="70">
        <v>2160</v>
      </c>
      <c r="F13" s="72">
        <v>8920</v>
      </c>
      <c r="G13" s="75">
        <v>1137</v>
      </c>
    </row>
    <row r="14" spans="1:7" x14ac:dyDescent="0.25">
      <c r="A14" s="11" t="s">
        <v>12</v>
      </c>
      <c r="B14" s="69">
        <v>604</v>
      </c>
      <c r="C14" s="70">
        <v>57</v>
      </c>
      <c r="D14" s="69">
        <v>1728</v>
      </c>
      <c r="E14" s="70">
        <v>111</v>
      </c>
      <c r="F14" s="72">
        <v>338</v>
      </c>
      <c r="G14" s="75">
        <v>40</v>
      </c>
    </row>
    <row r="15" spans="1:7" x14ac:dyDescent="0.25">
      <c r="A15" s="11" t="s">
        <v>13</v>
      </c>
      <c r="B15" s="69">
        <v>12774</v>
      </c>
      <c r="C15" s="70">
        <v>1298</v>
      </c>
      <c r="D15" s="69">
        <v>22340</v>
      </c>
      <c r="E15" s="70">
        <v>1604</v>
      </c>
      <c r="F15" s="72">
        <v>6773</v>
      </c>
      <c r="G15" s="75">
        <v>999</v>
      </c>
    </row>
    <row r="16" spans="1:7" x14ac:dyDescent="0.25">
      <c r="A16" s="11" t="s">
        <v>14</v>
      </c>
      <c r="B16" s="69">
        <v>34279</v>
      </c>
      <c r="C16" s="70">
        <v>7253</v>
      </c>
      <c r="D16" s="69">
        <v>37557</v>
      </c>
      <c r="E16" s="70">
        <v>4208</v>
      </c>
      <c r="F16" s="72">
        <v>15034</v>
      </c>
      <c r="G16" s="75">
        <v>3848</v>
      </c>
    </row>
    <row r="17" spans="1:7" x14ac:dyDescent="0.25">
      <c r="A17" s="11" t="s">
        <v>15</v>
      </c>
      <c r="B17" s="69">
        <v>147628</v>
      </c>
      <c r="C17" s="70">
        <v>13660</v>
      </c>
      <c r="D17" s="69">
        <v>141838</v>
      </c>
      <c r="E17" s="70">
        <v>9853</v>
      </c>
      <c r="F17" s="72">
        <v>68962</v>
      </c>
      <c r="G17" s="75">
        <v>8023</v>
      </c>
    </row>
    <row r="18" spans="1:7" x14ac:dyDescent="0.25">
      <c r="A18" s="11" t="s">
        <v>16</v>
      </c>
      <c r="B18" s="69">
        <v>4662</v>
      </c>
      <c r="C18" s="70">
        <v>381</v>
      </c>
      <c r="D18" s="69">
        <v>14757</v>
      </c>
      <c r="E18" s="70">
        <v>756</v>
      </c>
      <c r="F18" s="72">
        <v>2442</v>
      </c>
      <c r="G18" s="75">
        <v>278</v>
      </c>
    </row>
    <row r="19" spans="1:7" x14ac:dyDescent="0.25">
      <c r="A19" s="11" t="s">
        <v>17</v>
      </c>
      <c r="B19" s="69">
        <v>10837</v>
      </c>
      <c r="C19" s="70">
        <v>1191</v>
      </c>
      <c r="D19" s="69">
        <v>29290</v>
      </c>
      <c r="E19" s="70">
        <v>2133</v>
      </c>
      <c r="F19" s="72">
        <v>5244</v>
      </c>
      <c r="G19" s="75">
        <v>877</v>
      </c>
    </row>
    <row r="20" spans="1:7" x14ac:dyDescent="0.25">
      <c r="A20" s="11" t="s">
        <v>18</v>
      </c>
      <c r="B20" s="69">
        <v>5619</v>
      </c>
      <c r="C20" s="70">
        <v>463</v>
      </c>
      <c r="D20" s="69">
        <v>12550</v>
      </c>
      <c r="E20" s="70">
        <v>714</v>
      </c>
      <c r="F20" s="72">
        <v>2830</v>
      </c>
      <c r="G20" s="75">
        <v>358</v>
      </c>
    </row>
    <row r="21" spans="1:7" x14ac:dyDescent="0.25">
      <c r="A21" s="11" t="s">
        <v>19</v>
      </c>
      <c r="B21" s="69">
        <v>10640</v>
      </c>
      <c r="C21" s="70">
        <v>1157</v>
      </c>
      <c r="D21" s="69">
        <v>21082</v>
      </c>
      <c r="E21" s="70">
        <v>1348</v>
      </c>
      <c r="F21" s="72">
        <v>5528</v>
      </c>
      <c r="G21" s="75">
        <v>836</v>
      </c>
    </row>
    <row r="22" spans="1:7" x14ac:dyDescent="0.25">
      <c r="A22" s="11" t="s">
        <v>20</v>
      </c>
      <c r="B22" s="69">
        <v>12836</v>
      </c>
      <c r="C22" s="70">
        <v>1577</v>
      </c>
      <c r="D22" s="69">
        <v>29809</v>
      </c>
      <c r="E22" s="70">
        <v>1970</v>
      </c>
      <c r="F22" s="72">
        <v>5893</v>
      </c>
      <c r="G22" s="75">
        <v>907</v>
      </c>
    </row>
    <row r="23" spans="1:7" x14ac:dyDescent="0.25">
      <c r="A23" s="11" t="s">
        <v>21</v>
      </c>
      <c r="B23" s="69">
        <v>56962</v>
      </c>
      <c r="C23" s="70">
        <v>4973</v>
      </c>
      <c r="D23" s="69">
        <v>83226</v>
      </c>
      <c r="E23" s="70">
        <v>4954</v>
      </c>
      <c r="F23" s="72">
        <v>30440</v>
      </c>
      <c r="G23" s="75">
        <v>3568</v>
      </c>
    </row>
    <row r="24" spans="1:7" x14ac:dyDescent="0.25">
      <c r="A24" s="11" t="s">
        <v>22</v>
      </c>
      <c r="B24" s="69">
        <v>77695</v>
      </c>
      <c r="C24" s="70">
        <v>9207</v>
      </c>
      <c r="D24" s="69">
        <v>70688</v>
      </c>
      <c r="E24" s="70">
        <v>5194</v>
      </c>
      <c r="F24" s="72">
        <v>33619</v>
      </c>
      <c r="G24" s="75">
        <v>5228</v>
      </c>
    </row>
    <row r="25" spans="1:7" x14ac:dyDescent="0.25">
      <c r="A25" s="11" t="s">
        <v>23</v>
      </c>
      <c r="B25" s="69">
        <v>180601</v>
      </c>
      <c r="C25" s="70">
        <v>22816</v>
      </c>
      <c r="D25" s="69">
        <v>131614</v>
      </c>
      <c r="E25" s="70">
        <v>10998</v>
      </c>
      <c r="F25" s="72">
        <v>56623</v>
      </c>
      <c r="G25" s="75">
        <v>8891</v>
      </c>
    </row>
    <row r="26" spans="1:7" x14ac:dyDescent="0.25">
      <c r="A26" s="11" t="s">
        <v>24</v>
      </c>
      <c r="B26" s="69">
        <v>5366</v>
      </c>
      <c r="C26" s="70">
        <v>392</v>
      </c>
      <c r="D26" s="69">
        <v>11575</v>
      </c>
      <c r="E26" s="70">
        <v>545</v>
      </c>
      <c r="F26" s="72">
        <v>2262</v>
      </c>
      <c r="G26" s="75">
        <v>295</v>
      </c>
    </row>
    <row r="27" spans="1:7" x14ac:dyDescent="0.25">
      <c r="A27" s="11" t="s">
        <v>25</v>
      </c>
      <c r="B27" s="69">
        <v>69090</v>
      </c>
      <c r="C27" s="70">
        <v>7395</v>
      </c>
      <c r="D27" s="69">
        <v>65637</v>
      </c>
      <c r="E27" s="70">
        <v>5149</v>
      </c>
      <c r="F27" s="72">
        <v>23408</v>
      </c>
      <c r="G27" s="75">
        <v>4149</v>
      </c>
    </row>
    <row r="28" spans="1:7" x14ac:dyDescent="0.25">
      <c r="A28" s="11" t="s">
        <v>26</v>
      </c>
      <c r="B28" s="69">
        <v>26694</v>
      </c>
      <c r="C28" s="70">
        <v>2723</v>
      </c>
      <c r="D28" s="69">
        <v>38865</v>
      </c>
      <c r="E28" s="70">
        <v>2455</v>
      </c>
      <c r="F28" s="72">
        <v>7653</v>
      </c>
      <c r="G28" s="75">
        <v>1152</v>
      </c>
    </row>
    <row r="29" spans="1:7" x14ac:dyDescent="0.25">
      <c r="A29" s="11" t="s">
        <v>27</v>
      </c>
      <c r="B29" s="69">
        <v>709</v>
      </c>
      <c r="C29" s="70">
        <v>79</v>
      </c>
      <c r="D29" s="69">
        <v>1932</v>
      </c>
      <c r="E29" s="70">
        <v>131</v>
      </c>
      <c r="F29" s="72">
        <v>355</v>
      </c>
      <c r="G29" s="75">
        <v>52</v>
      </c>
    </row>
    <row r="30" spans="1:7" x14ac:dyDescent="0.25">
      <c r="A30" s="11" t="s">
        <v>28</v>
      </c>
      <c r="B30" s="69">
        <v>21406</v>
      </c>
      <c r="C30" s="70">
        <v>2151</v>
      </c>
      <c r="D30" s="69">
        <v>60919</v>
      </c>
      <c r="E30" s="70">
        <v>3342</v>
      </c>
      <c r="F30" s="72">
        <v>15808</v>
      </c>
      <c r="G30" s="75">
        <v>1849</v>
      </c>
    </row>
    <row r="31" spans="1:7" x14ac:dyDescent="0.25">
      <c r="A31" s="11" t="s">
        <v>29</v>
      </c>
      <c r="B31" s="69">
        <v>1307</v>
      </c>
      <c r="C31" s="70">
        <v>170</v>
      </c>
      <c r="D31" s="69">
        <v>6993</v>
      </c>
      <c r="E31" s="70">
        <v>474</v>
      </c>
      <c r="F31" s="72">
        <v>988</v>
      </c>
      <c r="G31" s="75">
        <v>191</v>
      </c>
    </row>
    <row r="32" spans="1:7" x14ac:dyDescent="0.25">
      <c r="A32" s="11" t="s">
        <v>30</v>
      </c>
      <c r="B32" s="69">
        <v>6659</v>
      </c>
      <c r="C32" s="70">
        <v>675</v>
      </c>
      <c r="D32" s="69">
        <v>11372</v>
      </c>
      <c r="E32" s="70">
        <v>817</v>
      </c>
      <c r="F32" s="72">
        <v>1908</v>
      </c>
      <c r="G32" s="75">
        <v>360</v>
      </c>
    </row>
    <row r="33" spans="1:7" x14ac:dyDescent="0.25">
      <c r="A33" s="11" t="s">
        <v>31</v>
      </c>
      <c r="B33" s="69">
        <v>5184</v>
      </c>
      <c r="C33" s="70">
        <v>826</v>
      </c>
      <c r="D33" s="69">
        <v>17698</v>
      </c>
      <c r="E33" s="70">
        <v>1182</v>
      </c>
      <c r="F33" s="72">
        <v>2539</v>
      </c>
      <c r="G33" s="75">
        <v>446</v>
      </c>
    </row>
    <row r="34" spans="1:7" x14ac:dyDescent="0.25">
      <c r="A34" s="11" t="s">
        <v>32</v>
      </c>
      <c r="B34" s="69">
        <v>12958</v>
      </c>
      <c r="C34" s="70">
        <v>908</v>
      </c>
      <c r="D34" s="69">
        <v>27805</v>
      </c>
      <c r="E34" s="70">
        <v>1050</v>
      </c>
      <c r="F34" s="72">
        <v>5896</v>
      </c>
      <c r="G34" s="75">
        <v>487</v>
      </c>
    </row>
    <row r="35" spans="1:7" x14ac:dyDescent="0.25">
      <c r="A35" s="11" t="s">
        <v>33</v>
      </c>
      <c r="B35" s="69">
        <v>4943</v>
      </c>
      <c r="C35" s="70">
        <v>476</v>
      </c>
      <c r="D35" s="69">
        <v>18138</v>
      </c>
      <c r="E35" s="70">
        <v>1268</v>
      </c>
      <c r="F35" s="72">
        <v>2869</v>
      </c>
      <c r="G35" s="75">
        <v>362</v>
      </c>
    </row>
    <row r="36" spans="1:7" x14ac:dyDescent="0.25">
      <c r="A36" s="11" t="s">
        <v>34</v>
      </c>
      <c r="B36" s="69">
        <v>2327</v>
      </c>
      <c r="C36" s="70">
        <v>216</v>
      </c>
      <c r="D36" s="69">
        <v>9579</v>
      </c>
      <c r="E36" s="70">
        <v>439</v>
      </c>
      <c r="F36" s="72">
        <v>1358</v>
      </c>
      <c r="G36" s="75">
        <v>157</v>
      </c>
    </row>
    <row r="37" spans="1:7" x14ac:dyDescent="0.25">
      <c r="A37" s="11" t="s">
        <v>35</v>
      </c>
      <c r="B37" s="69">
        <v>70678</v>
      </c>
      <c r="C37" s="70">
        <v>6223</v>
      </c>
      <c r="D37" s="69">
        <v>48227</v>
      </c>
      <c r="E37" s="70">
        <v>4049</v>
      </c>
      <c r="F37" s="72">
        <v>17998</v>
      </c>
      <c r="G37" s="75">
        <v>2929</v>
      </c>
    </row>
    <row r="38" spans="1:7" x14ac:dyDescent="0.25">
      <c r="A38" s="11" t="s">
        <v>36</v>
      </c>
      <c r="B38" s="69">
        <v>102442</v>
      </c>
      <c r="C38" s="70">
        <v>10977</v>
      </c>
      <c r="D38" s="69">
        <v>171851</v>
      </c>
      <c r="E38" s="70">
        <v>11784</v>
      </c>
      <c r="F38" s="72">
        <v>59772</v>
      </c>
      <c r="G38" s="75">
        <v>8163</v>
      </c>
    </row>
    <row r="39" spans="1:7" x14ac:dyDescent="0.25">
      <c r="A39" s="11" t="s">
        <v>37</v>
      </c>
      <c r="B39" s="69">
        <v>17981</v>
      </c>
      <c r="C39" s="70">
        <v>1679</v>
      </c>
      <c r="D39" s="69">
        <v>28435</v>
      </c>
      <c r="E39" s="70">
        <v>1665</v>
      </c>
      <c r="F39" s="72">
        <v>6622</v>
      </c>
      <c r="G39" s="75">
        <v>930</v>
      </c>
    </row>
    <row r="40" spans="1:7" x14ac:dyDescent="0.25">
      <c r="A40" s="11" t="s">
        <v>38</v>
      </c>
      <c r="B40" s="69">
        <v>22846</v>
      </c>
      <c r="C40" s="70">
        <v>2685</v>
      </c>
      <c r="D40" s="69">
        <v>49631</v>
      </c>
      <c r="E40" s="70">
        <v>3035</v>
      </c>
      <c r="F40" s="72">
        <v>14011</v>
      </c>
      <c r="G40" s="75">
        <v>2096</v>
      </c>
    </row>
    <row r="41" spans="1:7" x14ac:dyDescent="0.25">
      <c r="A41" s="11" t="s">
        <v>39</v>
      </c>
      <c r="B41" s="69">
        <v>99258</v>
      </c>
      <c r="C41" s="70">
        <v>12759</v>
      </c>
      <c r="D41" s="69">
        <v>82997</v>
      </c>
      <c r="E41" s="70">
        <v>6441</v>
      </c>
      <c r="F41" s="72">
        <v>45642</v>
      </c>
      <c r="G41" s="75">
        <v>7590</v>
      </c>
    </row>
    <row r="42" spans="1:7" x14ac:dyDescent="0.25">
      <c r="A42" s="11" t="s">
        <v>40</v>
      </c>
      <c r="B42" s="69">
        <v>77072</v>
      </c>
      <c r="C42" s="70">
        <v>8643</v>
      </c>
      <c r="D42" s="69">
        <v>84400</v>
      </c>
      <c r="E42" s="70">
        <v>6378</v>
      </c>
      <c r="F42" s="72">
        <v>27059</v>
      </c>
      <c r="G42" s="75">
        <v>4600</v>
      </c>
    </row>
    <row r="43" spans="1:7" x14ac:dyDescent="0.25">
      <c r="A43" s="11" t="s">
        <v>41</v>
      </c>
      <c r="B43" s="69">
        <v>16561</v>
      </c>
      <c r="C43" s="70">
        <v>1669</v>
      </c>
      <c r="D43" s="69">
        <v>41626</v>
      </c>
      <c r="E43" s="70">
        <v>2095</v>
      </c>
      <c r="F43" s="72">
        <v>9549</v>
      </c>
      <c r="G43" s="75">
        <v>1203</v>
      </c>
    </row>
    <row r="44" spans="1:7" x14ac:dyDescent="0.25">
      <c r="A44" s="11" t="s">
        <v>42</v>
      </c>
      <c r="B44" s="69">
        <v>4705</v>
      </c>
      <c r="C44" s="70">
        <v>610</v>
      </c>
      <c r="D44" s="69">
        <v>14931</v>
      </c>
      <c r="E44" s="70">
        <v>1288</v>
      </c>
      <c r="F44" s="72">
        <v>3197</v>
      </c>
      <c r="G44" s="75">
        <v>591</v>
      </c>
    </row>
    <row r="45" spans="1:7" x14ac:dyDescent="0.25">
      <c r="A45" s="11" t="s">
        <v>43</v>
      </c>
      <c r="B45" s="69">
        <v>21012</v>
      </c>
      <c r="C45" s="70">
        <v>2152</v>
      </c>
      <c r="D45" s="69">
        <v>35869</v>
      </c>
      <c r="E45" s="70">
        <v>2437</v>
      </c>
      <c r="F45" s="72">
        <v>9135</v>
      </c>
      <c r="G45" s="75">
        <v>1352</v>
      </c>
    </row>
    <row r="46" spans="1:7" x14ac:dyDescent="0.25">
      <c r="A46" s="11" t="s">
        <v>44</v>
      </c>
      <c r="B46" s="69">
        <v>4845</v>
      </c>
      <c r="C46" s="70">
        <v>542</v>
      </c>
      <c r="D46" s="69">
        <v>17505</v>
      </c>
      <c r="E46" s="70">
        <v>1132</v>
      </c>
      <c r="F46" s="72">
        <v>2702</v>
      </c>
      <c r="G46" s="75">
        <v>433</v>
      </c>
    </row>
    <row r="47" spans="1:7" x14ac:dyDescent="0.25">
      <c r="A47" s="11" t="s">
        <v>45</v>
      </c>
      <c r="B47" s="69">
        <v>42391</v>
      </c>
      <c r="C47" s="70">
        <v>6341</v>
      </c>
      <c r="D47" s="69">
        <v>39609</v>
      </c>
      <c r="E47" s="70">
        <v>3776</v>
      </c>
      <c r="F47" s="72">
        <v>22253</v>
      </c>
      <c r="G47" s="75">
        <v>3560</v>
      </c>
    </row>
    <row r="48" spans="1:7" x14ac:dyDescent="0.25">
      <c r="A48" s="11" t="s">
        <v>46</v>
      </c>
      <c r="B48" s="69">
        <v>284495</v>
      </c>
      <c r="C48" s="70">
        <v>21569</v>
      </c>
      <c r="D48" s="69">
        <v>195923</v>
      </c>
      <c r="E48" s="70">
        <v>11613</v>
      </c>
      <c r="F48" s="72">
        <v>100790</v>
      </c>
      <c r="G48" s="75">
        <v>10421</v>
      </c>
    </row>
    <row r="49" spans="1:7" x14ac:dyDescent="0.25">
      <c r="A49" s="11" t="s">
        <v>47</v>
      </c>
      <c r="B49" s="69">
        <v>3423</v>
      </c>
      <c r="C49" s="70">
        <v>353</v>
      </c>
      <c r="D49" s="69">
        <v>6109</v>
      </c>
      <c r="E49" s="70">
        <v>447</v>
      </c>
      <c r="F49" s="72">
        <v>1772</v>
      </c>
      <c r="G49" s="75">
        <v>265</v>
      </c>
    </row>
    <row r="50" spans="1:7" x14ac:dyDescent="0.25">
      <c r="A50" s="11" t="s">
        <v>48</v>
      </c>
      <c r="B50" s="69">
        <v>85747</v>
      </c>
      <c r="C50" s="70">
        <v>10724</v>
      </c>
      <c r="D50" s="69">
        <v>80498</v>
      </c>
      <c r="E50" s="70">
        <v>6440</v>
      </c>
      <c r="F50" s="72">
        <v>42869</v>
      </c>
      <c r="G50" s="75">
        <v>6689</v>
      </c>
    </row>
    <row r="51" spans="1:7" x14ac:dyDescent="0.25">
      <c r="A51" s="11" t="s">
        <v>49</v>
      </c>
      <c r="B51" s="69">
        <v>12168</v>
      </c>
      <c r="C51" s="70">
        <v>3173</v>
      </c>
      <c r="D51" s="69">
        <v>27169</v>
      </c>
      <c r="E51" s="70">
        <v>4774</v>
      </c>
      <c r="F51" s="72">
        <v>5073</v>
      </c>
      <c r="G51" s="75">
        <v>3032</v>
      </c>
    </row>
    <row r="52" spans="1:7" x14ac:dyDescent="0.25">
      <c r="A52" s="11" t="s">
        <v>50</v>
      </c>
      <c r="B52" s="69">
        <v>5667</v>
      </c>
      <c r="C52" s="70">
        <v>361</v>
      </c>
      <c r="D52" s="69">
        <v>20009</v>
      </c>
      <c r="E52" s="70">
        <v>932</v>
      </c>
      <c r="F52" s="72">
        <v>3878</v>
      </c>
      <c r="G52" s="75">
        <v>434</v>
      </c>
    </row>
    <row r="53" spans="1:7" x14ac:dyDescent="0.25">
      <c r="A53" s="11" t="s">
        <v>51</v>
      </c>
      <c r="B53" s="69">
        <v>654272</v>
      </c>
      <c r="C53" s="70">
        <v>126916</v>
      </c>
      <c r="D53" s="69">
        <v>111220</v>
      </c>
      <c r="E53" s="70">
        <v>20056</v>
      </c>
      <c r="F53" s="72">
        <v>147406</v>
      </c>
      <c r="G53" s="75">
        <v>34281</v>
      </c>
    </row>
    <row r="54" spans="1:7" x14ac:dyDescent="0.25">
      <c r="A54" s="11" t="s">
        <v>52</v>
      </c>
      <c r="B54" s="69">
        <v>11846</v>
      </c>
      <c r="C54" s="70">
        <v>1788</v>
      </c>
      <c r="D54" s="69">
        <v>20971</v>
      </c>
      <c r="E54" s="70">
        <v>2155</v>
      </c>
      <c r="F54" s="72">
        <v>9191</v>
      </c>
      <c r="G54" s="75">
        <v>1495</v>
      </c>
    </row>
    <row r="55" spans="1:7" x14ac:dyDescent="0.25">
      <c r="A55" s="11" t="s">
        <v>53</v>
      </c>
      <c r="B55" s="69">
        <v>1600</v>
      </c>
      <c r="C55" s="70">
        <v>136</v>
      </c>
      <c r="D55" s="69">
        <v>7479</v>
      </c>
      <c r="E55" s="70">
        <v>509</v>
      </c>
      <c r="F55" s="72">
        <v>1100</v>
      </c>
      <c r="G55" s="75">
        <v>169</v>
      </c>
    </row>
    <row r="56" spans="1:7" x14ac:dyDescent="0.25">
      <c r="A56" s="11" t="s">
        <v>54</v>
      </c>
      <c r="B56" s="69">
        <v>23405</v>
      </c>
      <c r="C56" s="70">
        <v>1988</v>
      </c>
      <c r="D56" s="69">
        <v>50657</v>
      </c>
      <c r="E56" s="70">
        <v>2516</v>
      </c>
      <c r="F56" s="72">
        <v>12537</v>
      </c>
      <c r="G56" s="75">
        <v>1439</v>
      </c>
    </row>
    <row r="57" spans="1:7" x14ac:dyDescent="0.25">
      <c r="A57" s="11" t="s">
        <v>55</v>
      </c>
      <c r="B57" s="69">
        <v>4388</v>
      </c>
      <c r="C57" s="70">
        <v>507</v>
      </c>
      <c r="D57" s="69">
        <v>15053</v>
      </c>
      <c r="E57" s="70">
        <v>884</v>
      </c>
      <c r="F57" s="72">
        <v>2580</v>
      </c>
      <c r="G57" s="75">
        <v>449</v>
      </c>
    </row>
    <row r="58" spans="1:7" x14ac:dyDescent="0.25">
      <c r="A58" s="11" t="s">
        <v>56</v>
      </c>
      <c r="B58" s="69">
        <v>9706</v>
      </c>
      <c r="C58" s="70">
        <v>786</v>
      </c>
      <c r="D58" s="69">
        <v>31251</v>
      </c>
      <c r="E58" s="70">
        <v>1557</v>
      </c>
      <c r="F58" s="72">
        <v>4635</v>
      </c>
      <c r="G58" s="75">
        <v>574</v>
      </c>
    </row>
    <row r="59" spans="1:7" x14ac:dyDescent="0.25">
      <c r="A59" s="11" t="s">
        <v>57</v>
      </c>
      <c r="B59" s="69">
        <v>997</v>
      </c>
      <c r="C59" s="70">
        <v>73</v>
      </c>
      <c r="D59" s="69">
        <v>2708</v>
      </c>
      <c r="E59" s="70">
        <v>146</v>
      </c>
      <c r="F59" s="72">
        <v>488</v>
      </c>
      <c r="G59" s="75">
        <v>54</v>
      </c>
    </row>
    <row r="60" spans="1:7" x14ac:dyDescent="0.25">
      <c r="A60" s="11" t="s">
        <v>58</v>
      </c>
      <c r="B60" s="69">
        <v>5425</v>
      </c>
      <c r="C60" s="70">
        <v>713</v>
      </c>
      <c r="D60" s="69">
        <v>15997</v>
      </c>
      <c r="E60" s="70">
        <v>1282</v>
      </c>
      <c r="F60" s="72">
        <v>3419</v>
      </c>
      <c r="G60" s="75">
        <v>594</v>
      </c>
    </row>
    <row r="61" spans="1:7" x14ac:dyDescent="0.25">
      <c r="A61" s="11" t="s">
        <v>59</v>
      </c>
      <c r="B61" s="69">
        <v>4564</v>
      </c>
      <c r="C61" s="70">
        <v>370</v>
      </c>
      <c r="D61" s="69">
        <v>17080</v>
      </c>
      <c r="E61" s="70">
        <v>1030</v>
      </c>
      <c r="F61" s="72">
        <v>3328</v>
      </c>
      <c r="G61" s="75">
        <v>451</v>
      </c>
    </row>
    <row r="62" spans="1:7" x14ac:dyDescent="0.25">
      <c r="A62" s="11" t="s">
        <v>60</v>
      </c>
      <c r="B62" s="69">
        <v>6602</v>
      </c>
      <c r="C62" s="70">
        <v>1275</v>
      </c>
      <c r="D62" s="69">
        <v>13185</v>
      </c>
      <c r="E62" s="70">
        <v>1192</v>
      </c>
      <c r="F62" s="72">
        <v>3425</v>
      </c>
      <c r="G62" s="75">
        <v>831</v>
      </c>
    </row>
    <row r="63" spans="1:7" x14ac:dyDescent="0.25">
      <c r="A63" s="11" t="s">
        <v>61</v>
      </c>
      <c r="B63" s="69">
        <v>7375</v>
      </c>
      <c r="C63" s="70">
        <v>657</v>
      </c>
      <c r="D63" s="69">
        <v>18997</v>
      </c>
      <c r="E63" s="70">
        <v>1139</v>
      </c>
      <c r="F63" s="72">
        <v>4167</v>
      </c>
      <c r="G63" s="75">
        <v>517</v>
      </c>
    </row>
    <row r="64" spans="1:7" x14ac:dyDescent="0.25">
      <c r="A64" s="11" t="s">
        <v>62</v>
      </c>
      <c r="B64" s="69">
        <v>5898</v>
      </c>
      <c r="C64" s="70">
        <v>444</v>
      </c>
      <c r="D64" s="69">
        <v>14365</v>
      </c>
      <c r="E64" s="70">
        <v>862</v>
      </c>
      <c r="F64" s="72">
        <v>3485</v>
      </c>
      <c r="G64" s="75">
        <v>366</v>
      </c>
    </row>
    <row r="65" spans="1:7" x14ac:dyDescent="0.25">
      <c r="A65" s="11" t="s">
        <v>63</v>
      </c>
      <c r="B65" s="69">
        <v>48953</v>
      </c>
      <c r="C65" s="70">
        <v>3664</v>
      </c>
      <c r="D65" s="69">
        <v>69153</v>
      </c>
      <c r="E65" s="70">
        <v>3577</v>
      </c>
      <c r="F65" s="72">
        <v>17694</v>
      </c>
      <c r="G65" s="75">
        <v>2093</v>
      </c>
    </row>
    <row r="66" spans="1:7" x14ac:dyDescent="0.25">
      <c r="A66" s="11" t="s">
        <v>64</v>
      </c>
      <c r="B66" s="69">
        <v>7890</v>
      </c>
      <c r="C66" s="70">
        <v>824</v>
      </c>
      <c r="D66" s="69">
        <v>20351</v>
      </c>
      <c r="E66" s="70">
        <v>1389</v>
      </c>
      <c r="F66" s="72">
        <v>5528</v>
      </c>
      <c r="G66" s="75">
        <v>747</v>
      </c>
    </row>
    <row r="67" spans="1:7" x14ac:dyDescent="0.25">
      <c r="A67" s="11" t="s">
        <v>65</v>
      </c>
      <c r="B67" s="69">
        <v>80530</v>
      </c>
      <c r="C67" s="70">
        <v>6208</v>
      </c>
      <c r="D67" s="69">
        <v>123864</v>
      </c>
      <c r="E67" s="70">
        <v>6918</v>
      </c>
      <c r="F67" s="72">
        <v>29698</v>
      </c>
      <c r="G67" s="75">
        <v>3553</v>
      </c>
    </row>
    <row r="68" spans="1:7" x14ac:dyDescent="0.25">
      <c r="A68" s="11" t="s">
        <v>66</v>
      </c>
      <c r="B68" s="69">
        <v>4345</v>
      </c>
      <c r="C68" s="70">
        <v>366</v>
      </c>
      <c r="D68" s="69">
        <v>10671</v>
      </c>
      <c r="E68" s="70">
        <v>632</v>
      </c>
      <c r="F68" s="72">
        <v>2199</v>
      </c>
      <c r="G68" s="75">
        <v>290</v>
      </c>
    </row>
    <row r="69" spans="1:7" x14ac:dyDescent="0.25">
      <c r="A69" s="19" t="s">
        <v>67</v>
      </c>
      <c r="B69" s="68">
        <v>86183</v>
      </c>
      <c r="C69" s="71">
        <v>10611</v>
      </c>
      <c r="D69" s="68">
        <v>156347</v>
      </c>
      <c r="E69" s="71">
        <v>11987</v>
      </c>
      <c r="F69" s="73">
        <v>55165</v>
      </c>
      <c r="G69" s="76">
        <v>8132</v>
      </c>
    </row>
    <row r="70" spans="1:7" x14ac:dyDescent="0.25">
      <c r="A70" s="32" t="s">
        <v>68</v>
      </c>
      <c r="B70" s="14">
        <f>SUM(B3:B69)</f>
        <v>3432144</v>
      </c>
      <c r="C70" s="14">
        <f t="shared" ref="C70:G70" si="0">SUM(C3:C69)</f>
        <v>422877</v>
      </c>
      <c r="D70" s="14">
        <f t="shared" si="0"/>
        <v>3388859</v>
      </c>
      <c r="E70" s="14">
        <f t="shared" si="0"/>
        <v>245423</v>
      </c>
      <c r="F70" s="14">
        <f t="shared" si="0"/>
        <v>1309361</v>
      </c>
      <c r="G70" s="14">
        <f t="shared" si="0"/>
        <v>201774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9000438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2026-09-21T12:40:02Z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