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gov-my.sharepoint.com/personal/nscinta_pa_gov/Documents/Desktop/Weekly  VR Stats/"/>
    </mc:Choice>
  </mc:AlternateContent>
  <xr:revisionPtr revIDLastSave="0" documentId="8_{9B01B4F7-589D-4689-A5F4-C376364FDF60}" xr6:coauthVersionLast="47" xr6:coauthVersionMax="47" xr10:uidLastSave="{00000000-0000-0000-0000-000000000000}"/>
  <bookViews>
    <workbookView xWindow="4815" yWindow="2700" windowWidth="21600" windowHeight="11295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7" l="1"/>
  <c r="C69" i="7"/>
  <c r="D69" i="7"/>
  <c r="E69" i="7"/>
  <c r="F69" i="7"/>
  <c r="G69" i="7"/>
  <c r="H69" i="7"/>
  <c r="B70" i="8"/>
  <c r="C70" i="8"/>
  <c r="D70" i="8"/>
  <c r="E70" i="8"/>
  <c r="F70" i="8"/>
  <c r="G70" i="8"/>
  <c r="C69" i="5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<sst xmlns="http://schemas.openxmlformats.org/spreadsheetml/2006/main" count="1139" uniqueCount="131">
  <si>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</si>
  <si>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</si>
  <si>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</si>
  <si>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</si>
  <si>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</si>
  <si>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</si>
  <si>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</si>
  <si>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</si>
  <si>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</si>
  <si>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</si>
  <si>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</si>
  <si>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</si>
  <si>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</si>
  <si>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</si>
  <si>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</si>
  <si>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</si>
  <si>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</si>
  <si>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</si>
  <si>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</si>
  <si>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</si>
  <si>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</si>
  <si>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</si>
  <si>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</si>
  <si>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</si>
  <si>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</si>
  <si>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</si>
  <si>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</si>
  <si>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</si>
  <si>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</si>
  <si>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</si>
  <si>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</si>
  <si>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</si>
  <si>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</si>
  <si>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</si>
  <si>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</si>
  <si>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</si>
  <si>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</si>
  <si>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</si>
  <si>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</si>
  <si>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</si>
  <si>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</si>
  <si>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</si>
  <si>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</si>
  <si>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</si>
  <si>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</si>
  <si>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</si>
  <si>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</si>
  <si>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</si>
  <si>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</si>
  <si>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</si>
  <si>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</si>
  <si>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</si>
  <si>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</si>
  <si>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</si>
  <si>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</si>
  <si>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</si>
  <si>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</si>
  <si>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</si>
  <si>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</si>
  <si>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</si>
  <si>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</si>
  <si>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</si>
  <si>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</si>
  <si>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</si>
  <si>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</si>
  <si>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</si>
  <si>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</si>
  <si>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</si>
  <si>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</si>
  <si>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</si>
  <si>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</si>
  <si>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</si>
  <si>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</si>
  <si>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</si>
  <si>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</si>
  <si>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</si>
  <si>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</si>
  <si>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</si>
  <si>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</si>
  <si>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</si>
  <si>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</si>
  <si>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</si>
  <si>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</si>
  <si>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</si>
  <si>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</si>
  <si>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</si>
  <si>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</si>
  <si>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</si>
  <si>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</si>
  <si>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</si>
  <si>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</si>
  <si>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</si>
  <si>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</si>
  <si>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</si>
  <si>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</si>
  <si>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</si>
  <si>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</si>
  <si>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</si>
  <si>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</si>
  <si>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</si>
  <si>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</si>
  <si>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</si>
  <si>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</si>
  <si>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</si>
  <si>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</si>
  <si>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</si>
  <si>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</si>
  <si>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</si>
  <si>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</si>
  <si>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</si>
  <si>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</si>
  <si>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</si>
  <si>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</si>
  <si>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</si>
  <si>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</si>
  <si>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</si>
  <si>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</si>
  <si>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</si>
  <si>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</si>
  <si>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</si>
  <si>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</si>
  <si>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</si>
  <si>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</si>
  <si>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</si>
  <si>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</si>
  <si>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</si>
  <si>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</si>
  <si>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</si>
  <si>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</si>
  <si>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09/07/2026</t>
  </si>
  <si>
    <t>Week Of 08-31-2026 to 09-07-2026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</si>
</sst>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/>
  </sheetViews>
  <sheetFormatPr defaultRowHeight="12.75" x14ac:dyDescent="0.2"/>
  <cols>
    <col min="1" max="1" width="22.85546875" customWidth="1"/>
    <col min="2" max="2" width="9.7109375" style="1" customWidth="1"/>
    <col min="3" max="3" width="18.7109375" style="11" customWidth="1"/>
    <col min="4" max="4" width="2.5703125" style="11" customWidth="1"/>
    <col min="5" max="5" width="18.7109375" style="11" customWidth="1"/>
    <col min="6" max="6" width="2" style="11" customWidth="1"/>
    <col min="7" max="7" width="18.7109375" style="11" customWidth="1"/>
    <col min="8" max="8" width="1.5703125" style="11" customWidth="1"/>
    <col min="9" max="9" width="21.5703125" style="10" customWidth="1"/>
    <col min="10" max="10" width="1.7109375" style="11" customWidth="1"/>
    <col min="11" max="11" width="18" style="1" customWidth="1"/>
    <col min="18" max="18" width="7.85546875" bestFit="1" customWidth="1"/>
  </cols>
  <sheetData>
    <row r="1" spans="1:12" s="1" customFormat="1" ht="30" customHeight="1" x14ac:dyDescent="0.2">
      <c r="A1" s="18" t="s">
        <v>129</v>
      </c>
      <c r="C1" s="10"/>
      <c r="D1" s="10"/>
      <c r="E1" s="10"/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5.5" x14ac:dyDescent="0.2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">
      <c r="A3" t="s">
        <v>1</v>
      </c>
      <c r="B3" s="1">
        <v>2290</v>
      </c>
      <c r="C3">
        <v>19179</v>
      </c>
      <c r="D3"/>
      <c r="E3">
        <v>44026</v>
      </c>
      <c r="F3"/>
      <c r="G3">
        <v>10742</v>
      </c>
      <c r="H3"/>
      <c r="I3">
        <v>2764</v>
      </c>
      <c r="K3" s="10">
        <f t="shared" ref="K3:K34" si="0">SUM(C3+E3+G3+I3)</f>
        <v>76711</v>
      </c>
    </row>
    <row r="4" spans="1:12" x14ac:dyDescent="0.2">
      <c r="A4" t="s">
        <v>2</v>
      </c>
      <c r="B4" s="1">
        <v>2291</v>
      </c>
      <c r="C4">
        <v>503594</v>
      </c>
      <c r="D4"/>
      <c r="E4">
        <v>262914</v>
      </c>
      <c r="F4"/>
      <c r="G4">
        <v>114747</v>
      </c>
      <c r="H4"/>
      <c r="I4">
        <v>36648</v>
      </c>
      <c r="K4" s="10">
        <f t="shared" si="0"/>
        <v>917903</v>
      </c>
    </row>
    <row r="5" spans="1:12" x14ac:dyDescent="0.2">
      <c r="A5" t="s">
        <v>3</v>
      </c>
      <c r="B5" s="1">
        <v>2292</v>
      </c>
      <c r="C5">
        <v>10635</v>
      </c>
      <c r="D5"/>
      <c r="E5">
        <v>27646</v>
      </c>
      <c r="F5"/>
      <c r="G5">
        <v>3720</v>
      </c>
      <c r="H5"/>
      <c r="I5">
        <v>1582</v>
      </c>
      <c r="K5" s="10">
        <f t="shared" si="0"/>
        <v>43583</v>
      </c>
    </row>
    <row r="6" spans="1:12" x14ac:dyDescent="0.2">
      <c r="A6" t="s">
        <v>4</v>
      </c>
      <c r="B6" s="1">
        <v>2293</v>
      </c>
      <c r="C6">
        <v>45690</v>
      </c>
      <c r="D6"/>
      <c r="E6">
        <v>51866</v>
      </c>
      <c r="F6"/>
      <c r="G6">
        <v>11830</v>
      </c>
      <c r="H6"/>
      <c r="I6">
        <v>4708</v>
      </c>
      <c r="K6" s="10">
        <f t="shared" si="0"/>
        <v>114094</v>
      </c>
    </row>
    <row r="7" spans="1:12" x14ac:dyDescent="0.2">
      <c r="A7" t="s">
        <v>5</v>
      </c>
      <c r="B7" s="1">
        <v>2294</v>
      </c>
      <c r="C7">
        <v>5263</v>
      </c>
      <c r="D7"/>
      <c r="E7">
        <v>24574</v>
      </c>
      <c r="F7"/>
      <c r="G7">
        <v>2315</v>
      </c>
      <c r="H7"/>
      <c r="I7">
        <v>889</v>
      </c>
      <c r="K7" s="10">
        <f t="shared" si="0"/>
        <v>33041</v>
      </c>
    </row>
    <row r="8" spans="1:12" x14ac:dyDescent="0.2">
      <c r="A8" t="s">
        <v>6</v>
      </c>
      <c r="B8" s="1">
        <v>2295</v>
      </c>
      <c r="C8">
        <v>104330</v>
      </c>
      <c r="D8"/>
      <c r="E8">
        <v>117988</v>
      </c>
      <c r="F8"/>
      <c r="G8">
        <v>41799</v>
      </c>
      <c r="H8"/>
      <c r="I8">
        <v>10358</v>
      </c>
      <c r="K8" s="10">
        <f t="shared" si="0"/>
        <v>274475</v>
      </c>
    </row>
    <row r="9" spans="1:12" x14ac:dyDescent="0.2">
      <c r="A9" t="s">
        <v>7</v>
      </c>
      <c r="B9" s="1">
        <v>2296</v>
      </c>
      <c r="C9">
        <v>19802</v>
      </c>
      <c r="D9"/>
      <c r="E9">
        <v>50570</v>
      </c>
      <c r="F9"/>
      <c r="G9">
        <v>8484</v>
      </c>
      <c r="H9"/>
      <c r="I9">
        <v>2698</v>
      </c>
      <c r="K9" s="10">
        <f t="shared" si="0"/>
        <v>81554</v>
      </c>
    </row>
    <row r="10" spans="1:12" x14ac:dyDescent="0.2">
      <c r="A10" t="s">
        <v>8</v>
      </c>
      <c r="B10" s="1">
        <v>2297</v>
      </c>
      <c r="C10">
        <v>7811</v>
      </c>
      <c r="D10"/>
      <c r="E10">
        <v>25640</v>
      </c>
      <c r="F10"/>
      <c r="G10">
        <v>3913</v>
      </c>
      <c r="H10"/>
      <c r="I10">
        <v>1533</v>
      </c>
      <c r="K10" s="10">
        <f t="shared" si="0"/>
        <v>38897</v>
      </c>
    </row>
    <row r="11" spans="1:12" x14ac:dyDescent="0.2">
      <c r="A11" t="s">
        <v>9</v>
      </c>
      <c r="B11" s="1">
        <v>2298</v>
      </c>
      <c r="C11">
        <v>194032</v>
      </c>
      <c r="D11"/>
      <c r="E11">
        <v>201674</v>
      </c>
      <c r="F11"/>
      <c r="G11">
        <v>70770</v>
      </c>
      <c r="H11"/>
      <c r="I11">
        <v>18251</v>
      </c>
      <c r="K11" s="10">
        <f t="shared" si="0"/>
        <v>484727</v>
      </c>
    </row>
    <row r="12" spans="1:12" x14ac:dyDescent="0.2">
      <c r="A12" t="s">
        <v>10</v>
      </c>
      <c r="B12" s="1">
        <v>2299</v>
      </c>
      <c r="C12">
        <v>39272</v>
      </c>
      <c r="D12"/>
      <c r="E12">
        <v>82991</v>
      </c>
      <c r="F12"/>
      <c r="G12">
        <v>16442</v>
      </c>
      <c r="H12"/>
      <c r="I12">
        <v>5143</v>
      </c>
      <c r="K12" s="10">
        <f t="shared" si="0"/>
        <v>143848</v>
      </c>
    </row>
    <row r="13" spans="1:12" x14ac:dyDescent="0.2">
      <c r="A13" t="s">
        <v>11</v>
      </c>
      <c r="B13" s="1">
        <v>2300</v>
      </c>
      <c r="C13">
        <v>29349</v>
      </c>
      <c r="D13"/>
      <c r="E13">
        <v>46468</v>
      </c>
      <c r="F13"/>
      <c r="G13">
        <v>7904</v>
      </c>
      <c r="H13"/>
      <c r="I13">
        <v>2130</v>
      </c>
      <c r="K13" s="10">
        <f t="shared" si="0"/>
        <v>85851</v>
      </c>
    </row>
    <row r="14" spans="1:12" x14ac:dyDescent="0.2">
      <c r="A14" t="s">
        <v>12</v>
      </c>
      <c r="B14" s="1">
        <v>2301</v>
      </c>
      <c r="C14">
        <v>661</v>
      </c>
      <c r="D14"/>
      <c r="E14">
        <v>1841</v>
      </c>
      <c r="F14"/>
      <c r="G14">
        <v>254</v>
      </c>
      <c r="H14"/>
      <c r="I14">
        <v>124</v>
      </c>
      <c r="K14" s="10">
        <f t="shared" si="0"/>
        <v>2880</v>
      </c>
    </row>
    <row r="15" spans="1:12" x14ac:dyDescent="0.2">
      <c r="A15" t="s">
        <v>13</v>
      </c>
      <c r="B15" s="1">
        <v>2302</v>
      </c>
      <c r="C15">
        <v>14066</v>
      </c>
      <c r="D15"/>
      <c r="E15">
        <v>23931</v>
      </c>
      <c r="F15"/>
      <c r="G15">
        <v>5881</v>
      </c>
      <c r="H15"/>
      <c r="I15">
        <v>1889</v>
      </c>
      <c r="K15" s="10">
        <f t="shared" si="0"/>
        <v>45767</v>
      </c>
    </row>
    <row r="16" spans="1:12" x14ac:dyDescent="0.2">
      <c r="A16" t="s">
        <v>14</v>
      </c>
      <c r="B16" s="1">
        <v>2303</v>
      </c>
      <c r="C16">
        <v>41423</v>
      </c>
      <c r="D16"/>
      <c r="E16">
        <v>41761</v>
      </c>
      <c r="F16"/>
      <c r="G16">
        <v>16166</v>
      </c>
      <c r="H16"/>
      <c r="I16">
        <v>2688</v>
      </c>
      <c r="K16" s="10">
        <f t="shared" si="0"/>
        <v>102038</v>
      </c>
    </row>
    <row r="17" spans="1:11" x14ac:dyDescent="0.2">
      <c r="A17" t="s">
        <v>15</v>
      </c>
      <c r="B17" s="1">
        <v>2304</v>
      </c>
      <c r="C17">
        <v>161000</v>
      </c>
      <c r="D17"/>
      <c r="E17">
        <v>151685</v>
      </c>
      <c r="F17"/>
      <c r="G17">
        <v>58917</v>
      </c>
      <c r="H17"/>
      <c r="I17">
        <v>17841</v>
      </c>
      <c r="K17" s="10">
        <f t="shared" si="0"/>
        <v>389443</v>
      </c>
    </row>
    <row r="18" spans="1:11" x14ac:dyDescent="0.2">
      <c r="A18" t="s">
        <v>16</v>
      </c>
      <c r="B18" s="1">
        <v>2305</v>
      </c>
      <c r="C18">
        <v>5034</v>
      </c>
      <c r="D18"/>
      <c r="E18">
        <v>15524</v>
      </c>
      <c r="F18"/>
      <c r="G18">
        <v>2079</v>
      </c>
      <c r="H18"/>
      <c r="I18">
        <v>644</v>
      </c>
      <c r="K18" s="10">
        <f t="shared" si="0"/>
        <v>23281</v>
      </c>
    </row>
    <row r="19" spans="1:11" x14ac:dyDescent="0.2">
      <c r="A19" t="s">
        <v>17</v>
      </c>
      <c r="B19" s="1">
        <v>2306</v>
      </c>
      <c r="C19">
        <v>12017</v>
      </c>
      <c r="D19"/>
      <c r="E19">
        <v>31410</v>
      </c>
      <c r="F19"/>
      <c r="G19">
        <v>4332</v>
      </c>
      <c r="H19"/>
      <c r="I19">
        <v>1786</v>
      </c>
      <c r="K19" s="10">
        <f t="shared" si="0"/>
        <v>49545</v>
      </c>
    </row>
    <row r="20" spans="1:11" x14ac:dyDescent="0.2">
      <c r="A20" t="s">
        <v>18</v>
      </c>
      <c r="B20" s="1">
        <v>2307</v>
      </c>
      <c r="C20">
        <v>6062</v>
      </c>
      <c r="D20"/>
      <c r="E20">
        <v>13259</v>
      </c>
      <c r="F20"/>
      <c r="G20">
        <v>2438</v>
      </c>
      <c r="H20"/>
      <c r="I20">
        <v>740</v>
      </c>
      <c r="K20" s="10">
        <f t="shared" si="0"/>
        <v>22499</v>
      </c>
    </row>
    <row r="21" spans="1:11" x14ac:dyDescent="0.2">
      <c r="A21" t="s">
        <v>19</v>
      </c>
      <c r="B21" s="1">
        <v>2308</v>
      </c>
      <c r="C21">
        <v>11779</v>
      </c>
      <c r="D21"/>
      <c r="E21">
        <v>22439</v>
      </c>
      <c r="F21"/>
      <c r="G21">
        <v>4879</v>
      </c>
      <c r="H21"/>
      <c r="I21">
        <v>1489</v>
      </c>
      <c r="K21" s="10">
        <f t="shared" si="0"/>
        <v>40586</v>
      </c>
    </row>
    <row r="22" spans="1:11" x14ac:dyDescent="0.2">
      <c r="A22" t="s">
        <v>20</v>
      </c>
      <c r="B22" s="1">
        <v>2309</v>
      </c>
      <c r="C22">
        <v>14389</v>
      </c>
      <c r="D22"/>
      <c r="E22">
        <v>31735</v>
      </c>
      <c r="F22"/>
      <c r="G22">
        <v>4957</v>
      </c>
      <c r="H22"/>
      <c r="I22">
        <v>1833</v>
      </c>
      <c r="K22" s="10">
        <f t="shared" si="0"/>
        <v>52914</v>
      </c>
    </row>
    <row r="23" spans="1:11" x14ac:dyDescent="0.2">
      <c r="A23" t="s">
        <v>21</v>
      </c>
      <c r="B23" s="1">
        <v>2310</v>
      </c>
      <c r="C23">
        <v>61742</v>
      </c>
      <c r="D23"/>
      <c r="E23">
        <v>88163</v>
      </c>
      <c r="F23"/>
      <c r="G23">
        <v>27361</v>
      </c>
      <c r="H23"/>
      <c r="I23">
        <v>6488</v>
      </c>
      <c r="K23" s="10">
        <f t="shared" si="0"/>
        <v>183754</v>
      </c>
    </row>
    <row r="24" spans="1:11" x14ac:dyDescent="0.2">
      <c r="A24" t="s">
        <v>22</v>
      </c>
      <c r="B24" s="1">
        <v>2311</v>
      </c>
      <c r="C24">
        <v>86676</v>
      </c>
      <c r="D24"/>
      <c r="E24">
        <v>75911</v>
      </c>
      <c r="F24"/>
      <c r="G24">
        <v>31483</v>
      </c>
      <c r="H24"/>
      <c r="I24">
        <v>7237</v>
      </c>
      <c r="K24" s="10">
        <f t="shared" si="0"/>
        <v>201307</v>
      </c>
    </row>
    <row r="25" spans="1:11" x14ac:dyDescent="0.2">
      <c r="A25" t="s">
        <v>23</v>
      </c>
      <c r="B25" s="1">
        <v>2312</v>
      </c>
      <c r="C25">
        <v>203020</v>
      </c>
      <c r="D25"/>
      <c r="E25">
        <v>142653</v>
      </c>
      <c r="F25"/>
      <c r="G25">
        <v>49596</v>
      </c>
      <c r="H25"/>
      <c r="I25">
        <v>15671</v>
      </c>
      <c r="K25" s="10">
        <f t="shared" si="0"/>
        <v>410940</v>
      </c>
    </row>
    <row r="26" spans="1:11" x14ac:dyDescent="0.2">
      <c r="A26" t="s">
        <v>24</v>
      </c>
      <c r="B26" s="1">
        <v>2313</v>
      </c>
      <c r="C26">
        <v>5763</v>
      </c>
      <c r="D26"/>
      <c r="E26">
        <v>12114</v>
      </c>
      <c r="F26"/>
      <c r="G26">
        <v>1785</v>
      </c>
      <c r="H26"/>
      <c r="I26">
        <v>777</v>
      </c>
      <c r="K26" s="10">
        <f t="shared" si="0"/>
        <v>20439</v>
      </c>
    </row>
    <row r="27" spans="1:11" x14ac:dyDescent="0.2">
      <c r="A27" t="s">
        <v>25</v>
      </c>
      <c r="B27" s="1">
        <v>2314</v>
      </c>
      <c r="C27">
        <v>76414</v>
      </c>
      <c r="D27"/>
      <c r="E27">
        <v>70795</v>
      </c>
      <c r="F27"/>
      <c r="G27">
        <v>20876</v>
      </c>
      <c r="H27"/>
      <c r="I27">
        <v>6651</v>
      </c>
      <c r="K27" s="10">
        <f t="shared" si="0"/>
        <v>174736</v>
      </c>
    </row>
    <row r="28" spans="1:11" x14ac:dyDescent="0.2">
      <c r="A28" t="s">
        <v>26</v>
      </c>
      <c r="B28" s="1">
        <v>2315</v>
      </c>
      <c r="C28">
        <v>29414</v>
      </c>
      <c r="D28"/>
      <c r="E28">
        <v>41306</v>
      </c>
      <c r="F28"/>
      <c r="G28">
        <v>6729</v>
      </c>
      <c r="H28"/>
      <c r="I28">
        <v>2068</v>
      </c>
      <c r="K28" s="10">
        <f t="shared" si="0"/>
        <v>79517</v>
      </c>
    </row>
    <row r="29" spans="1:11" x14ac:dyDescent="0.2">
      <c r="A29" t="s">
        <v>27</v>
      </c>
      <c r="B29" s="1">
        <v>2316</v>
      </c>
      <c r="C29">
        <v>787</v>
      </c>
      <c r="D29"/>
      <c r="E29">
        <v>2059</v>
      </c>
      <c r="F29"/>
      <c r="G29">
        <v>281</v>
      </c>
      <c r="H29"/>
      <c r="I29">
        <v>125</v>
      </c>
      <c r="K29" s="10">
        <f t="shared" si="0"/>
        <v>3252</v>
      </c>
    </row>
    <row r="30" spans="1:11" x14ac:dyDescent="0.2">
      <c r="A30" t="s">
        <v>28</v>
      </c>
      <c r="B30" s="1">
        <v>2317</v>
      </c>
      <c r="C30">
        <v>23512</v>
      </c>
      <c r="D30"/>
      <c r="E30">
        <v>64294</v>
      </c>
      <c r="F30"/>
      <c r="G30">
        <v>14170</v>
      </c>
      <c r="H30"/>
      <c r="I30">
        <v>3422</v>
      </c>
      <c r="K30" s="10">
        <f t="shared" si="0"/>
        <v>105398</v>
      </c>
    </row>
    <row r="31" spans="1:11" x14ac:dyDescent="0.2">
      <c r="A31" t="s">
        <v>29</v>
      </c>
      <c r="B31" s="1">
        <v>2318</v>
      </c>
      <c r="C31">
        <v>1473</v>
      </c>
      <c r="D31"/>
      <c r="E31">
        <v>7454</v>
      </c>
      <c r="F31"/>
      <c r="G31">
        <v>909</v>
      </c>
      <c r="H31"/>
      <c r="I31">
        <v>264</v>
      </c>
      <c r="K31" s="10">
        <f t="shared" si="0"/>
        <v>10100</v>
      </c>
    </row>
    <row r="32" spans="1:11" x14ac:dyDescent="0.2">
      <c r="A32" t="s">
        <v>30</v>
      </c>
      <c r="B32" s="1">
        <v>2319</v>
      </c>
      <c r="C32">
        <v>7340</v>
      </c>
      <c r="D32"/>
      <c r="E32">
        <v>12177</v>
      </c>
      <c r="F32"/>
      <c r="G32">
        <v>1662</v>
      </c>
      <c r="H32"/>
      <c r="I32">
        <v>602</v>
      </c>
      <c r="K32" s="10">
        <f t="shared" si="0"/>
        <v>21781</v>
      </c>
    </row>
    <row r="33" spans="1:11" x14ac:dyDescent="0.2">
      <c r="A33" t="s">
        <v>31</v>
      </c>
      <c r="B33" s="1">
        <v>2320</v>
      </c>
      <c r="C33">
        <v>6005</v>
      </c>
      <c r="D33"/>
      <c r="E33">
        <v>18874</v>
      </c>
      <c r="F33"/>
      <c r="G33">
        <v>2380</v>
      </c>
      <c r="H33"/>
      <c r="I33">
        <v>598</v>
      </c>
      <c r="K33" s="10">
        <f t="shared" si="0"/>
        <v>27857</v>
      </c>
    </row>
    <row r="34" spans="1:11" x14ac:dyDescent="0.2">
      <c r="A34" t="s">
        <v>32</v>
      </c>
      <c r="B34" s="1">
        <v>2321</v>
      </c>
      <c r="C34">
        <v>13865</v>
      </c>
      <c r="D34"/>
      <c r="E34">
        <v>28853</v>
      </c>
      <c r="F34"/>
      <c r="G34">
        <v>4689</v>
      </c>
      <c r="H34"/>
      <c r="I34">
        <v>1684</v>
      </c>
      <c r="K34" s="10">
        <f t="shared" si="0"/>
        <v>49091</v>
      </c>
    </row>
    <row r="35" spans="1:11" x14ac:dyDescent="0.2">
      <c r="A35" t="s">
        <v>33</v>
      </c>
      <c r="B35" s="1">
        <v>2322</v>
      </c>
      <c r="C35">
        <v>5426</v>
      </c>
      <c r="D35"/>
      <c r="E35">
        <v>19415</v>
      </c>
      <c r="F35"/>
      <c r="G35">
        <v>2290</v>
      </c>
      <c r="H35"/>
      <c r="I35">
        <v>933</v>
      </c>
      <c r="K35" s="10">
        <f t="shared" ref="K35:K69" si="1">SUM(C35+E35+G35+I35)</f>
        <v>28064</v>
      </c>
    </row>
    <row r="36" spans="1:11" x14ac:dyDescent="0.2">
      <c r="A36" t="s">
        <v>34</v>
      </c>
      <c r="B36" s="1">
        <v>2323</v>
      </c>
      <c r="C36">
        <v>2537</v>
      </c>
      <c r="D36"/>
      <c r="E36">
        <v>10017</v>
      </c>
      <c r="F36"/>
      <c r="G36">
        <v>1179</v>
      </c>
      <c r="H36"/>
      <c r="I36">
        <v>335</v>
      </c>
      <c r="K36" s="10">
        <f t="shared" si="1"/>
        <v>14068</v>
      </c>
    </row>
    <row r="37" spans="1:11" x14ac:dyDescent="0.2">
      <c r="A37" t="s">
        <v>35</v>
      </c>
      <c r="B37" s="1">
        <v>2324</v>
      </c>
      <c r="C37">
        <v>76791</v>
      </c>
      <c r="D37"/>
      <c r="E37">
        <v>52261</v>
      </c>
      <c r="F37"/>
      <c r="G37">
        <v>17371</v>
      </c>
      <c r="H37"/>
      <c r="I37">
        <v>3506</v>
      </c>
      <c r="K37" s="10">
        <f t="shared" si="1"/>
        <v>149929</v>
      </c>
    </row>
    <row r="38" spans="1:11" x14ac:dyDescent="0.2">
      <c r="A38" t="s">
        <v>36</v>
      </c>
      <c r="B38" s="1">
        <v>2325</v>
      </c>
      <c r="C38">
        <v>113056</v>
      </c>
      <c r="D38"/>
      <c r="E38">
        <v>183587</v>
      </c>
      <c r="F38"/>
      <c r="G38">
        <v>51762</v>
      </c>
      <c r="H38"/>
      <c r="I38">
        <v>16046</v>
      </c>
      <c r="K38" s="10">
        <f t="shared" si="1"/>
        <v>364451</v>
      </c>
    </row>
    <row r="39" spans="1:11" x14ac:dyDescent="0.2">
      <c r="A39" t="s">
        <v>37</v>
      </c>
      <c r="B39" s="1">
        <v>2326</v>
      </c>
      <c r="C39">
        <v>19655</v>
      </c>
      <c r="D39"/>
      <c r="E39">
        <v>30083</v>
      </c>
      <c r="F39"/>
      <c r="G39">
        <v>5656</v>
      </c>
      <c r="H39"/>
      <c r="I39">
        <v>1893</v>
      </c>
      <c r="K39" s="10">
        <f t="shared" si="1"/>
        <v>57287</v>
      </c>
    </row>
    <row r="40" spans="1:11" x14ac:dyDescent="0.2">
      <c r="A40" t="s">
        <v>38</v>
      </c>
      <c r="B40" s="1">
        <v>2327</v>
      </c>
      <c r="C40">
        <v>25461</v>
      </c>
      <c r="D40"/>
      <c r="E40">
        <v>52632</v>
      </c>
      <c r="F40"/>
      <c r="G40">
        <v>12380</v>
      </c>
      <c r="H40"/>
      <c r="I40">
        <v>3675</v>
      </c>
      <c r="K40" s="10">
        <f t="shared" si="1"/>
        <v>94148</v>
      </c>
    </row>
    <row r="41" spans="1:11" x14ac:dyDescent="0.2">
      <c r="A41" t="s">
        <v>39</v>
      </c>
      <c r="B41" s="1">
        <v>2328</v>
      </c>
      <c r="C41">
        <v>111805</v>
      </c>
      <c r="D41"/>
      <c r="E41">
        <v>89447</v>
      </c>
      <c r="F41"/>
      <c r="G41">
        <v>45815</v>
      </c>
      <c r="H41"/>
      <c r="I41">
        <v>7345</v>
      </c>
      <c r="K41" s="10">
        <f t="shared" si="1"/>
        <v>254412</v>
      </c>
    </row>
    <row r="42" spans="1:11" x14ac:dyDescent="0.2">
      <c r="A42" t="s">
        <v>40</v>
      </c>
      <c r="B42" s="1">
        <v>2329</v>
      </c>
      <c r="C42">
        <v>85433</v>
      </c>
      <c r="D42"/>
      <c r="E42">
        <v>90786</v>
      </c>
      <c r="F42"/>
      <c r="G42">
        <v>25889</v>
      </c>
      <c r="H42"/>
      <c r="I42">
        <v>5707</v>
      </c>
      <c r="K42" s="10">
        <f t="shared" si="1"/>
        <v>207815</v>
      </c>
    </row>
    <row r="43" spans="1:11" x14ac:dyDescent="0.2">
      <c r="A43" t="s">
        <v>41</v>
      </c>
      <c r="B43" s="1">
        <v>2330</v>
      </c>
      <c r="C43">
        <v>18204</v>
      </c>
      <c r="D43"/>
      <c r="E43">
        <v>43706</v>
      </c>
      <c r="F43"/>
      <c r="G43">
        <v>8017</v>
      </c>
      <c r="H43"/>
      <c r="I43">
        <v>2712</v>
      </c>
      <c r="K43" s="10">
        <f t="shared" si="1"/>
        <v>72639</v>
      </c>
    </row>
    <row r="44" spans="1:11" x14ac:dyDescent="0.2">
      <c r="A44" t="s">
        <v>91</v>
      </c>
      <c r="B44" s="1">
        <v>2331</v>
      </c>
      <c r="C44">
        <v>5313</v>
      </c>
      <c r="D44"/>
      <c r="E44">
        <v>16209</v>
      </c>
      <c r="F44"/>
      <c r="G44">
        <v>2758</v>
      </c>
      <c r="H44"/>
      <c r="I44">
        <v>1027</v>
      </c>
      <c r="K44" s="10">
        <f t="shared" si="1"/>
        <v>25307</v>
      </c>
    </row>
    <row r="45" spans="1:11" x14ac:dyDescent="0.2">
      <c r="A45" t="s">
        <v>43</v>
      </c>
      <c r="B45" s="1">
        <v>2332</v>
      </c>
      <c r="C45">
        <v>23119</v>
      </c>
      <c r="D45"/>
      <c r="E45">
        <v>38284</v>
      </c>
      <c r="F45"/>
      <c r="G45">
        <v>8437</v>
      </c>
      <c r="H45"/>
      <c r="I45">
        <v>2029</v>
      </c>
      <c r="K45" s="10">
        <f t="shared" si="1"/>
        <v>71869</v>
      </c>
    </row>
    <row r="46" spans="1:11" x14ac:dyDescent="0.2">
      <c r="A46" t="s">
        <v>44</v>
      </c>
      <c r="B46" s="1">
        <v>2333</v>
      </c>
      <c r="C46">
        <v>5376</v>
      </c>
      <c r="D46"/>
      <c r="E46">
        <v>18636</v>
      </c>
      <c r="F46"/>
      <c r="G46">
        <v>2511</v>
      </c>
      <c r="H46"/>
      <c r="I46">
        <v>621</v>
      </c>
      <c r="K46" s="10">
        <f t="shared" si="1"/>
        <v>27144</v>
      </c>
    </row>
    <row r="47" spans="1:11" x14ac:dyDescent="0.2">
      <c r="A47" t="s">
        <v>45</v>
      </c>
      <c r="B47" s="1">
        <v>2334</v>
      </c>
      <c r="C47">
        <v>48614</v>
      </c>
      <c r="D47"/>
      <c r="E47">
        <v>43331</v>
      </c>
      <c r="F47"/>
      <c r="G47">
        <v>20759</v>
      </c>
      <c r="H47"/>
      <c r="I47">
        <v>4986</v>
      </c>
      <c r="K47" s="10">
        <f t="shared" si="1"/>
        <v>117690</v>
      </c>
    </row>
    <row r="48" spans="1:11" x14ac:dyDescent="0.2">
      <c r="A48" t="s">
        <v>46</v>
      </c>
      <c r="B48" s="1">
        <v>2335</v>
      </c>
      <c r="C48">
        <v>305669</v>
      </c>
      <c r="D48"/>
      <c r="E48">
        <v>207597</v>
      </c>
      <c r="F48"/>
      <c r="G48">
        <v>85059</v>
      </c>
      <c r="H48"/>
      <c r="I48">
        <v>25908</v>
      </c>
      <c r="K48" s="10">
        <f t="shared" si="1"/>
        <v>624233</v>
      </c>
    </row>
    <row r="49" spans="1:11" x14ac:dyDescent="0.2">
      <c r="A49" t="s">
        <v>47</v>
      </c>
      <c r="B49" s="1">
        <v>2336</v>
      </c>
      <c r="C49">
        <v>3771</v>
      </c>
      <c r="D49"/>
      <c r="E49">
        <v>6554</v>
      </c>
      <c r="F49"/>
      <c r="G49">
        <v>1624</v>
      </c>
      <c r="H49"/>
      <c r="I49">
        <v>413</v>
      </c>
      <c r="K49" s="10">
        <f t="shared" si="1"/>
        <v>12362</v>
      </c>
    </row>
    <row r="50" spans="1:11" x14ac:dyDescent="0.2">
      <c r="A50" t="s">
        <v>48</v>
      </c>
      <c r="B50" s="1">
        <v>2337</v>
      </c>
      <c r="C50">
        <v>96196</v>
      </c>
      <c r="D50"/>
      <c r="E50">
        <v>86863</v>
      </c>
      <c r="F50"/>
      <c r="G50">
        <v>39939</v>
      </c>
      <c r="H50"/>
      <c r="I50">
        <v>9553</v>
      </c>
      <c r="K50" s="10">
        <f t="shared" si="1"/>
        <v>232551</v>
      </c>
    </row>
    <row r="51" spans="1:11" x14ac:dyDescent="0.2">
      <c r="A51" t="s">
        <v>49</v>
      </c>
      <c r="B51" s="1">
        <v>2338</v>
      </c>
      <c r="C51">
        <v>15320</v>
      </c>
      <c r="D51"/>
      <c r="E51">
        <v>31912</v>
      </c>
      <c r="F51"/>
      <c r="G51">
        <v>5846</v>
      </c>
      <c r="H51"/>
      <c r="I51">
        <v>2239</v>
      </c>
      <c r="K51" s="10">
        <f t="shared" si="1"/>
        <v>55317</v>
      </c>
    </row>
    <row r="52" spans="1:11" x14ac:dyDescent="0.2">
      <c r="A52" t="s">
        <v>50</v>
      </c>
      <c r="B52" s="1">
        <v>2339</v>
      </c>
      <c r="C52">
        <v>6018</v>
      </c>
      <c r="D52"/>
      <c r="E52">
        <v>20934</v>
      </c>
      <c r="F52"/>
      <c r="G52">
        <v>3442</v>
      </c>
      <c r="H52"/>
      <c r="I52">
        <v>851</v>
      </c>
      <c r="K52" s="10">
        <f t="shared" si="1"/>
        <v>31245</v>
      </c>
    </row>
    <row r="53" spans="1:11" x14ac:dyDescent="0.2">
      <c r="A53" t="s">
        <v>51</v>
      </c>
      <c r="B53" s="1">
        <v>2340</v>
      </c>
      <c r="C53">
        <v>779147</v>
      </c>
      <c r="D53"/>
      <c r="E53">
        <v>131180</v>
      </c>
      <c r="F53"/>
      <c r="G53">
        <v>153968</v>
      </c>
      <c r="H53"/>
      <c r="I53">
        <v>26360</v>
      </c>
      <c r="K53" s="10">
        <f t="shared" si="1"/>
        <v>1090655</v>
      </c>
    </row>
    <row r="54" spans="1:11" x14ac:dyDescent="0.2">
      <c r="A54" t="s">
        <v>52</v>
      </c>
      <c r="B54" s="1">
        <v>2341</v>
      </c>
      <c r="C54">
        <v>13617</v>
      </c>
      <c r="D54"/>
      <c r="E54">
        <v>23125</v>
      </c>
      <c r="F54"/>
      <c r="G54">
        <v>8533</v>
      </c>
      <c r="H54"/>
      <c r="I54">
        <v>2140</v>
      </c>
      <c r="K54" s="10">
        <f t="shared" si="1"/>
        <v>47415</v>
      </c>
    </row>
    <row r="55" spans="1:11" x14ac:dyDescent="0.2">
      <c r="A55" t="s">
        <v>53</v>
      </c>
      <c r="B55" s="1">
        <v>2342</v>
      </c>
      <c r="C55">
        <v>1732</v>
      </c>
      <c r="D55"/>
      <c r="E55">
        <v>7989</v>
      </c>
      <c r="F55"/>
      <c r="G55">
        <v>996</v>
      </c>
      <c r="H55"/>
      <c r="I55">
        <v>270</v>
      </c>
      <c r="K55" s="10">
        <f t="shared" si="1"/>
        <v>10987</v>
      </c>
    </row>
    <row r="56" spans="1:11" x14ac:dyDescent="0.2">
      <c r="A56" t="s">
        <v>54</v>
      </c>
      <c r="B56" s="1">
        <v>2343</v>
      </c>
      <c r="C56">
        <v>25374</v>
      </c>
      <c r="D56"/>
      <c r="E56">
        <v>53158</v>
      </c>
      <c r="F56"/>
      <c r="G56">
        <v>10183</v>
      </c>
      <c r="H56"/>
      <c r="I56">
        <v>3764</v>
      </c>
      <c r="K56" s="10">
        <f t="shared" si="1"/>
        <v>92479</v>
      </c>
    </row>
    <row r="57" spans="1:11" x14ac:dyDescent="0.2">
      <c r="A57" t="s">
        <v>55</v>
      </c>
      <c r="B57" s="1">
        <v>2344</v>
      </c>
      <c r="C57">
        <v>4884</v>
      </c>
      <c r="D57"/>
      <c r="E57">
        <v>15940</v>
      </c>
      <c r="F57"/>
      <c r="G57">
        <v>2349</v>
      </c>
      <c r="H57"/>
      <c r="I57">
        <v>673</v>
      </c>
      <c r="K57" s="10">
        <f t="shared" si="1"/>
        <v>23846</v>
      </c>
    </row>
    <row r="58" spans="1:11" x14ac:dyDescent="0.2">
      <c r="A58" t="s">
        <v>56</v>
      </c>
      <c r="B58" s="1">
        <v>2345</v>
      </c>
      <c r="C58">
        <v>10483</v>
      </c>
      <c r="D58"/>
      <c r="E58">
        <v>32803</v>
      </c>
      <c r="F58"/>
      <c r="G58">
        <v>4420</v>
      </c>
      <c r="H58"/>
      <c r="I58">
        <v>773</v>
      </c>
      <c r="K58" s="10">
        <f t="shared" si="1"/>
        <v>48479</v>
      </c>
    </row>
    <row r="59" spans="1:11" x14ac:dyDescent="0.2">
      <c r="A59" t="s">
        <v>57</v>
      </c>
      <c r="B59" s="1">
        <v>2346</v>
      </c>
      <c r="C59">
        <v>1067</v>
      </c>
      <c r="D59"/>
      <c r="E59">
        <v>2847</v>
      </c>
      <c r="F59"/>
      <c r="G59">
        <v>383</v>
      </c>
      <c r="H59"/>
      <c r="I59">
        <v>162</v>
      </c>
      <c r="K59" s="10">
        <f t="shared" si="1"/>
        <v>4459</v>
      </c>
    </row>
    <row r="60" spans="1:11" x14ac:dyDescent="0.2">
      <c r="A60" t="s">
        <v>58</v>
      </c>
      <c r="B60" s="1">
        <v>2347</v>
      </c>
      <c r="C60">
        <v>6157</v>
      </c>
      <c r="D60"/>
      <c r="E60">
        <v>17310</v>
      </c>
      <c r="F60"/>
      <c r="G60">
        <v>2899</v>
      </c>
      <c r="H60"/>
      <c r="I60">
        <v>1129</v>
      </c>
      <c r="K60" s="10">
        <f t="shared" si="1"/>
        <v>27495</v>
      </c>
    </row>
    <row r="61" spans="1:11" x14ac:dyDescent="0.2">
      <c r="A61" t="s">
        <v>59</v>
      </c>
      <c r="B61" s="1">
        <v>2348</v>
      </c>
      <c r="C61">
        <v>4928</v>
      </c>
      <c r="D61"/>
      <c r="E61">
        <v>18102</v>
      </c>
      <c r="F61"/>
      <c r="G61">
        <v>2975</v>
      </c>
      <c r="H61"/>
      <c r="I61">
        <v>795</v>
      </c>
      <c r="K61" s="10">
        <f t="shared" si="1"/>
        <v>26800</v>
      </c>
    </row>
    <row r="62" spans="1:11" x14ac:dyDescent="0.2">
      <c r="A62" t="s">
        <v>60</v>
      </c>
      <c r="B62" s="1">
        <v>2349</v>
      </c>
      <c r="C62">
        <v>7857</v>
      </c>
      <c r="D62"/>
      <c r="E62">
        <v>14381</v>
      </c>
      <c r="F62"/>
      <c r="G62">
        <v>3266</v>
      </c>
      <c r="H62"/>
      <c r="I62">
        <v>978</v>
      </c>
      <c r="K62" s="10">
        <f t="shared" si="1"/>
        <v>26482</v>
      </c>
    </row>
    <row r="63" spans="1:11" x14ac:dyDescent="0.2">
      <c r="A63" t="s">
        <v>61</v>
      </c>
      <c r="B63" s="1">
        <v>2350</v>
      </c>
      <c r="C63">
        <v>8022</v>
      </c>
      <c r="D63"/>
      <c r="E63">
        <v>20119</v>
      </c>
      <c r="F63"/>
      <c r="G63">
        <v>3449</v>
      </c>
      <c r="H63"/>
      <c r="I63">
        <v>1223</v>
      </c>
      <c r="K63" s="10">
        <f t="shared" si="1"/>
        <v>32813</v>
      </c>
    </row>
    <row r="64" spans="1:11" x14ac:dyDescent="0.2">
      <c r="A64" t="s">
        <v>62</v>
      </c>
      <c r="B64" s="1">
        <v>2351</v>
      </c>
      <c r="C64">
        <v>6337</v>
      </c>
      <c r="D64"/>
      <c r="E64">
        <v>15230</v>
      </c>
      <c r="F64"/>
      <c r="G64">
        <v>2600</v>
      </c>
      <c r="H64"/>
      <c r="I64">
        <v>1247</v>
      </c>
      <c r="K64" s="10">
        <f t="shared" si="1"/>
        <v>25414</v>
      </c>
    </row>
    <row r="65" spans="1:11" x14ac:dyDescent="0.2">
      <c r="A65" t="s">
        <v>63</v>
      </c>
      <c r="B65" s="1">
        <v>2352</v>
      </c>
      <c r="C65">
        <v>52549</v>
      </c>
      <c r="D65"/>
      <c r="E65">
        <v>72691</v>
      </c>
      <c r="F65"/>
      <c r="G65">
        <v>15975</v>
      </c>
      <c r="H65"/>
      <c r="I65">
        <v>3764</v>
      </c>
      <c r="K65" s="10">
        <f t="shared" si="1"/>
        <v>144979</v>
      </c>
    </row>
    <row r="66" spans="1:11" x14ac:dyDescent="0.2">
      <c r="A66" t="s">
        <v>64</v>
      </c>
      <c r="B66" s="1">
        <v>2353</v>
      </c>
      <c r="C66">
        <v>8706</v>
      </c>
      <c r="D66"/>
      <c r="E66">
        <v>21744</v>
      </c>
      <c r="F66"/>
      <c r="G66">
        <v>5198</v>
      </c>
      <c r="H66"/>
      <c r="I66">
        <v>1049</v>
      </c>
      <c r="K66" s="10">
        <f t="shared" si="1"/>
        <v>36697</v>
      </c>
    </row>
    <row r="67" spans="1:11" x14ac:dyDescent="0.2">
      <c r="A67" t="s">
        <v>65</v>
      </c>
      <c r="B67" s="1">
        <v>2354</v>
      </c>
      <c r="C67">
        <v>86652</v>
      </c>
      <c r="D67"/>
      <c r="E67">
        <v>130741</v>
      </c>
      <c r="F67"/>
      <c r="G67">
        <v>24012</v>
      </c>
      <c r="H67"/>
      <c r="I67">
        <v>9180</v>
      </c>
      <c r="K67" s="10">
        <f t="shared" si="1"/>
        <v>250585</v>
      </c>
    </row>
    <row r="68" spans="1:11" x14ac:dyDescent="0.2">
      <c r="A68" t="s">
        <v>66</v>
      </c>
      <c r="B68" s="1">
        <v>2355</v>
      </c>
      <c r="C68">
        <v>4686</v>
      </c>
      <c r="D68"/>
      <c r="E68">
        <v>11312</v>
      </c>
      <c r="F68"/>
      <c r="G68">
        <v>1826</v>
      </c>
      <c r="H68"/>
      <c r="I68">
        <v>661</v>
      </c>
      <c r="K68" s="10">
        <f t="shared" si="1"/>
        <v>18485</v>
      </c>
    </row>
    <row r="69" spans="1:11" ht="13.5" thickBot="1" x14ac:dyDescent="0.25">
      <c r="A69" s="2" t="s">
        <v>67</v>
      </c>
      <c r="B69" s="5">
        <v>2356</v>
      </c>
      <c r="C69">
        <v>96643</v>
      </c>
      <c r="D69"/>
      <c r="E69">
        <v>168263</v>
      </c>
      <c r="F69"/>
      <c r="G69">
        <v>54224</v>
      </c>
      <c r="H69"/>
      <c r="I69">
        <v>8878</v>
      </c>
      <c r="J69" s="13"/>
      <c r="K69" s="10">
        <f t="shared" si="1"/>
        <v>328008</v>
      </c>
    </row>
    <row r="70" spans="1:11" ht="21.75" customHeight="1" x14ac:dyDescent="0.2">
      <c r="A70" s="6" t="s">
        <v>68</v>
      </c>
      <c r="C70" s="14">
        <f>SUM(C3:C69)</f>
        <v>3848004</v>
      </c>
      <c r="D70" s="14"/>
      <c r="E70" s="14">
        <f>SUM(E3:E69)</f>
        <v>3633784</v>
      </c>
      <c r="F70" s="14"/>
      <c r="G70" s="14">
        <f>SUM(G3:G69)</f>
        <v>1192480</v>
      </c>
      <c r="H70" s="14"/>
      <c r="I70" s="14">
        <f>SUM(I3:I69)</f>
        <v>314150</v>
      </c>
      <c r="J70" s="14"/>
      <c r="K70" s="44">
        <f>SUM(K3:K69)</f>
        <v>8988418</v>
      </c>
    </row>
    <row r="71" spans="1:11" x14ac:dyDescent="0.2">
      <c r="I71" s="31"/>
    </row>
    <row r="73" spans="1:11" x14ac:dyDescent="0.2">
      <c r="I73" s="11"/>
      <c r="K73" s="11"/>
    </row>
    <row r="75" spans="1:11" x14ac:dyDescent="0.2">
      <c r="E75" s="40"/>
      <c r="K75" s="10"/>
    </row>
    <row r="76" spans="1:11" x14ac:dyDescent="0.2">
      <c r="E76" s="40"/>
    </row>
    <row r="77" spans="1:11" x14ac:dyDescent="0.2">
      <c r="E77" s="40"/>
    </row>
    <row r="78" spans="1:11" x14ac:dyDescent="0.2">
      <c r="E78" s="40"/>
    </row>
    <row r="79" spans="1:11" x14ac:dyDescent="0.2">
      <c r="E79" s="40"/>
    </row>
    <row r="80" spans="1:11" x14ac:dyDescent="0.2">
      <c r="C80" s="40"/>
      <c r="E80" s="40"/>
    </row>
    <row r="81" spans="3:11" x14ac:dyDescent="0.2">
      <c r="E81" s="41"/>
    </row>
    <row r="82" spans="3:11" x14ac:dyDescent="0.2">
      <c r="E82" s="41"/>
      <c r="K82"/>
    </row>
    <row r="83" spans="3:11" x14ac:dyDescent="0.2">
      <c r="E83" s="41"/>
      <c r="K83"/>
    </row>
    <row r="84" spans="3:11" x14ac:dyDescent="0.2">
      <c r="C84" s="10"/>
      <c r="K84"/>
    </row>
    <row r="85" spans="3:11" x14ac:dyDescent="0.2">
      <c r="K85"/>
    </row>
    <row r="86" spans="3:11" x14ac:dyDescent="0.2">
      <c r="C86" s="1"/>
      <c r="K86"/>
    </row>
    <row r="87" spans="3:11" x14ac:dyDescent="0.2">
      <c r="K87"/>
    </row>
    <row r="88" spans="3:11" x14ac:dyDescent="0.2">
      <c r="K88"/>
    </row>
    <row r="89" spans="3:11" x14ac:dyDescent="0.2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41" activePane="bottomLeft" state="frozen"/>
      <selection pane="bottomLeft" activeCell="M14" sqref="M14"/>
    </sheetView>
  </sheetViews>
  <sheetFormatPr defaultColWidth="9.140625" defaultRowHeight="12.75" x14ac:dyDescent="0.2"/>
  <cols>
    <col min="1" max="1" width="19.140625" style="11" bestFit="1" customWidth="1"/>
    <col min="2" max="2" width="10.42578125" customWidth="1"/>
    <col min="3" max="3" width="12.5703125" customWidth="1"/>
    <col min="4" max="4" width="11" customWidth="1"/>
    <col min="5" max="5" width="12.42578125" customWidth="1"/>
    <col min="6" max="6" width="11.85546875" customWidth="1"/>
    <col min="7" max="7" width="11.140625" customWidth="1"/>
    <col min="8" max="8" width="15.140625" customWidth="1"/>
    <col min="9" max="9" width="13.5703125" customWidth="1"/>
    <col min="10" max="10" width="8" style="1" customWidth="1"/>
    <col min="12" max="12" width="11.28515625" bestFit="1" customWidth="1"/>
    <col min="13" max="13" width="10.5703125" bestFit="1" customWidth="1"/>
    <col min="14" max="14" width="11.28515625" bestFit="1" customWidth="1"/>
    <col min="15" max="15" width="10" bestFit="1" customWidth="1"/>
  </cols>
  <sheetData>
    <row r="1" spans="1:15" x14ac:dyDescent="0.2">
      <c r="A1" s="42"/>
      <c r="B1" s="79" t="s">
        <v>130</v>
      </c>
      <c r="C1" s="79"/>
      <c r="D1" s="79"/>
      <c r="E1" s="79"/>
      <c r="F1" s="78" t="s">
        <v>126</v>
      </c>
      <c r="G1" s="78"/>
      <c r="H1" s="78"/>
      <c r="I1" s="78"/>
      <c r="J1"/>
    </row>
    <row r="2" spans="1:15" x14ac:dyDescent="0.2">
      <c r="A2" s="42"/>
      <c r="B2" s="49" t="s">
        <v>86</v>
      </c>
      <c r="C2" s="50"/>
      <c r="D2" s="50" t="s">
        <v>87</v>
      </c>
      <c r="E2" s="50"/>
      <c r="F2" s="77" t="s">
        <v>86</v>
      </c>
      <c r="G2" s="77"/>
      <c r="H2" s="77" t="s">
        <v>87</v>
      </c>
      <c r="I2" s="77"/>
      <c r="J2"/>
    </row>
    <row r="3" spans="1:15" x14ac:dyDescent="0.2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">
      <c r="A4" s="64" t="s">
        <v>1</v>
      </c>
      <c r="B4" s="42">
        <v>2</v>
      </c>
      <c r="C4" s="42">
        <v>4</v>
      </c>
      <c r="D4" s="42">
        <v>2</v>
      </c>
      <c r="E4" s="42">
        <v>4</v>
      </c>
      <c r="F4" s="42">
        <v>127</v>
      </c>
      <c r="G4" s="42">
        <v>159</v>
      </c>
      <c r="H4" s="42">
        <v>128</v>
      </c>
      <c r="I4" s="42">
        <v>170</v>
      </c>
      <c r="J4"/>
      <c r="K4" s="11"/>
      <c r="L4" s="11"/>
      <c r="M4" s="11"/>
      <c r="N4" s="11"/>
      <c r="O4" s="11"/>
    </row>
    <row r="5" spans="1:15" x14ac:dyDescent="0.2">
      <c r="A5" s="64" t="s">
        <v>2</v>
      </c>
      <c r="B5" s="42">
        <v>34</v>
      </c>
      <c r="C5" s="42">
        <v>94</v>
      </c>
      <c r="D5" s="42">
        <v>48</v>
      </c>
      <c r="E5" s="42">
        <v>29</v>
      </c>
      <c r="F5" s="42">
        <v>1438</v>
      </c>
      <c r="G5" s="42">
        <v>2630</v>
      </c>
      <c r="H5" s="42">
        <v>1466</v>
      </c>
      <c r="I5" s="42">
        <v>715</v>
      </c>
      <c r="J5"/>
      <c r="K5" s="11"/>
      <c r="L5" s="11"/>
      <c r="M5" s="11"/>
      <c r="N5" s="11"/>
      <c r="O5" s="11"/>
    </row>
    <row r="6" spans="1:15" x14ac:dyDescent="0.2">
      <c r="A6" s="64" t="s">
        <v>3</v>
      </c>
      <c r="B6" s="42">
        <v>0</v>
      </c>
      <c r="C6" s="42">
        <v>0</v>
      </c>
      <c r="D6" s="42">
        <v>6</v>
      </c>
      <c r="E6" s="42">
        <v>0</v>
      </c>
      <c r="F6" s="42">
        <v>40</v>
      </c>
      <c r="G6" s="42">
        <v>36</v>
      </c>
      <c r="H6" s="42">
        <v>115</v>
      </c>
      <c r="I6" s="42">
        <v>44</v>
      </c>
      <c r="J6"/>
      <c r="K6" s="11"/>
      <c r="L6" s="11"/>
      <c r="M6" s="11"/>
      <c r="N6" s="11"/>
      <c r="O6" s="11"/>
    </row>
    <row r="7" spans="1:15" x14ac:dyDescent="0.2">
      <c r="A7" s="64" t="s">
        <v>4</v>
      </c>
      <c r="B7" s="42">
        <v>2</v>
      </c>
      <c r="C7" s="42">
        <v>0</v>
      </c>
      <c r="D7" s="42">
        <v>2</v>
      </c>
      <c r="E7" s="42">
        <v>4</v>
      </c>
      <c r="F7" s="42">
        <v>138</v>
      </c>
      <c r="G7" s="42">
        <v>183</v>
      </c>
      <c r="H7" s="42">
        <v>271</v>
      </c>
      <c r="I7" s="42">
        <v>112</v>
      </c>
      <c r="J7"/>
      <c r="K7" s="11"/>
      <c r="L7" s="11"/>
      <c r="M7" s="11"/>
      <c r="N7" s="11"/>
      <c r="O7" s="11"/>
    </row>
    <row r="8" spans="1:15" x14ac:dyDescent="0.2">
      <c r="A8" s="64" t="s">
        <v>5</v>
      </c>
      <c r="B8" s="42">
        <v>1</v>
      </c>
      <c r="C8" s="42">
        <v>0</v>
      </c>
      <c r="D8" s="42">
        <v>0</v>
      </c>
      <c r="E8" s="42">
        <v>3</v>
      </c>
      <c r="F8" s="42">
        <v>21</v>
      </c>
      <c r="G8" s="42">
        <v>18</v>
      </c>
      <c r="H8" s="42">
        <v>33</v>
      </c>
      <c r="I8" s="42">
        <v>27</v>
      </c>
      <c r="J8"/>
      <c r="K8" s="11"/>
      <c r="L8" s="11"/>
      <c r="M8" s="11"/>
      <c r="N8" s="11"/>
      <c r="O8" s="11"/>
    </row>
    <row r="9" spans="1:15" x14ac:dyDescent="0.2">
      <c r="A9" s="64" t="s">
        <v>6</v>
      </c>
      <c r="B9" s="42">
        <v>13</v>
      </c>
      <c r="C9" s="42">
        <v>24</v>
      </c>
      <c r="D9" s="42">
        <v>17</v>
      </c>
      <c r="E9" s="42">
        <v>15</v>
      </c>
      <c r="F9" s="42">
        <v>571</v>
      </c>
      <c r="G9" s="42">
        <v>861</v>
      </c>
      <c r="H9" s="42">
        <v>706</v>
      </c>
      <c r="I9" s="42">
        <v>556</v>
      </c>
      <c r="J9"/>
      <c r="K9" s="11"/>
      <c r="L9" s="11"/>
      <c r="M9" s="11"/>
      <c r="N9" s="11"/>
      <c r="O9" s="11"/>
    </row>
    <row r="10" spans="1:15" x14ac:dyDescent="0.2">
      <c r="A10" s="64" t="s">
        <v>7</v>
      </c>
      <c r="B10" s="42">
        <v>5</v>
      </c>
      <c r="C10" s="42">
        <v>4</v>
      </c>
      <c r="D10" s="42">
        <v>4</v>
      </c>
      <c r="E10" s="42">
        <v>1</v>
      </c>
      <c r="F10" s="42">
        <v>117</v>
      </c>
      <c r="G10" s="42">
        <v>132</v>
      </c>
      <c r="H10" s="42">
        <v>116</v>
      </c>
      <c r="I10" s="42">
        <v>104</v>
      </c>
      <c r="J10"/>
      <c r="K10" s="11"/>
      <c r="L10" s="11"/>
      <c r="M10" s="11"/>
      <c r="N10" s="11"/>
      <c r="O10" s="11"/>
    </row>
    <row r="11" spans="1:15" x14ac:dyDescent="0.2">
      <c r="A11" s="64" t="s">
        <v>8</v>
      </c>
      <c r="B11" s="42">
        <v>3</v>
      </c>
      <c r="C11" s="42">
        <v>0</v>
      </c>
      <c r="D11" s="42">
        <v>2</v>
      </c>
      <c r="E11" s="42">
        <v>0</v>
      </c>
      <c r="F11" s="42">
        <v>54</v>
      </c>
      <c r="G11" s="42">
        <v>50</v>
      </c>
      <c r="H11" s="42">
        <v>66</v>
      </c>
      <c r="I11" s="42">
        <v>73</v>
      </c>
      <c r="J11"/>
      <c r="K11" s="11"/>
      <c r="L11" s="11"/>
      <c r="M11" s="11"/>
      <c r="N11" s="11"/>
      <c r="O11" s="11"/>
    </row>
    <row r="12" spans="1:15" s="21" customFormat="1" x14ac:dyDescent="0.2">
      <c r="A12" s="65" t="s">
        <v>9</v>
      </c>
      <c r="B12" s="42">
        <v>32</v>
      </c>
      <c r="C12" s="42">
        <v>50</v>
      </c>
      <c r="D12" s="42">
        <v>27</v>
      </c>
      <c r="E12" s="42">
        <v>25</v>
      </c>
      <c r="F12" s="42">
        <v>1073</v>
      </c>
      <c r="G12" s="42">
        <v>1694</v>
      </c>
      <c r="H12" s="42">
        <v>933</v>
      </c>
      <c r="I12" s="42">
        <v>941</v>
      </c>
      <c r="J12"/>
      <c r="K12" s="11"/>
      <c r="L12" s="11"/>
      <c r="M12" s="11"/>
      <c r="N12" s="11"/>
      <c r="O12" s="11"/>
    </row>
    <row r="13" spans="1:15" x14ac:dyDescent="0.2">
      <c r="A13" s="64" t="s">
        <v>10</v>
      </c>
      <c r="B13" s="42">
        <v>14</v>
      </c>
      <c r="C13" s="42">
        <v>9</v>
      </c>
      <c r="D13" s="42">
        <v>15</v>
      </c>
      <c r="E13" s="42">
        <v>12</v>
      </c>
      <c r="F13" s="42">
        <v>219</v>
      </c>
      <c r="G13" s="42">
        <v>259</v>
      </c>
      <c r="H13" s="42">
        <v>186</v>
      </c>
      <c r="I13" s="42">
        <v>191</v>
      </c>
      <c r="J13"/>
      <c r="K13" s="11"/>
      <c r="L13" s="11"/>
      <c r="M13" s="11"/>
      <c r="N13" s="11"/>
      <c r="O13" s="11"/>
    </row>
    <row r="14" spans="1:15" x14ac:dyDescent="0.2">
      <c r="A14" s="64" t="s">
        <v>11</v>
      </c>
      <c r="B14" s="42">
        <v>1</v>
      </c>
      <c r="C14" s="42">
        <v>2</v>
      </c>
      <c r="D14" s="42">
        <v>3</v>
      </c>
      <c r="E14" s="42">
        <v>3</v>
      </c>
      <c r="F14" s="42">
        <v>115</v>
      </c>
      <c r="G14" s="42">
        <v>96</v>
      </c>
      <c r="H14" s="42">
        <v>256</v>
      </c>
      <c r="I14" s="42">
        <v>96</v>
      </c>
      <c r="J14"/>
      <c r="K14" s="11"/>
      <c r="L14" s="11"/>
      <c r="M14" s="11"/>
      <c r="N14" s="11"/>
      <c r="O14" s="11"/>
    </row>
    <row r="15" spans="1:15" s="21" customFormat="1" x14ac:dyDescent="0.2">
      <c r="A15" s="65" t="s">
        <v>12</v>
      </c>
      <c r="B15" s="42">
        <v>0</v>
      </c>
      <c r="C15" s="42">
        <v>0</v>
      </c>
      <c r="D15" s="42">
        <v>1</v>
      </c>
      <c r="E15" s="42">
        <v>0</v>
      </c>
      <c r="F15" s="42">
        <v>3</v>
      </c>
      <c r="G15" s="42">
        <v>2</v>
      </c>
      <c r="H15" s="42">
        <v>11</v>
      </c>
      <c r="I15" s="42">
        <v>0</v>
      </c>
      <c r="J15"/>
      <c r="K15" s="11"/>
      <c r="L15" s="11"/>
      <c r="M15" s="11"/>
      <c r="N15" s="11"/>
      <c r="O15" s="11"/>
    </row>
    <row r="16" spans="1:15" ht="11.25" customHeight="1" x14ac:dyDescent="0.2">
      <c r="A16" s="64" t="s">
        <v>13</v>
      </c>
      <c r="B16" s="42">
        <v>1</v>
      </c>
      <c r="C16" s="42">
        <v>3</v>
      </c>
      <c r="D16" s="42">
        <v>5</v>
      </c>
      <c r="E16" s="42">
        <v>2</v>
      </c>
      <c r="F16" s="42">
        <v>71</v>
      </c>
      <c r="G16" s="42">
        <v>106</v>
      </c>
      <c r="H16" s="42">
        <v>116</v>
      </c>
      <c r="I16" s="42">
        <v>85</v>
      </c>
      <c r="J16"/>
      <c r="K16" s="11"/>
      <c r="L16" s="11"/>
      <c r="M16" s="11"/>
      <c r="N16" s="11"/>
      <c r="O16" s="11"/>
    </row>
    <row r="17" spans="1:15" x14ac:dyDescent="0.2">
      <c r="A17" s="64" t="s">
        <v>14</v>
      </c>
      <c r="B17" s="42">
        <v>4</v>
      </c>
      <c r="C17" s="42">
        <v>12</v>
      </c>
      <c r="D17" s="42">
        <v>2</v>
      </c>
      <c r="E17" s="42">
        <v>2</v>
      </c>
      <c r="F17" s="42">
        <v>149</v>
      </c>
      <c r="G17" s="42">
        <v>203</v>
      </c>
      <c r="H17" s="42">
        <v>79</v>
      </c>
      <c r="I17" s="42">
        <v>105</v>
      </c>
      <c r="J17"/>
      <c r="K17" s="11"/>
      <c r="L17" s="11"/>
      <c r="M17" s="11"/>
      <c r="N17" s="11"/>
      <c r="O17" s="11"/>
    </row>
    <row r="18" spans="1:15" s="21" customFormat="1" x14ac:dyDescent="0.2">
      <c r="A18" s="65" t="s">
        <v>15</v>
      </c>
      <c r="B18" s="42">
        <v>27</v>
      </c>
      <c r="C18" s="42">
        <v>17</v>
      </c>
      <c r="D18" s="42">
        <v>7</v>
      </c>
      <c r="E18" s="42">
        <v>11</v>
      </c>
      <c r="F18" s="42">
        <v>841</v>
      </c>
      <c r="G18" s="42">
        <v>1385</v>
      </c>
      <c r="H18" s="42">
        <v>459</v>
      </c>
      <c r="I18" s="42">
        <v>648</v>
      </c>
      <c r="J18"/>
      <c r="K18" s="11"/>
      <c r="L18" s="11"/>
      <c r="M18" s="11"/>
      <c r="N18" s="11"/>
      <c r="O18" s="11"/>
    </row>
    <row r="19" spans="1:15" x14ac:dyDescent="0.2">
      <c r="A19" s="64" t="s">
        <v>16</v>
      </c>
      <c r="B19" s="42">
        <v>1</v>
      </c>
      <c r="C19" s="42">
        <v>2</v>
      </c>
      <c r="D19" s="42">
        <v>2</v>
      </c>
      <c r="E19" s="42">
        <v>2</v>
      </c>
      <c r="F19" s="42">
        <v>22</v>
      </c>
      <c r="G19" s="42">
        <v>20</v>
      </c>
      <c r="H19" s="42">
        <v>41</v>
      </c>
      <c r="I19" s="42">
        <v>17</v>
      </c>
      <c r="J19"/>
      <c r="K19" s="11"/>
      <c r="L19" s="11"/>
      <c r="M19" s="11"/>
      <c r="N19" s="11"/>
      <c r="O19" s="11"/>
    </row>
    <row r="20" spans="1:15" x14ac:dyDescent="0.2">
      <c r="A20" s="64" t="s">
        <v>17</v>
      </c>
      <c r="B20" s="42">
        <v>3</v>
      </c>
      <c r="C20" s="42">
        <v>1</v>
      </c>
      <c r="D20" s="42">
        <v>0</v>
      </c>
      <c r="E20" s="42">
        <v>3</v>
      </c>
      <c r="F20" s="42">
        <v>41</v>
      </c>
      <c r="G20" s="42">
        <v>52</v>
      </c>
      <c r="H20" s="42">
        <v>113</v>
      </c>
      <c r="I20" s="42">
        <v>74</v>
      </c>
      <c r="J20"/>
      <c r="K20" s="11"/>
      <c r="L20" s="11"/>
      <c r="M20" s="11"/>
      <c r="N20" s="11"/>
      <c r="O20" s="11"/>
    </row>
    <row r="21" spans="1:15" x14ac:dyDescent="0.2">
      <c r="A21" s="64" t="s">
        <v>18</v>
      </c>
      <c r="B21" s="42">
        <v>0</v>
      </c>
      <c r="C21" s="42">
        <v>0</v>
      </c>
      <c r="D21" s="42">
        <v>0</v>
      </c>
      <c r="E21" s="42">
        <v>0</v>
      </c>
      <c r="F21" s="42">
        <v>32</v>
      </c>
      <c r="G21" s="42">
        <v>40</v>
      </c>
      <c r="H21" s="42">
        <v>40</v>
      </c>
      <c r="I21" s="42">
        <v>37</v>
      </c>
      <c r="J21"/>
      <c r="K21" s="11"/>
      <c r="L21" s="11"/>
      <c r="M21" s="11"/>
      <c r="N21" s="11"/>
      <c r="O21" s="11"/>
    </row>
    <row r="22" spans="1:15" x14ac:dyDescent="0.2">
      <c r="A22" s="64" t="s">
        <v>19</v>
      </c>
      <c r="B22" s="42">
        <v>0</v>
      </c>
      <c r="C22" s="42">
        <v>1</v>
      </c>
      <c r="D22" s="42">
        <v>1</v>
      </c>
      <c r="E22" s="42">
        <v>0</v>
      </c>
      <c r="F22" s="42">
        <v>49</v>
      </c>
      <c r="G22" s="42">
        <v>61</v>
      </c>
      <c r="H22" s="42">
        <v>68</v>
      </c>
      <c r="I22" s="42">
        <v>45</v>
      </c>
      <c r="J22"/>
      <c r="K22" s="11"/>
      <c r="L22" s="11"/>
      <c r="M22" s="11"/>
      <c r="N22" s="11"/>
      <c r="O22" s="11"/>
    </row>
    <row r="23" spans="1:15" x14ac:dyDescent="0.2">
      <c r="A23" s="64" t="s">
        <v>20</v>
      </c>
      <c r="B23" s="42">
        <v>6</v>
      </c>
      <c r="C23" s="42">
        <v>2</v>
      </c>
      <c r="D23" s="42">
        <v>0</v>
      </c>
      <c r="E23" s="42">
        <v>3</v>
      </c>
      <c r="F23" s="42">
        <v>69</v>
      </c>
      <c r="G23" s="42">
        <v>55</v>
      </c>
      <c r="H23" s="42">
        <v>68</v>
      </c>
      <c r="I23" s="42">
        <v>50</v>
      </c>
      <c r="J23"/>
      <c r="K23" s="11"/>
      <c r="L23" s="11"/>
      <c r="M23" s="11"/>
      <c r="N23" s="11"/>
      <c r="O23" s="11"/>
    </row>
    <row r="24" spans="1:15" x14ac:dyDescent="0.2">
      <c r="A24" s="64" t="s">
        <v>21</v>
      </c>
      <c r="B24" s="42">
        <v>11</v>
      </c>
      <c r="C24" s="42">
        <v>14</v>
      </c>
      <c r="D24" s="42">
        <v>10</v>
      </c>
      <c r="E24" s="42">
        <v>9</v>
      </c>
      <c r="F24" s="42">
        <v>471</v>
      </c>
      <c r="G24" s="42">
        <v>674</v>
      </c>
      <c r="H24" s="42">
        <v>307</v>
      </c>
      <c r="I24" s="42">
        <v>417</v>
      </c>
      <c r="J24"/>
      <c r="K24" s="11"/>
      <c r="L24" s="11"/>
      <c r="M24" s="11"/>
      <c r="N24" s="11"/>
      <c r="O24" s="11"/>
    </row>
    <row r="25" spans="1:15" x14ac:dyDescent="0.2">
      <c r="A25" s="64" t="s">
        <v>22</v>
      </c>
      <c r="B25" s="42">
        <v>16</v>
      </c>
      <c r="C25" s="42">
        <v>32</v>
      </c>
      <c r="D25" s="42">
        <v>9</v>
      </c>
      <c r="E25" s="42">
        <v>12</v>
      </c>
      <c r="F25" s="42">
        <v>731</v>
      </c>
      <c r="G25" s="42">
        <v>1403</v>
      </c>
      <c r="H25" s="42">
        <v>425</v>
      </c>
      <c r="I25" s="42">
        <v>372</v>
      </c>
      <c r="J25"/>
      <c r="K25" s="11"/>
      <c r="L25" s="11"/>
      <c r="M25" s="11"/>
      <c r="N25" s="11"/>
      <c r="O25" s="11"/>
    </row>
    <row r="26" spans="1:15" x14ac:dyDescent="0.2">
      <c r="A26" s="64" t="s">
        <v>23</v>
      </c>
      <c r="B26" s="42">
        <v>28</v>
      </c>
      <c r="C26" s="42">
        <v>46</v>
      </c>
      <c r="D26" s="42">
        <v>15</v>
      </c>
      <c r="E26" s="42">
        <v>13</v>
      </c>
      <c r="F26" s="42">
        <v>842</v>
      </c>
      <c r="G26" s="42">
        <v>1051</v>
      </c>
      <c r="H26" s="42">
        <v>524</v>
      </c>
      <c r="I26" s="42">
        <v>293</v>
      </c>
      <c r="J26"/>
      <c r="K26" s="11"/>
      <c r="L26" s="11"/>
      <c r="M26" s="11"/>
      <c r="N26" s="11"/>
      <c r="O26" s="11"/>
    </row>
    <row r="27" spans="1:15" x14ac:dyDescent="0.2">
      <c r="A27" s="64" t="s">
        <v>24</v>
      </c>
      <c r="B27" s="42">
        <v>0</v>
      </c>
      <c r="C27" s="42">
        <v>0</v>
      </c>
      <c r="D27" s="42">
        <v>1</v>
      </c>
      <c r="E27" s="42">
        <v>0</v>
      </c>
      <c r="F27" s="42">
        <v>20</v>
      </c>
      <c r="G27" s="42">
        <v>17</v>
      </c>
      <c r="H27" s="42">
        <v>51</v>
      </c>
      <c r="I27" s="42">
        <v>17</v>
      </c>
      <c r="J27"/>
      <c r="K27" s="11"/>
      <c r="L27" s="11"/>
      <c r="M27" s="11"/>
      <c r="N27" s="11"/>
      <c r="O27" s="11"/>
    </row>
    <row r="28" spans="1:15" x14ac:dyDescent="0.2">
      <c r="A28" s="64" t="s">
        <v>25</v>
      </c>
      <c r="B28" s="42">
        <v>7</v>
      </c>
      <c r="C28" s="42">
        <v>3</v>
      </c>
      <c r="D28" s="42">
        <v>9</v>
      </c>
      <c r="E28" s="42">
        <v>4</v>
      </c>
      <c r="F28" s="42">
        <v>321</v>
      </c>
      <c r="G28" s="42">
        <v>332</v>
      </c>
      <c r="H28" s="42">
        <v>333</v>
      </c>
      <c r="I28" s="42">
        <v>164</v>
      </c>
      <c r="J28"/>
      <c r="K28" s="11"/>
      <c r="L28" s="11"/>
      <c r="M28" s="11"/>
      <c r="N28" s="11"/>
      <c r="O28" s="11"/>
    </row>
    <row r="29" spans="1:15" x14ac:dyDescent="0.2">
      <c r="A29" s="64" t="s">
        <v>26</v>
      </c>
      <c r="B29" s="42">
        <v>2</v>
      </c>
      <c r="C29" s="42">
        <v>1</v>
      </c>
      <c r="D29" s="42">
        <v>7</v>
      </c>
      <c r="E29" s="42">
        <v>2</v>
      </c>
      <c r="F29" s="42">
        <v>114</v>
      </c>
      <c r="G29" s="42">
        <v>90</v>
      </c>
      <c r="H29" s="42">
        <v>286</v>
      </c>
      <c r="I29" s="42">
        <v>93</v>
      </c>
      <c r="J29"/>
      <c r="K29" s="11"/>
      <c r="L29" s="11"/>
      <c r="M29" s="11"/>
      <c r="N29" s="11"/>
      <c r="O29" s="11"/>
    </row>
    <row r="30" spans="1:15" x14ac:dyDescent="0.2">
      <c r="A30" s="64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4</v>
      </c>
      <c r="G30" s="42">
        <v>0</v>
      </c>
      <c r="H30" s="42">
        <v>4</v>
      </c>
      <c r="I30" s="42">
        <v>3</v>
      </c>
      <c r="J30"/>
      <c r="K30" s="11"/>
      <c r="L30" s="11"/>
      <c r="M30" s="11"/>
      <c r="N30" s="11"/>
      <c r="O30" s="11"/>
    </row>
    <row r="31" spans="1:15" x14ac:dyDescent="0.2">
      <c r="A31" s="64" t="s">
        <v>28</v>
      </c>
      <c r="B31" s="42">
        <v>7</v>
      </c>
      <c r="C31" s="42">
        <v>3</v>
      </c>
      <c r="D31" s="42">
        <v>4</v>
      </c>
      <c r="E31" s="42">
        <v>3</v>
      </c>
      <c r="F31" s="42">
        <v>198</v>
      </c>
      <c r="G31" s="42">
        <v>224</v>
      </c>
      <c r="H31" s="42">
        <v>158</v>
      </c>
      <c r="I31" s="42">
        <v>222</v>
      </c>
      <c r="J31"/>
      <c r="K31" s="11"/>
      <c r="L31" s="11"/>
      <c r="M31" s="11"/>
      <c r="N31" s="11"/>
      <c r="O31" s="11"/>
    </row>
    <row r="32" spans="1:15" x14ac:dyDescent="0.2">
      <c r="A32" s="64" t="s">
        <v>29</v>
      </c>
      <c r="B32" s="42">
        <v>0</v>
      </c>
      <c r="C32" s="42">
        <v>0</v>
      </c>
      <c r="D32" s="42">
        <v>0</v>
      </c>
      <c r="E32" s="42">
        <v>0</v>
      </c>
      <c r="F32" s="42">
        <v>7</v>
      </c>
      <c r="G32" s="42">
        <v>3</v>
      </c>
      <c r="H32" s="42">
        <v>18</v>
      </c>
      <c r="I32" s="42">
        <v>15</v>
      </c>
      <c r="J32"/>
      <c r="K32" s="11"/>
      <c r="L32" s="11"/>
      <c r="M32" s="11"/>
      <c r="N32" s="11"/>
      <c r="O32" s="11"/>
    </row>
    <row r="33" spans="1:15" x14ac:dyDescent="0.2">
      <c r="A33" s="64" t="s">
        <v>30</v>
      </c>
      <c r="B33" s="42">
        <v>0</v>
      </c>
      <c r="C33" s="42">
        <v>0</v>
      </c>
      <c r="D33" s="42">
        <v>3</v>
      </c>
      <c r="E33" s="42">
        <v>0</v>
      </c>
      <c r="F33" s="42">
        <v>21</v>
      </c>
      <c r="G33" s="42">
        <v>13</v>
      </c>
      <c r="H33" s="42">
        <v>100</v>
      </c>
      <c r="I33" s="42">
        <v>44</v>
      </c>
      <c r="J33"/>
      <c r="K33" s="11"/>
      <c r="L33" s="11"/>
      <c r="M33" s="11"/>
      <c r="N33" s="11"/>
      <c r="O33" s="11"/>
    </row>
    <row r="34" spans="1:15" x14ac:dyDescent="0.2">
      <c r="A34" s="64" t="s">
        <v>31</v>
      </c>
      <c r="B34" s="42">
        <v>3</v>
      </c>
      <c r="C34" s="42">
        <v>0</v>
      </c>
      <c r="D34" s="42">
        <v>0</v>
      </c>
      <c r="E34" s="42">
        <v>0</v>
      </c>
      <c r="F34" s="42">
        <v>24</v>
      </c>
      <c r="G34" s="42">
        <v>28</v>
      </c>
      <c r="H34" s="42">
        <v>42</v>
      </c>
      <c r="I34" s="42">
        <v>23</v>
      </c>
      <c r="J34"/>
      <c r="K34" s="11"/>
      <c r="L34" s="11"/>
      <c r="M34" s="11"/>
      <c r="N34" s="11"/>
      <c r="O34" s="11"/>
    </row>
    <row r="35" spans="1:15" x14ac:dyDescent="0.2">
      <c r="A35" s="64" t="s">
        <v>32</v>
      </c>
      <c r="B35" s="42">
        <v>2</v>
      </c>
      <c r="C35" s="42">
        <v>2</v>
      </c>
      <c r="D35" s="42">
        <v>1</v>
      </c>
      <c r="E35" s="42">
        <v>2</v>
      </c>
      <c r="F35" s="42">
        <v>45</v>
      </c>
      <c r="G35" s="42">
        <v>52</v>
      </c>
      <c r="H35" s="42">
        <v>90</v>
      </c>
      <c r="I35" s="42">
        <v>67</v>
      </c>
      <c r="J35"/>
      <c r="K35" s="11"/>
      <c r="L35" s="11"/>
      <c r="M35" s="11"/>
      <c r="N35" s="11"/>
      <c r="O35" s="11"/>
    </row>
    <row r="36" spans="1:15" x14ac:dyDescent="0.2">
      <c r="A36" s="64" t="s">
        <v>33</v>
      </c>
      <c r="B36" s="42">
        <v>0</v>
      </c>
      <c r="C36" s="42">
        <v>0</v>
      </c>
      <c r="D36" s="42">
        <v>1</v>
      </c>
      <c r="E36" s="42">
        <v>1</v>
      </c>
      <c r="F36" s="42">
        <v>21</v>
      </c>
      <c r="G36" s="42">
        <v>29</v>
      </c>
      <c r="H36" s="42">
        <v>18</v>
      </c>
      <c r="I36" s="42">
        <v>27</v>
      </c>
      <c r="J36"/>
      <c r="K36" s="11"/>
      <c r="L36" s="11"/>
      <c r="M36" s="11"/>
      <c r="N36" s="11"/>
      <c r="O36" s="11"/>
    </row>
    <row r="37" spans="1:15" x14ac:dyDescent="0.2">
      <c r="A37" s="64" t="s">
        <v>34</v>
      </c>
      <c r="B37" s="42">
        <v>0</v>
      </c>
      <c r="C37" s="42">
        <v>0</v>
      </c>
      <c r="D37" s="42">
        <v>0</v>
      </c>
      <c r="E37" s="42">
        <v>0</v>
      </c>
      <c r="F37" s="42">
        <v>15</v>
      </c>
      <c r="G37" s="42">
        <v>11</v>
      </c>
      <c r="H37" s="42">
        <v>15</v>
      </c>
      <c r="I37" s="42">
        <v>13</v>
      </c>
      <c r="J37"/>
      <c r="K37" s="11"/>
      <c r="L37" s="11"/>
      <c r="M37" s="11"/>
      <c r="N37" s="11"/>
      <c r="O37" s="11"/>
    </row>
    <row r="38" spans="1:15" x14ac:dyDescent="0.2">
      <c r="A38" s="64" t="s">
        <v>35</v>
      </c>
      <c r="B38" s="42">
        <v>19</v>
      </c>
      <c r="C38" s="42">
        <v>12</v>
      </c>
      <c r="D38" s="42">
        <v>7</v>
      </c>
      <c r="E38" s="42">
        <v>0</v>
      </c>
      <c r="F38" s="42">
        <v>455</v>
      </c>
      <c r="G38" s="42">
        <v>459</v>
      </c>
      <c r="H38" s="42">
        <v>436</v>
      </c>
      <c r="I38" s="42">
        <v>165</v>
      </c>
      <c r="J38"/>
      <c r="K38" s="11"/>
      <c r="L38" s="11"/>
      <c r="M38" s="11"/>
      <c r="N38" s="11"/>
      <c r="O38" s="11"/>
    </row>
    <row r="39" spans="1:15" x14ac:dyDescent="0.2">
      <c r="A39" s="64" t="s">
        <v>36</v>
      </c>
      <c r="B39" s="42">
        <v>22</v>
      </c>
      <c r="C39" s="42">
        <v>31</v>
      </c>
      <c r="D39" s="42">
        <v>13</v>
      </c>
      <c r="E39" s="42">
        <v>18</v>
      </c>
      <c r="F39" s="42">
        <v>825</v>
      </c>
      <c r="G39" s="42">
        <v>1250</v>
      </c>
      <c r="H39" s="42">
        <v>620</v>
      </c>
      <c r="I39" s="42">
        <v>856</v>
      </c>
      <c r="J39"/>
      <c r="K39" s="11"/>
      <c r="L39" s="11"/>
      <c r="M39" s="11"/>
      <c r="N39" s="11"/>
      <c r="O39" s="11"/>
    </row>
    <row r="40" spans="1:15" x14ac:dyDescent="0.2">
      <c r="A40" s="64" t="s">
        <v>37</v>
      </c>
      <c r="B40" s="42">
        <v>2</v>
      </c>
      <c r="C40" s="42">
        <v>2</v>
      </c>
      <c r="D40" s="42">
        <v>3</v>
      </c>
      <c r="E40" s="42">
        <v>2</v>
      </c>
      <c r="F40" s="42">
        <v>69</v>
      </c>
      <c r="G40" s="42">
        <v>65</v>
      </c>
      <c r="H40" s="42">
        <v>120</v>
      </c>
      <c r="I40" s="42">
        <v>73</v>
      </c>
      <c r="J40"/>
      <c r="K40" s="11"/>
      <c r="L40" s="11"/>
      <c r="M40" s="11"/>
      <c r="N40" s="11"/>
      <c r="O40" s="11"/>
    </row>
    <row r="41" spans="1:15" x14ac:dyDescent="0.2">
      <c r="A41" s="64" t="s">
        <v>38</v>
      </c>
      <c r="B41" s="42">
        <v>3</v>
      </c>
      <c r="C41" s="42">
        <v>4</v>
      </c>
      <c r="D41" s="42">
        <v>6</v>
      </c>
      <c r="E41" s="42">
        <v>5</v>
      </c>
      <c r="F41" s="42">
        <v>202</v>
      </c>
      <c r="G41" s="42">
        <v>185</v>
      </c>
      <c r="H41" s="42">
        <v>181</v>
      </c>
      <c r="I41" s="42">
        <v>194</v>
      </c>
      <c r="J41"/>
      <c r="K41" s="11"/>
      <c r="L41" s="11"/>
      <c r="M41" s="11"/>
      <c r="N41" s="11"/>
      <c r="O41" s="11"/>
    </row>
    <row r="42" spans="1:15" x14ac:dyDescent="0.2">
      <c r="A42" s="64" t="s">
        <v>39</v>
      </c>
      <c r="B42" s="42">
        <v>12</v>
      </c>
      <c r="C42" s="42">
        <v>30</v>
      </c>
      <c r="D42" s="42">
        <v>16</v>
      </c>
      <c r="E42" s="42">
        <v>16</v>
      </c>
      <c r="F42" s="42">
        <v>719</v>
      </c>
      <c r="G42" s="42">
        <v>1160</v>
      </c>
      <c r="H42" s="42">
        <v>503</v>
      </c>
      <c r="I42" s="42">
        <v>352</v>
      </c>
      <c r="J42"/>
      <c r="K42" s="11"/>
      <c r="L42" s="11"/>
      <c r="M42" s="11"/>
      <c r="N42" s="11"/>
      <c r="O42" s="11"/>
    </row>
    <row r="43" spans="1:15" x14ac:dyDescent="0.2">
      <c r="A43" s="64" t="s">
        <v>40</v>
      </c>
      <c r="B43" s="42">
        <v>17</v>
      </c>
      <c r="C43" s="42">
        <v>43</v>
      </c>
      <c r="D43" s="42">
        <v>11</v>
      </c>
      <c r="E43" s="42">
        <v>6</v>
      </c>
      <c r="F43" s="42">
        <v>541</v>
      </c>
      <c r="G43" s="42">
        <v>750</v>
      </c>
      <c r="H43" s="42">
        <v>607</v>
      </c>
      <c r="I43" s="42">
        <v>277</v>
      </c>
      <c r="J43"/>
      <c r="K43" s="11"/>
      <c r="L43" s="11"/>
      <c r="M43" s="11"/>
      <c r="N43" s="11"/>
      <c r="O43" s="11"/>
    </row>
    <row r="44" spans="1:15" x14ac:dyDescent="0.2">
      <c r="A44" s="64" t="s">
        <v>41</v>
      </c>
      <c r="B44" s="42">
        <v>4</v>
      </c>
      <c r="C44" s="42">
        <v>4</v>
      </c>
      <c r="D44" s="42">
        <v>0</v>
      </c>
      <c r="E44" s="42">
        <v>1</v>
      </c>
      <c r="F44" s="42">
        <v>134</v>
      </c>
      <c r="G44" s="42">
        <v>132</v>
      </c>
      <c r="H44" s="42">
        <v>120</v>
      </c>
      <c r="I44" s="42">
        <v>148</v>
      </c>
      <c r="J44"/>
      <c r="K44" s="11"/>
      <c r="L44" s="11"/>
      <c r="M44" s="11"/>
      <c r="N44" s="11"/>
      <c r="O44" s="11"/>
    </row>
    <row r="45" spans="1:15" x14ac:dyDescent="0.2">
      <c r="A45" s="64" t="s">
        <v>91</v>
      </c>
      <c r="B45" s="42">
        <v>0</v>
      </c>
      <c r="C45" s="42">
        <v>0</v>
      </c>
      <c r="D45" s="42">
        <v>0</v>
      </c>
      <c r="E45" s="42">
        <v>1</v>
      </c>
      <c r="F45" s="42">
        <v>21</v>
      </c>
      <c r="G45" s="42">
        <v>14</v>
      </c>
      <c r="H45" s="42">
        <v>9</v>
      </c>
      <c r="I45" s="42">
        <v>12</v>
      </c>
      <c r="J45"/>
      <c r="K45" s="11"/>
      <c r="L45" s="11"/>
      <c r="M45" s="11"/>
      <c r="N45" s="11"/>
      <c r="O45" s="11"/>
    </row>
    <row r="46" spans="1:15" x14ac:dyDescent="0.2">
      <c r="A46" s="64" t="s">
        <v>43</v>
      </c>
      <c r="B46" s="42">
        <v>0</v>
      </c>
      <c r="C46" s="42">
        <v>3</v>
      </c>
      <c r="D46" s="42">
        <v>1</v>
      </c>
      <c r="E46" s="42">
        <v>2</v>
      </c>
      <c r="F46" s="42">
        <v>84</v>
      </c>
      <c r="G46" s="42">
        <v>114</v>
      </c>
      <c r="H46" s="42">
        <v>128</v>
      </c>
      <c r="I46" s="42">
        <v>77</v>
      </c>
      <c r="J46"/>
      <c r="K46" s="11"/>
      <c r="L46" s="11"/>
      <c r="M46" s="11"/>
      <c r="N46" s="11"/>
      <c r="O46" s="11"/>
    </row>
    <row r="47" spans="1:15" x14ac:dyDescent="0.2">
      <c r="A47" s="64" t="s">
        <v>44</v>
      </c>
      <c r="B47" s="42">
        <v>1</v>
      </c>
      <c r="C47" s="42">
        <v>1</v>
      </c>
      <c r="D47" s="42">
        <v>1</v>
      </c>
      <c r="E47" s="42">
        <v>1</v>
      </c>
      <c r="F47" s="42">
        <v>35</v>
      </c>
      <c r="G47" s="42">
        <v>33</v>
      </c>
      <c r="H47" s="42">
        <v>40</v>
      </c>
      <c r="I47" s="42">
        <v>29</v>
      </c>
      <c r="J47"/>
      <c r="K47" s="11"/>
      <c r="L47" s="11"/>
      <c r="M47" s="11"/>
      <c r="N47" s="11"/>
      <c r="O47" s="11"/>
    </row>
    <row r="48" spans="1:15" x14ac:dyDescent="0.2">
      <c r="A48" s="64" t="s">
        <v>45</v>
      </c>
      <c r="B48" s="42">
        <v>8</v>
      </c>
      <c r="C48" s="42">
        <v>6</v>
      </c>
      <c r="D48" s="42">
        <v>7</v>
      </c>
      <c r="E48" s="42">
        <v>5</v>
      </c>
      <c r="F48" s="42">
        <v>166</v>
      </c>
      <c r="G48" s="42">
        <v>342</v>
      </c>
      <c r="H48" s="42">
        <v>213</v>
      </c>
      <c r="I48" s="42">
        <v>236</v>
      </c>
      <c r="J48"/>
      <c r="K48" s="11"/>
      <c r="L48" s="11"/>
      <c r="M48" s="11"/>
      <c r="N48" s="11"/>
      <c r="O48" s="11"/>
    </row>
    <row r="49" spans="1:15" x14ac:dyDescent="0.2">
      <c r="A49" s="64" t="s">
        <v>46</v>
      </c>
      <c r="B49" s="42">
        <v>37</v>
      </c>
      <c r="C49" s="42">
        <v>59</v>
      </c>
      <c r="D49" s="42">
        <v>36</v>
      </c>
      <c r="E49" s="42">
        <v>29</v>
      </c>
      <c r="F49" s="42">
        <v>1414</v>
      </c>
      <c r="G49" s="42">
        <v>1938</v>
      </c>
      <c r="H49" s="42">
        <v>1032</v>
      </c>
      <c r="I49" s="42">
        <v>863</v>
      </c>
      <c r="J49"/>
      <c r="K49" s="11"/>
      <c r="L49" s="11"/>
      <c r="M49" s="11"/>
      <c r="N49" s="11"/>
      <c r="O49" s="11"/>
    </row>
    <row r="50" spans="1:15" x14ac:dyDescent="0.2">
      <c r="A50" s="64" t="s">
        <v>47</v>
      </c>
      <c r="B50" s="42">
        <v>0</v>
      </c>
      <c r="C50" s="42">
        <v>1</v>
      </c>
      <c r="D50" s="42">
        <v>0</v>
      </c>
      <c r="E50" s="42">
        <v>0</v>
      </c>
      <c r="F50" s="42">
        <v>13</v>
      </c>
      <c r="G50" s="42">
        <v>11</v>
      </c>
      <c r="H50" s="42">
        <v>9</v>
      </c>
      <c r="I50" s="42">
        <v>6</v>
      </c>
      <c r="J50"/>
      <c r="K50" s="11"/>
      <c r="L50" s="11"/>
      <c r="M50" s="11"/>
      <c r="N50" s="11"/>
      <c r="O50" s="11"/>
    </row>
    <row r="51" spans="1:15" x14ac:dyDescent="0.2">
      <c r="A51" s="64" t="s">
        <v>48</v>
      </c>
      <c r="B51" s="42">
        <v>10</v>
      </c>
      <c r="C51" s="42">
        <v>26</v>
      </c>
      <c r="D51" s="42">
        <v>14</v>
      </c>
      <c r="E51" s="42">
        <v>19</v>
      </c>
      <c r="F51" s="42">
        <v>500</v>
      </c>
      <c r="G51" s="42">
        <v>885</v>
      </c>
      <c r="H51" s="42">
        <v>514</v>
      </c>
      <c r="I51" s="42">
        <v>467</v>
      </c>
      <c r="J51"/>
      <c r="K51" s="11"/>
      <c r="L51" s="11"/>
      <c r="M51" s="11"/>
      <c r="N51" s="11"/>
      <c r="O51" s="11"/>
    </row>
    <row r="52" spans="1:15" x14ac:dyDescent="0.2">
      <c r="A52" s="64" t="s">
        <v>49</v>
      </c>
      <c r="B52" s="42">
        <v>0</v>
      </c>
      <c r="C52" s="42">
        <v>1</v>
      </c>
      <c r="D52" s="42">
        <v>4</v>
      </c>
      <c r="E52" s="42">
        <v>1</v>
      </c>
      <c r="F52" s="42">
        <v>75</v>
      </c>
      <c r="G52" s="42">
        <v>75</v>
      </c>
      <c r="H52" s="42">
        <v>94</v>
      </c>
      <c r="I52" s="42">
        <v>55</v>
      </c>
      <c r="J52"/>
      <c r="K52" s="11"/>
      <c r="L52" s="11"/>
      <c r="M52" s="11"/>
      <c r="N52" s="11"/>
      <c r="O52" s="11"/>
    </row>
    <row r="53" spans="1:15" x14ac:dyDescent="0.2">
      <c r="A53" s="64" t="s">
        <v>50</v>
      </c>
      <c r="B53" s="42">
        <v>1</v>
      </c>
      <c r="C53" s="42">
        <v>0</v>
      </c>
      <c r="D53" s="42">
        <v>1</v>
      </c>
      <c r="E53" s="42">
        <v>2</v>
      </c>
      <c r="F53" s="42">
        <v>48</v>
      </c>
      <c r="G53" s="42">
        <v>65</v>
      </c>
      <c r="H53" s="42">
        <v>55</v>
      </c>
      <c r="I53" s="42">
        <v>56</v>
      </c>
      <c r="J53"/>
      <c r="K53" s="11"/>
      <c r="L53" s="11"/>
      <c r="M53" s="11"/>
      <c r="N53" s="11"/>
      <c r="O53" s="11"/>
    </row>
    <row r="54" spans="1:15" x14ac:dyDescent="0.2">
      <c r="A54" s="64" t="s">
        <v>51</v>
      </c>
      <c r="B54" s="42">
        <v>93</v>
      </c>
      <c r="C54" s="42">
        <v>316</v>
      </c>
      <c r="D54" s="42">
        <v>91</v>
      </c>
      <c r="E54" s="42">
        <v>40</v>
      </c>
      <c r="F54" s="42">
        <v>2351</v>
      </c>
      <c r="G54" s="42">
        <v>7171</v>
      </c>
      <c r="H54" s="42">
        <v>2473</v>
      </c>
      <c r="I54" s="42">
        <v>1114</v>
      </c>
      <c r="J54"/>
      <c r="K54" s="11"/>
      <c r="L54" s="11"/>
      <c r="M54" s="11"/>
      <c r="N54" s="11"/>
      <c r="O54" s="11"/>
    </row>
    <row r="55" spans="1:15" x14ac:dyDescent="0.2">
      <c r="A55" s="64" t="s">
        <v>52</v>
      </c>
      <c r="B55" s="42">
        <v>1</v>
      </c>
      <c r="C55" s="42">
        <v>0</v>
      </c>
      <c r="D55" s="42">
        <v>2</v>
      </c>
      <c r="E55" s="42">
        <v>5</v>
      </c>
      <c r="F55" s="42">
        <v>49</v>
      </c>
      <c r="G55" s="42">
        <v>87</v>
      </c>
      <c r="H55" s="42">
        <v>74</v>
      </c>
      <c r="I55" s="42">
        <v>120</v>
      </c>
      <c r="J55"/>
      <c r="K55" s="11"/>
      <c r="L55" s="11"/>
      <c r="M55" s="11"/>
      <c r="N55" s="11"/>
      <c r="O55" s="11"/>
    </row>
    <row r="56" spans="1:15" x14ac:dyDescent="0.2">
      <c r="A56" s="64" t="s">
        <v>53</v>
      </c>
      <c r="B56" s="42">
        <v>0</v>
      </c>
      <c r="C56" s="42">
        <v>0</v>
      </c>
      <c r="D56" s="42">
        <v>0</v>
      </c>
      <c r="E56" s="42">
        <v>1</v>
      </c>
      <c r="F56" s="42">
        <v>6</v>
      </c>
      <c r="G56" s="42">
        <v>6</v>
      </c>
      <c r="H56" s="42">
        <v>13</v>
      </c>
      <c r="I56" s="42">
        <v>16</v>
      </c>
      <c r="J56"/>
      <c r="K56" s="11"/>
      <c r="L56" s="11"/>
      <c r="M56" s="11"/>
      <c r="N56" s="11"/>
      <c r="O56" s="11"/>
    </row>
    <row r="57" spans="1:15" x14ac:dyDescent="0.2">
      <c r="A57" s="64" t="s">
        <v>54</v>
      </c>
      <c r="B57" s="42">
        <v>8</v>
      </c>
      <c r="C57" s="42">
        <v>5</v>
      </c>
      <c r="D57" s="42">
        <v>2</v>
      </c>
      <c r="E57" s="42">
        <v>2</v>
      </c>
      <c r="F57" s="42">
        <v>156</v>
      </c>
      <c r="G57" s="42">
        <v>140</v>
      </c>
      <c r="H57" s="42">
        <v>232</v>
      </c>
      <c r="I57" s="42">
        <v>145</v>
      </c>
      <c r="J57"/>
      <c r="K57" s="11"/>
      <c r="L57" s="11"/>
      <c r="M57" s="11"/>
      <c r="N57" s="11"/>
      <c r="O57" s="11"/>
    </row>
    <row r="58" spans="1:15" x14ac:dyDescent="0.2">
      <c r="A58" s="64" t="s">
        <v>55</v>
      </c>
      <c r="B58" s="42">
        <v>1</v>
      </c>
      <c r="C58" s="42">
        <v>0</v>
      </c>
      <c r="D58" s="42">
        <v>0</v>
      </c>
      <c r="E58" s="42">
        <v>1</v>
      </c>
      <c r="F58" s="42">
        <v>21</v>
      </c>
      <c r="G58" s="42">
        <v>22</v>
      </c>
      <c r="H58" s="42">
        <v>14</v>
      </c>
      <c r="I58" s="42">
        <v>32</v>
      </c>
      <c r="J58"/>
      <c r="K58" s="11"/>
      <c r="L58" s="11"/>
      <c r="M58" s="11"/>
      <c r="N58" s="11"/>
      <c r="O58" s="11"/>
    </row>
    <row r="59" spans="1:15" x14ac:dyDescent="0.2">
      <c r="A59" s="64" t="s">
        <v>56</v>
      </c>
      <c r="B59" s="42">
        <v>4</v>
      </c>
      <c r="C59" s="42">
        <v>4</v>
      </c>
      <c r="D59" s="42">
        <v>4</v>
      </c>
      <c r="E59" s="42">
        <v>4</v>
      </c>
      <c r="F59" s="42">
        <v>57</v>
      </c>
      <c r="G59" s="42">
        <v>55</v>
      </c>
      <c r="H59" s="42">
        <v>138</v>
      </c>
      <c r="I59" s="42">
        <v>94</v>
      </c>
      <c r="J59"/>
      <c r="K59" s="11"/>
      <c r="L59" s="11"/>
      <c r="M59" s="11"/>
      <c r="N59" s="11"/>
      <c r="O59" s="11"/>
    </row>
    <row r="60" spans="1:15" x14ac:dyDescent="0.2">
      <c r="A60" s="64" t="s">
        <v>57</v>
      </c>
      <c r="B60" s="42">
        <v>0</v>
      </c>
      <c r="C60" s="42">
        <v>0</v>
      </c>
      <c r="D60" s="42">
        <v>0</v>
      </c>
      <c r="E60" s="42">
        <v>0</v>
      </c>
      <c r="F60" s="42">
        <v>7</v>
      </c>
      <c r="G60" s="42">
        <v>3</v>
      </c>
      <c r="H60" s="42">
        <v>7</v>
      </c>
      <c r="I60" s="42">
        <v>5</v>
      </c>
      <c r="J60"/>
      <c r="K60" s="11"/>
      <c r="L60" s="11"/>
      <c r="M60" s="11"/>
      <c r="N60" s="11"/>
      <c r="O60" s="11"/>
    </row>
    <row r="61" spans="1:15" x14ac:dyDescent="0.2">
      <c r="A61" s="64" t="s">
        <v>58</v>
      </c>
      <c r="B61" s="42">
        <v>0</v>
      </c>
      <c r="C61" s="42">
        <v>1</v>
      </c>
      <c r="D61" s="42">
        <v>1</v>
      </c>
      <c r="E61" s="42">
        <v>1</v>
      </c>
      <c r="F61" s="42">
        <v>37</v>
      </c>
      <c r="G61" s="42">
        <v>39</v>
      </c>
      <c r="H61" s="42">
        <v>40</v>
      </c>
      <c r="I61" s="42">
        <v>39</v>
      </c>
      <c r="J61"/>
      <c r="K61" s="11"/>
      <c r="L61" s="11"/>
      <c r="M61" s="11"/>
      <c r="N61" s="11"/>
      <c r="O61" s="11"/>
    </row>
    <row r="62" spans="1:15" x14ac:dyDescent="0.2">
      <c r="A62" s="64" t="s">
        <v>59</v>
      </c>
      <c r="B62" s="42">
        <v>1</v>
      </c>
      <c r="C62" s="42">
        <v>1</v>
      </c>
      <c r="D62" s="42">
        <v>1</v>
      </c>
      <c r="E62" s="42">
        <v>0</v>
      </c>
      <c r="F62" s="42">
        <v>41</v>
      </c>
      <c r="G62" s="42">
        <v>44</v>
      </c>
      <c r="H62" s="42">
        <v>44</v>
      </c>
      <c r="I62" s="42">
        <v>48</v>
      </c>
      <c r="J62"/>
      <c r="K62" s="11"/>
      <c r="L62" s="11"/>
      <c r="M62" s="11"/>
      <c r="N62" s="11"/>
      <c r="O62" s="11"/>
    </row>
    <row r="63" spans="1:15" x14ac:dyDescent="0.2">
      <c r="A63" s="64" t="s">
        <v>60</v>
      </c>
      <c r="B63" s="42">
        <v>1</v>
      </c>
      <c r="C63" s="42">
        <v>1</v>
      </c>
      <c r="D63" s="42">
        <v>0</v>
      </c>
      <c r="E63" s="42">
        <v>0</v>
      </c>
      <c r="F63" s="42">
        <v>24</v>
      </c>
      <c r="G63" s="42">
        <v>37</v>
      </c>
      <c r="H63" s="42">
        <v>23</v>
      </c>
      <c r="I63" s="42">
        <v>22</v>
      </c>
      <c r="J63"/>
      <c r="K63" s="11"/>
      <c r="L63" s="11"/>
      <c r="M63" s="11"/>
      <c r="N63" s="11"/>
      <c r="O63" s="11"/>
    </row>
    <row r="64" spans="1:15" x14ac:dyDescent="0.2">
      <c r="A64" s="64" t="s">
        <v>61</v>
      </c>
      <c r="B64" s="42">
        <v>1</v>
      </c>
      <c r="C64" s="42">
        <v>0</v>
      </c>
      <c r="D64" s="42">
        <v>2</v>
      </c>
      <c r="E64" s="42">
        <v>1</v>
      </c>
      <c r="F64" s="42">
        <v>42</v>
      </c>
      <c r="G64" s="42">
        <v>50</v>
      </c>
      <c r="H64" s="42">
        <v>48</v>
      </c>
      <c r="I64" s="42">
        <v>41</v>
      </c>
      <c r="J64"/>
      <c r="K64" s="11"/>
      <c r="L64" s="11"/>
      <c r="M64" s="11"/>
      <c r="N64" s="11"/>
      <c r="O64" s="11"/>
    </row>
    <row r="65" spans="1:15" x14ac:dyDescent="0.2">
      <c r="A65" s="64" t="s">
        <v>62</v>
      </c>
      <c r="B65" s="42">
        <v>1</v>
      </c>
      <c r="C65" s="42">
        <v>0</v>
      </c>
      <c r="D65" s="42">
        <v>0</v>
      </c>
      <c r="E65" s="42">
        <v>0</v>
      </c>
      <c r="F65" s="42">
        <v>32</v>
      </c>
      <c r="G65" s="42">
        <v>39</v>
      </c>
      <c r="H65" s="42">
        <v>38</v>
      </c>
      <c r="I65" s="42">
        <v>34</v>
      </c>
      <c r="J65"/>
      <c r="K65" s="11"/>
      <c r="L65" s="11"/>
      <c r="M65" s="11"/>
      <c r="N65" s="11"/>
      <c r="O65" s="11"/>
    </row>
    <row r="66" spans="1:15" x14ac:dyDescent="0.2">
      <c r="A66" s="64" t="s">
        <v>63</v>
      </c>
      <c r="B66" s="42">
        <v>7</v>
      </c>
      <c r="C66" s="42">
        <v>5</v>
      </c>
      <c r="D66" s="42">
        <v>21</v>
      </c>
      <c r="E66" s="42">
        <v>5</v>
      </c>
      <c r="F66" s="42">
        <v>191</v>
      </c>
      <c r="G66" s="42">
        <v>207</v>
      </c>
      <c r="H66" s="42">
        <v>334</v>
      </c>
      <c r="I66" s="42">
        <v>194</v>
      </c>
      <c r="J66"/>
      <c r="K66" s="11"/>
      <c r="L66" s="11"/>
      <c r="M66" s="11"/>
      <c r="N66" s="11"/>
      <c r="O66" s="11"/>
    </row>
    <row r="67" spans="1:15" x14ac:dyDescent="0.2">
      <c r="A67" s="64" t="s">
        <v>64</v>
      </c>
      <c r="B67" s="42">
        <v>0</v>
      </c>
      <c r="C67" s="42">
        <v>1</v>
      </c>
      <c r="D67" s="42">
        <v>0</v>
      </c>
      <c r="E67" s="42">
        <v>2</v>
      </c>
      <c r="F67" s="42">
        <v>32</v>
      </c>
      <c r="G67" s="42">
        <v>58</v>
      </c>
      <c r="H67" s="42">
        <v>61</v>
      </c>
      <c r="I67" s="42">
        <v>66</v>
      </c>
      <c r="J67"/>
      <c r="K67" s="11"/>
      <c r="L67" s="11"/>
      <c r="M67" s="11"/>
      <c r="N67" s="11"/>
      <c r="O67" s="11"/>
    </row>
    <row r="68" spans="1:15" x14ac:dyDescent="0.2">
      <c r="A68" s="64" t="s">
        <v>65</v>
      </c>
      <c r="B68" s="42">
        <v>10</v>
      </c>
      <c r="C68" s="42">
        <v>8</v>
      </c>
      <c r="D68" s="42">
        <v>14</v>
      </c>
      <c r="E68" s="42">
        <v>5</v>
      </c>
      <c r="F68" s="42">
        <v>356</v>
      </c>
      <c r="G68" s="42">
        <v>380</v>
      </c>
      <c r="H68" s="42">
        <v>543</v>
      </c>
      <c r="I68" s="42">
        <v>291</v>
      </c>
      <c r="J68"/>
      <c r="K68" s="11"/>
      <c r="L68" s="11"/>
      <c r="M68" s="11"/>
      <c r="N68" s="11"/>
      <c r="O68" s="11"/>
    </row>
    <row r="69" spans="1:15" x14ac:dyDescent="0.2">
      <c r="A69" s="64" t="s">
        <v>66</v>
      </c>
      <c r="B69" s="42">
        <v>2</v>
      </c>
      <c r="C69" s="42">
        <v>2</v>
      </c>
      <c r="D69" s="42">
        <v>0</v>
      </c>
      <c r="E69" s="42">
        <v>0</v>
      </c>
      <c r="F69" s="42">
        <v>37</v>
      </c>
      <c r="G69" s="42">
        <v>37</v>
      </c>
      <c r="H69" s="42">
        <v>41</v>
      </c>
      <c r="I69" s="42">
        <v>31</v>
      </c>
      <c r="J69"/>
      <c r="K69" s="11"/>
      <c r="L69" s="11"/>
      <c r="M69" s="11"/>
      <c r="N69" s="11"/>
      <c r="O69" s="11"/>
    </row>
    <row r="70" spans="1:15" x14ac:dyDescent="0.2">
      <c r="A70" s="64" t="s">
        <v>67</v>
      </c>
      <c r="B70" s="42">
        <v>18</v>
      </c>
      <c r="C70" s="42">
        <v>26</v>
      </c>
      <c r="D70" s="42">
        <v>14</v>
      </c>
      <c r="E70" s="42">
        <v>24</v>
      </c>
      <c r="F70" s="42">
        <v>721</v>
      </c>
      <c r="G70" s="42">
        <v>1124</v>
      </c>
      <c r="H70" s="42">
        <v>548</v>
      </c>
      <c r="I70" s="42">
        <v>719</v>
      </c>
      <c r="J70"/>
      <c r="K70" s="11"/>
      <c r="L70" s="11"/>
      <c r="M70" s="11"/>
      <c r="N70" s="11"/>
      <c r="O70" s="11"/>
    </row>
    <row r="71" spans="1:15" x14ac:dyDescent="0.2">
      <c r="A71" s="39" t="s">
        <v>68</v>
      </c>
      <c r="B71" s="67">
        <f>SUM(B4:B70)</f>
        <v>509</v>
      </c>
      <c r="C71" s="67">
        <f>SUM(C4:C70)</f>
        <v>919</v>
      </c>
      <c r="D71" s="67">
        <f>SUM(D4:D70)</f>
        <v>476</v>
      </c>
      <c r="E71" s="67">
        <f>SUM(E4:E70)</f>
        <v>364</v>
      </c>
      <c r="F71" s="67">
        <f t="shared" ref="F71:I71" si="0">SUM(F4:F70)</f>
        <v>17485</v>
      </c>
      <c r="G71" s="67">
        <f t="shared" si="0"/>
        <v>28946</v>
      </c>
      <c r="H71" s="67">
        <f t="shared" si="0"/>
        <v>16994</v>
      </c>
      <c r="I71" s="67">
        <f t="shared" si="0"/>
        <v>12737</v>
      </c>
      <c r="J71"/>
    </row>
    <row r="73" spans="1:15" x14ac:dyDescent="0.2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37" activePane="bottomLeft" state="frozen"/>
      <selection pane="bottomLeft" activeCell="CD23" sqref="CD23"/>
    </sheetView>
  </sheetViews>
  <sheetFormatPr defaultColWidth="9.140625" defaultRowHeight="12.75" x14ac:dyDescent="0.2"/>
  <cols>
    <col min="1" max="1" width="19.140625" style="11" bestFit="1" customWidth="1"/>
    <col min="2" max="5" width="8.28515625" style="10" customWidth="1"/>
    <col min="6" max="14" width="7.7109375" style="11" customWidth="1"/>
    <col min="15" max="15" width="7.28515625" style="10" customWidth="1"/>
    <col min="16" max="16" width="6.140625" style="10" customWidth="1"/>
    <col min="17" max="17" width="6.7109375" style="10" bestFit="1" customWidth="1"/>
    <col min="18" max="18" width="7.140625" style="10" customWidth="1"/>
    <col min="19" max="19" width="6.140625" style="10" customWidth="1"/>
    <col min="20" max="20" width="8" style="10" customWidth="1"/>
    <col min="21" max="23" width="6.28515625" style="11" customWidth="1"/>
    <col min="24" max="27" width="6.7109375" style="35" bestFit="1" customWidth="1"/>
    <col min="28" max="29" width="6.7109375" style="35" customWidth="1"/>
    <col min="30" max="30" width="7.7109375" style="35" bestFit="1" customWidth="1"/>
    <col min="31" max="31" width="6.7109375" style="35" customWidth="1"/>
    <col min="32" max="35" width="6.7109375" style="35" bestFit="1" customWidth="1"/>
    <col min="36" max="59" width="6.7109375" style="35" customWidth="1"/>
    <col min="60" max="60" width="8.42578125" style="10" customWidth="1"/>
    <col min="61" max="61" width="6.7109375" style="10" bestFit="1" customWidth="1"/>
    <col min="62" max="62" width="7.7109375" style="10" bestFit="1" customWidth="1"/>
    <col min="63" max="63" width="8.28515625" style="10" customWidth="1"/>
    <col min="64" max="16384" width="9.140625" style="11"/>
  </cols>
  <sheetData>
    <row r="1" spans="1:76" x14ac:dyDescent="0.2">
      <c r="A1" s="42"/>
      <c r="B1" s="83" t="s">
        <v>97</v>
      </c>
      <c r="C1" s="80"/>
      <c r="D1" s="80"/>
      <c r="E1" s="80"/>
      <c r="F1" s="81" t="s">
        <v>99</v>
      </c>
      <c r="G1" s="81"/>
      <c r="H1" s="81"/>
      <c r="I1" s="81"/>
      <c r="J1" s="81"/>
      <c r="K1" s="81"/>
      <c r="L1" s="84" t="s">
        <v>94</v>
      </c>
      <c r="M1" s="84"/>
      <c r="N1" s="84"/>
      <c r="O1" s="83" t="s">
        <v>100</v>
      </c>
      <c r="P1" s="83"/>
      <c r="Q1" s="83"/>
      <c r="R1" s="83"/>
      <c r="S1" s="83"/>
      <c r="T1" s="83"/>
      <c r="U1" s="83"/>
      <c r="V1" s="83"/>
      <c r="W1" s="83"/>
      <c r="X1" s="81" t="s">
        <v>101</v>
      </c>
      <c r="Y1" s="81"/>
      <c r="Z1" s="81"/>
      <c r="AA1" s="81"/>
      <c r="AB1" s="42"/>
      <c r="AC1" s="42" t="s">
        <v>105</v>
      </c>
      <c r="AD1" s="42"/>
      <c r="AE1" s="42"/>
      <c r="AF1" s="81" t="s">
        <v>106</v>
      </c>
      <c r="AG1" s="81"/>
      <c r="AH1" s="81"/>
      <c r="AI1" s="81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7" t="s">
        <v>117</v>
      </c>
      <c r="BA1" s="87"/>
      <c r="BB1" s="87"/>
      <c r="BC1" s="87"/>
      <c r="BD1" s="78" t="s">
        <v>119</v>
      </c>
      <c r="BE1" s="78"/>
      <c r="BF1" s="78"/>
      <c r="BG1" s="78"/>
      <c r="BH1" s="78" t="s">
        <v>124</v>
      </c>
      <c r="BI1" s="78"/>
      <c r="BJ1" s="78"/>
      <c r="BK1" s="78"/>
      <c r="BL1" s="78" t="s">
        <v>125</v>
      </c>
      <c r="BM1" s="78"/>
      <c r="BN1" s="78"/>
      <c r="BO1" s="78"/>
      <c r="BP1" s="85" t="s">
        <v>127</v>
      </c>
      <c r="BQ1" s="85"/>
      <c r="BR1" s="85"/>
      <c r="BS1" s="85"/>
      <c r="BT1" s="85"/>
      <c r="BU1" s="85"/>
      <c r="BV1" s="85"/>
      <c r="BW1" s="85"/>
      <c r="BX1" s="85"/>
    </row>
    <row r="2" spans="1:76" x14ac:dyDescent="0.2">
      <c r="A2" s="42"/>
      <c r="B2" s="80" t="s">
        <v>86</v>
      </c>
      <c r="C2" s="80"/>
      <c r="D2" s="80" t="s">
        <v>87</v>
      </c>
      <c r="E2" s="80"/>
      <c r="F2" s="82" t="s">
        <v>86</v>
      </c>
      <c r="G2" s="82"/>
      <c r="H2" s="82"/>
      <c r="I2" s="82" t="s">
        <v>87</v>
      </c>
      <c r="J2" s="82"/>
      <c r="K2" s="82"/>
      <c r="L2" s="82" t="s">
        <v>93</v>
      </c>
      <c r="M2" s="82"/>
      <c r="N2" s="82"/>
      <c r="O2" s="80" t="s">
        <v>86</v>
      </c>
      <c r="P2" s="80"/>
      <c r="Q2" s="80"/>
      <c r="R2" s="80" t="s">
        <v>87</v>
      </c>
      <c r="S2" s="80"/>
      <c r="T2" s="80"/>
      <c r="U2" s="80" t="s">
        <v>93</v>
      </c>
      <c r="V2" s="80"/>
      <c r="W2" s="80"/>
      <c r="X2" s="81" t="s">
        <v>86</v>
      </c>
      <c r="Y2" s="82"/>
      <c r="Z2" s="82" t="s">
        <v>87</v>
      </c>
      <c r="AA2" s="82"/>
      <c r="AB2" s="80" t="s">
        <v>86</v>
      </c>
      <c r="AC2" s="80"/>
      <c r="AD2" s="80" t="s">
        <v>87</v>
      </c>
      <c r="AE2" s="80"/>
      <c r="AF2" s="81" t="s">
        <v>86</v>
      </c>
      <c r="AG2" s="82"/>
      <c r="AH2" s="82" t="s">
        <v>87</v>
      </c>
      <c r="AI2" s="82"/>
      <c r="AJ2" s="80" t="s">
        <v>86</v>
      </c>
      <c r="AK2" s="80"/>
      <c r="AL2" s="80" t="s">
        <v>87</v>
      </c>
      <c r="AM2" s="80"/>
      <c r="AN2" s="80" t="s">
        <v>86</v>
      </c>
      <c r="AO2" s="80"/>
      <c r="AP2" s="80" t="s">
        <v>87</v>
      </c>
      <c r="AQ2" s="80"/>
      <c r="AR2" s="80" t="s">
        <v>86</v>
      </c>
      <c r="AS2" s="80"/>
      <c r="AT2" s="80" t="s">
        <v>87</v>
      </c>
      <c r="AU2" s="80"/>
      <c r="AV2" s="80" t="s">
        <v>86</v>
      </c>
      <c r="AW2" s="80"/>
      <c r="AX2" s="80" t="s">
        <v>87</v>
      </c>
      <c r="AY2" s="80"/>
      <c r="AZ2" s="88" t="s">
        <v>86</v>
      </c>
      <c r="BA2" s="88"/>
      <c r="BB2" s="88" t="s">
        <v>87</v>
      </c>
      <c r="BC2" s="88"/>
      <c r="BD2" s="77" t="s">
        <v>86</v>
      </c>
      <c r="BE2" s="77"/>
      <c r="BF2" s="77" t="s">
        <v>87</v>
      </c>
      <c r="BG2" s="77"/>
      <c r="BH2" s="77" t="s">
        <v>86</v>
      </c>
      <c r="BI2" s="77"/>
      <c r="BJ2" s="77" t="s">
        <v>87</v>
      </c>
      <c r="BK2" s="77"/>
      <c r="BL2" s="77" t="s">
        <v>86</v>
      </c>
      <c r="BM2" s="77"/>
      <c r="BN2" s="77" t="s">
        <v>87</v>
      </c>
      <c r="BO2" s="77"/>
      <c r="BP2" s="85" t="s">
        <v>86</v>
      </c>
      <c r="BQ2" s="86"/>
      <c r="BR2" s="86"/>
      <c r="BS2" s="85" t="s">
        <v>87</v>
      </c>
      <c r="BT2" s="86"/>
      <c r="BU2" s="86"/>
      <c r="BV2" s="86" t="s">
        <v>93</v>
      </c>
      <c r="BW2" s="86"/>
      <c r="BX2" s="86"/>
    </row>
    <row r="3" spans="1:76" x14ac:dyDescent="0.2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56" activePane="bottomLeft" state="frozen"/>
      <selection pane="bottomLeft" activeCell="J19" sqref="J19"/>
    </sheetView>
  </sheetViews>
  <sheetFormatPr defaultColWidth="9.140625" defaultRowHeight="12.75" x14ac:dyDescent="0.2"/>
  <cols>
    <col min="1" max="1" width="19.140625" style="11" bestFit="1" customWidth="1"/>
    <col min="2" max="2" width="22.140625" style="21" customWidth="1"/>
    <col min="3" max="3" width="20" style="21" customWidth="1"/>
    <col min="4" max="4" width="18.5703125" style="30" customWidth="1"/>
    <col min="5" max="5" width="18" style="22" customWidth="1"/>
    <col min="6" max="6" width="5.5703125" style="21" bestFit="1" customWidth="1"/>
    <col min="7" max="16384" width="9.140625" style="21"/>
  </cols>
  <sheetData>
    <row r="1" spans="1:5" x14ac:dyDescent="0.2">
      <c r="A1" s="42"/>
      <c r="B1" s="90" t="s">
        <v>130</v>
      </c>
      <c r="C1" s="91"/>
      <c r="D1" s="92" t="s">
        <v>126</v>
      </c>
      <c r="E1" s="93"/>
    </row>
    <row r="2" spans="1:5" x14ac:dyDescent="0.2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</row>
    <row r="3" spans="1:5" x14ac:dyDescent="0.2">
      <c r="A3" s="42" t="s">
        <v>1</v>
      </c>
      <c r="B3" s="53">
        <v>4</v>
      </c>
      <c r="C3" s="53">
        <v>6</v>
      </c>
      <c r="D3" s="53">
        <v>125</v>
      </c>
      <c r="E3" s="53">
        <v>256</v>
      </c>
    </row>
    <row r="4" spans="1:5" x14ac:dyDescent="0.2">
      <c r="A4" s="42" t="s">
        <v>2</v>
      </c>
      <c r="B4" s="53">
        <v>125</v>
      </c>
      <c r="C4" s="53">
        <v>40</v>
      </c>
      <c r="D4" s="53">
        <v>2189</v>
      </c>
      <c r="E4" s="53">
        <v>1140</v>
      </c>
    </row>
    <row r="5" spans="1:5" x14ac:dyDescent="0.2">
      <c r="A5" s="42" t="s">
        <v>3</v>
      </c>
      <c r="B5" s="53">
        <v>0</v>
      </c>
      <c r="C5" s="53">
        <v>0</v>
      </c>
      <c r="D5" s="53">
        <v>22</v>
      </c>
      <c r="E5" s="53">
        <v>50</v>
      </c>
    </row>
    <row r="6" spans="1:5" x14ac:dyDescent="0.2">
      <c r="A6" s="42" t="s">
        <v>4</v>
      </c>
      <c r="B6" s="53">
        <v>5</v>
      </c>
      <c r="C6" s="53">
        <v>3</v>
      </c>
      <c r="D6" s="53">
        <v>102</v>
      </c>
      <c r="E6" s="53">
        <v>126</v>
      </c>
    </row>
    <row r="7" spans="1:5" x14ac:dyDescent="0.2">
      <c r="A7" s="42" t="s">
        <v>5</v>
      </c>
      <c r="B7" s="53">
        <v>0</v>
      </c>
      <c r="C7" s="53">
        <v>0</v>
      </c>
      <c r="D7" s="53">
        <v>9</v>
      </c>
      <c r="E7" s="53">
        <v>14</v>
      </c>
    </row>
    <row r="8" spans="1:5" x14ac:dyDescent="0.2">
      <c r="A8" s="42" t="s">
        <v>6</v>
      </c>
      <c r="B8" s="53">
        <v>28</v>
      </c>
      <c r="C8" s="53">
        <v>21</v>
      </c>
      <c r="D8" s="53">
        <v>992</v>
      </c>
      <c r="E8" s="53">
        <v>808</v>
      </c>
    </row>
    <row r="9" spans="1:5" x14ac:dyDescent="0.2">
      <c r="A9" s="42" t="s">
        <v>7</v>
      </c>
      <c r="B9" s="53">
        <v>4</v>
      </c>
      <c r="C9" s="53">
        <v>2</v>
      </c>
      <c r="D9" s="53">
        <v>84</v>
      </c>
      <c r="E9" s="53">
        <v>118</v>
      </c>
    </row>
    <row r="10" spans="1:5" x14ac:dyDescent="0.2">
      <c r="A10" s="42" t="s">
        <v>8</v>
      </c>
      <c r="B10" s="53">
        <v>3</v>
      </c>
      <c r="C10" s="53">
        <v>1</v>
      </c>
      <c r="D10" s="53">
        <v>38</v>
      </c>
      <c r="E10" s="53">
        <v>61</v>
      </c>
    </row>
    <row r="11" spans="1:5" x14ac:dyDescent="0.2">
      <c r="A11" s="42" t="s">
        <v>9</v>
      </c>
      <c r="B11" s="53">
        <v>38</v>
      </c>
      <c r="C11" s="53">
        <v>45</v>
      </c>
      <c r="D11" s="53">
        <v>1236</v>
      </c>
      <c r="E11" s="53">
        <v>1381</v>
      </c>
    </row>
    <row r="12" spans="1:5" x14ac:dyDescent="0.2">
      <c r="A12" s="42" t="s">
        <v>10</v>
      </c>
      <c r="B12" s="53">
        <v>9</v>
      </c>
      <c r="C12" s="53">
        <v>6</v>
      </c>
      <c r="D12" s="53">
        <v>143</v>
      </c>
      <c r="E12" s="53">
        <v>242</v>
      </c>
    </row>
    <row r="13" spans="1:5" x14ac:dyDescent="0.2">
      <c r="A13" s="42" t="s">
        <v>11</v>
      </c>
      <c r="B13" s="53">
        <v>4</v>
      </c>
      <c r="C13" s="53">
        <v>3</v>
      </c>
      <c r="D13" s="53">
        <v>103</v>
      </c>
      <c r="E13" s="53">
        <v>112</v>
      </c>
    </row>
    <row r="14" spans="1:5" x14ac:dyDescent="0.2">
      <c r="A14" s="42" t="s">
        <v>12</v>
      </c>
      <c r="B14" s="53">
        <v>0</v>
      </c>
      <c r="C14" s="53">
        <v>0</v>
      </c>
      <c r="D14" s="53">
        <v>2</v>
      </c>
      <c r="E14" s="53">
        <v>3</v>
      </c>
    </row>
    <row r="15" spans="1:5" x14ac:dyDescent="0.2">
      <c r="A15" s="42" t="s">
        <v>13</v>
      </c>
      <c r="B15" s="53">
        <v>2</v>
      </c>
      <c r="C15" s="53">
        <v>0</v>
      </c>
      <c r="D15" s="53">
        <v>70</v>
      </c>
      <c r="E15" s="53">
        <v>78</v>
      </c>
    </row>
    <row r="16" spans="1:5" x14ac:dyDescent="0.2">
      <c r="A16" s="42" t="s">
        <v>14</v>
      </c>
      <c r="B16" s="53">
        <v>8</v>
      </c>
      <c r="C16" s="53">
        <v>0</v>
      </c>
      <c r="D16" s="53">
        <v>141</v>
      </c>
      <c r="E16" s="53">
        <v>134</v>
      </c>
    </row>
    <row r="17" spans="1:5" x14ac:dyDescent="0.2">
      <c r="A17" s="42" t="s">
        <v>15</v>
      </c>
      <c r="B17" s="53">
        <v>16</v>
      </c>
      <c r="C17" s="53">
        <v>15</v>
      </c>
      <c r="D17" s="53">
        <v>878</v>
      </c>
      <c r="E17" s="53">
        <v>920</v>
      </c>
    </row>
    <row r="18" spans="1:5" x14ac:dyDescent="0.2">
      <c r="A18" s="42" t="s">
        <v>16</v>
      </c>
      <c r="B18" s="53">
        <v>1</v>
      </c>
      <c r="C18" s="53">
        <v>1</v>
      </c>
      <c r="D18" s="53">
        <v>16</v>
      </c>
      <c r="E18" s="53">
        <v>26</v>
      </c>
    </row>
    <row r="19" spans="1:5" x14ac:dyDescent="0.2">
      <c r="A19" s="42" t="s">
        <v>17</v>
      </c>
      <c r="B19" s="53">
        <v>1</v>
      </c>
      <c r="C19" s="53">
        <v>6</v>
      </c>
      <c r="D19" s="53">
        <v>42</v>
      </c>
      <c r="E19" s="53">
        <v>68</v>
      </c>
    </row>
    <row r="20" spans="1:5" x14ac:dyDescent="0.2">
      <c r="A20" s="42" t="s">
        <v>18</v>
      </c>
      <c r="B20" s="53">
        <v>0</v>
      </c>
      <c r="C20" s="53">
        <v>1</v>
      </c>
      <c r="D20" s="53">
        <v>29</v>
      </c>
      <c r="E20" s="53">
        <v>42</v>
      </c>
    </row>
    <row r="21" spans="1:5" x14ac:dyDescent="0.2">
      <c r="A21" s="42" t="s">
        <v>19</v>
      </c>
      <c r="B21" s="53">
        <v>0</v>
      </c>
      <c r="C21" s="53">
        <v>0</v>
      </c>
      <c r="D21" s="53">
        <v>34</v>
      </c>
      <c r="E21" s="53">
        <v>56</v>
      </c>
    </row>
    <row r="22" spans="1:5" x14ac:dyDescent="0.2">
      <c r="A22" s="42" t="s">
        <v>20</v>
      </c>
      <c r="B22" s="53">
        <v>0</v>
      </c>
      <c r="C22" s="53">
        <v>2</v>
      </c>
      <c r="D22" s="53">
        <v>53</v>
      </c>
      <c r="E22" s="53">
        <v>59</v>
      </c>
    </row>
    <row r="23" spans="1:5" x14ac:dyDescent="0.2">
      <c r="A23" s="42" t="s">
        <v>21</v>
      </c>
      <c r="B23" s="53">
        <v>13</v>
      </c>
      <c r="C23" s="53">
        <v>21</v>
      </c>
      <c r="D23" s="53">
        <v>475</v>
      </c>
      <c r="E23" s="53">
        <v>556</v>
      </c>
    </row>
    <row r="24" spans="1:5" x14ac:dyDescent="0.2">
      <c r="A24" s="42" t="s">
        <v>22</v>
      </c>
      <c r="B24" s="53">
        <v>40</v>
      </c>
      <c r="C24" s="53">
        <v>27</v>
      </c>
      <c r="D24" s="53">
        <v>1088</v>
      </c>
      <c r="E24" s="53">
        <v>599</v>
      </c>
    </row>
    <row r="25" spans="1:5" x14ac:dyDescent="0.2">
      <c r="A25" s="42" t="s">
        <v>23</v>
      </c>
      <c r="B25" s="53">
        <v>43</v>
      </c>
      <c r="C25" s="53">
        <v>18</v>
      </c>
      <c r="D25" s="53">
        <v>943</v>
      </c>
      <c r="E25" s="53">
        <v>563</v>
      </c>
    </row>
    <row r="26" spans="1:5" x14ac:dyDescent="0.2">
      <c r="A26" s="42" t="s">
        <v>24</v>
      </c>
      <c r="B26" s="53">
        <v>1</v>
      </c>
      <c r="C26" s="53">
        <v>1</v>
      </c>
      <c r="D26" s="53">
        <v>9</v>
      </c>
      <c r="E26" s="53">
        <v>27</v>
      </c>
    </row>
    <row r="27" spans="1:5" x14ac:dyDescent="0.2">
      <c r="A27" s="42" t="s">
        <v>25</v>
      </c>
      <c r="B27" s="53">
        <v>4</v>
      </c>
      <c r="C27" s="53">
        <v>4</v>
      </c>
      <c r="D27" s="53">
        <v>240</v>
      </c>
      <c r="E27" s="53">
        <v>202</v>
      </c>
    </row>
    <row r="28" spans="1:5" x14ac:dyDescent="0.2">
      <c r="A28" s="42" t="s">
        <v>26</v>
      </c>
      <c r="B28" s="53">
        <v>5</v>
      </c>
      <c r="C28" s="53">
        <v>6</v>
      </c>
      <c r="D28" s="53">
        <v>87</v>
      </c>
      <c r="E28" s="53">
        <v>99</v>
      </c>
    </row>
    <row r="29" spans="1:5" x14ac:dyDescent="0.2">
      <c r="A29" s="42" t="s">
        <v>27</v>
      </c>
      <c r="B29" s="53">
        <v>0</v>
      </c>
      <c r="C29" s="53">
        <v>1</v>
      </c>
      <c r="D29" s="53">
        <v>1</v>
      </c>
      <c r="E29" s="53">
        <v>2</v>
      </c>
    </row>
    <row r="30" spans="1:5" x14ac:dyDescent="0.2">
      <c r="A30" s="42" t="s">
        <v>28</v>
      </c>
      <c r="B30" s="53">
        <v>2</v>
      </c>
      <c r="C30" s="53">
        <v>5</v>
      </c>
      <c r="D30" s="53">
        <v>209</v>
      </c>
      <c r="E30" s="53">
        <v>331</v>
      </c>
    </row>
    <row r="31" spans="1:5" x14ac:dyDescent="0.2">
      <c r="A31" s="42" t="s">
        <v>29</v>
      </c>
      <c r="B31" s="53">
        <v>0</v>
      </c>
      <c r="C31" s="53">
        <v>1</v>
      </c>
      <c r="D31" s="53">
        <v>10</v>
      </c>
      <c r="E31" s="53">
        <v>17</v>
      </c>
    </row>
    <row r="32" spans="1:5" x14ac:dyDescent="0.2">
      <c r="A32" s="42" t="s">
        <v>30</v>
      </c>
      <c r="B32" s="53">
        <v>1</v>
      </c>
      <c r="C32" s="53">
        <v>3</v>
      </c>
      <c r="D32" s="53">
        <v>26</v>
      </c>
      <c r="E32" s="53">
        <v>25</v>
      </c>
    </row>
    <row r="33" spans="1:5" x14ac:dyDescent="0.2">
      <c r="A33" s="42" t="s">
        <v>31</v>
      </c>
      <c r="B33" s="53">
        <v>0</v>
      </c>
      <c r="C33" s="53">
        <v>2</v>
      </c>
      <c r="D33" s="53">
        <v>15</v>
      </c>
      <c r="E33" s="53">
        <v>23</v>
      </c>
    </row>
    <row r="34" spans="1:5" x14ac:dyDescent="0.2">
      <c r="A34" s="42" t="s">
        <v>32</v>
      </c>
      <c r="B34" s="53">
        <v>1</v>
      </c>
      <c r="C34" s="53">
        <v>1</v>
      </c>
      <c r="D34" s="53">
        <v>44</v>
      </c>
      <c r="E34" s="53">
        <v>48</v>
      </c>
    </row>
    <row r="35" spans="1:5" x14ac:dyDescent="0.2">
      <c r="A35" s="42" t="s">
        <v>33</v>
      </c>
      <c r="B35" s="53">
        <v>0</v>
      </c>
      <c r="C35" s="53">
        <v>0</v>
      </c>
      <c r="D35" s="53">
        <v>7</v>
      </c>
      <c r="E35" s="53">
        <v>22</v>
      </c>
    </row>
    <row r="36" spans="1:5" x14ac:dyDescent="0.2">
      <c r="A36" s="42" t="s">
        <v>34</v>
      </c>
      <c r="B36" s="53">
        <v>0</v>
      </c>
      <c r="C36" s="53">
        <v>0</v>
      </c>
      <c r="D36" s="53">
        <v>16</v>
      </c>
      <c r="E36" s="53">
        <v>14</v>
      </c>
    </row>
    <row r="37" spans="1:5" x14ac:dyDescent="0.2">
      <c r="A37" s="42" t="s">
        <v>35</v>
      </c>
      <c r="B37" s="53">
        <v>3</v>
      </c>
      <c r="C37" s="53">
        <v>2</v>
      </c>
      <c r="D37" s="53">
        <v>336</v>
      </c>
      <c r="E37" s="53">
        <v>269</v>
      </c>
    </row>
    <row r="38" spans="1:5" x14ac:dyDescent="0.2">
      <c r="A38" s="42" t="s">
        <v>36</v>
      </c>
      <c r="B38" s="53">
        <v>18</v>
      </c>
      <c r="C38" s="53">
        <v>20</v>
      </c>
      <c r="D38" s="53">
        <v>1001</v>
      </c>
      <c r="E38" s="53">
        <v>1134</v>
      </c>
    </row>
    <row r="39" spans="1:5" x14ac:dyDescent="0.2">
      <c r="A39" s="42" t="s">
        <v>37</v>
      </c>
      <c r="B39" s="53">
        <v>1</v>
      </c>
      <c r="C39" s="53">
        <v>3</v>
      </c>
      <c r="D39" s="53">
        <v>53</v>
      </c>
      <c r="E39" s="53">
        <v>61</v>
      </c>
    </row>
    <row r="40" spans="1:5" x14ac:dyDescent="0.2">
      <c r="A40" s="42" t="s">
        <v>38</v>
      </c>
      <c r="B40" s="53">
        <v>5</v>
      </c>
      <c r="C40" s="53">
        <v>4</v>
      </c>
      <c r="D40" s="53">
        <v>158</v>
      </c>
      <c r="E40" s="53">
        <v>166</v>
      </c>
    </row>
    <row r="41" spans="1:5" x14ac:dyDescent="0.2">
      <c r="A41" s="42" t="s">
        <v>39</v>
      </c>
      <c r="B41" s="53">
        <v>20</v>
      </c>
      <c r="C41" s="53">
        <v>12</v>
      </c>
      <c r="D41" s="53">
        <v>725</v>
      </c>
      <c r="E41" s="53">
        <v>509</v>
      </c>
    </row>
    <row r="42" spans="1:5" x14ac:dyDescent="0.2">
      <c r="A42" s="42" t="s">
        <v>40</v>
      </c>
      <c r="B42" s="53">
        <v>15</v>
      </c>
      <c r="C42" s="53">
        <v>9</v>
      </c>
      <c r="D42" s="53">
        <v>461</v>
      </c>
      <c r="E42" s="53">
        <v>365</v>
      </c>
    </row>
    <row r="43" spans="1:5" x14ac:dyDescent="0.2">
      <c r="A43" s="42" t="s">
        <v>41</v>
      </c>
      <c r="B43" s="53">
        <v>4</v>
      </c>
      <c r="C43" s="53">
        <v>2</v>
      </c>
      <c r="D43" s="53">
        <v>124</v>
      </c>
      <c r="E43" s="53">
        <v>171</v>
      </c>
    </row>
    <row r="44" spans="1:5" x14ac:dyDescent="0.2">
      <c r="A44" s="42" t="s">
        <v>42</v>
      </c>
      <c r="B44" s="53">
        <v>1</v>
      </c>
      <c r="C44" s="53">
        <v>0</v>
      </c>
      <c r="D44" s="53">
        <v>11</v>
      </c>
      <c r="E44" s="53">
        <v>15</v>
      </c>
    </row>
    <row r="45" spans="1:5" x14ac:dyDescent="0.2">
      <c r="A45" s="42" t="s">
        <v>43</v>
      </c>
      <c r="B45" s="53">
        <v>1</v>
      </c>
      <c r="C45" s="53">
        <v>3</v>
      </c>
      <c r="D45" s="53">
        <v>90</v>
      </c>
      <c r="E45" s="53">
        <v>93</v>
      </c>
    </row>
    <row r="46" spans="1:5" x14ac:dyDescent="0.2">
      <c r="A46" s="42" t="s">
        <v>44</v>
      </c>
      <c r="B46" s="53">
        <v>0</v>
      </c>
      <c r="C46" s="53">
        <v>1</v>
      </c>
      <c r="D46" s="53">
        <v>11</v>
      </c>
      <c r="E46" s="53">
        <v>30</v>
      </c>
    </row>
    <row r="47" spans="1:5" x14ac:dyDescent="0.2">
      <c r="A47" s="42" t="s">
        <v>45</v>
      </c>
      <c r="B47" s="53">
        <v>12</v>
      </c>
      <c r="C47" s="53">
        <v>4</v>
      </c>
      <c r="D47" s="53">
        <v>295</v>
      </c>
      <c r="E47" s="53">
        <v>220</v>
      </c>
    </row>
    <row r="48" spans="1:5" x14ac:dyDescent="0.2">
      <c r="A48" s="42" t="s">
        <v>46</v>
      </c>
      <c r="B48" s="53">
        <v>59</v>
      </c>
      <c r="C48" s="53">
        <v>33</v>
      </c>
      <c r="D48" s="53">
        <v>1706</v>
      </c>
      <c r="E48" s="53">
        <v>1379</v>
      </c>
    </row>
    <row r="49" spans="1:5" x14ac:dyDescent="0.2">
      <c r="A49" s="42" t="s">
        <v>47</v>
      </c>
      <c r="B49" s="53">
        <v>0</v>
      </c>
      <c r="C49" s="53">
        <v>0</v>
      </c>
      <c r="D49" s="53">
        <v>7</v>
      </c>
      <c r="E49" s="53">
        <v>12</v>
      </c>
    </row>
    <row r="50" spans="1:5" x14ac:dyDescent="0.2">
      <c r="A50" s="42" t="s">
        <v>48</v>
      </c>
      <c r="B50" s="53">
        <v>20</v>
      </c>
      <c r="C50" s="53">
        <v>11</v>
      </c>
      <c r="D50" s="53">
        <v>675</v>
      </c>
      <c r="E50" s="53">
        <v>520</v>
      </c>
    </row>
    <row r="51" spans="1:5" x14ac:dyDescent="0.2">
      <c r="A51" s="42" t="s">
        <v>49</v>
      </c>
      <c r="B51" s="53">
        <v>2</v>
      </c>
      <c r="C51" s="53">
        <v>3</v>
      </c>
      <c r="D51" s="53">
        <v>62</v>
      </c>
      <c r="E51" s="53">
        <v>74</v>
      </c>
    </row>
    <row r="52" spans="1:5" x14ac:dyDescent="0.2">
      <c r="A52" s="42" t="s">
        <v>50</v>
      </c>
      <c r="B52" s="53">
        <v>4</v>
      </c>
      <c r="C52" s="53">
        <v>0</v>
      </c>
      <c r="D52" s="53">
        <v>50</v>
      </c>
      <c r="E52" s="53">
        <v>79</v>
      </c>
    </row>
    <row r="53" spans="1:5" x14ac:dyDescent="0.2">
      <c r="A53" s="42" t="s">
        <v>51</v>
      </c>
      <c r="B53" s="53">
        <v>401</v>
      </c>
      <c r="C53" s="53">
        <v>61</v>
      </c>
      <c r="D53" s="53">
        <v>6562</v>
      </c>
      <c r="E53" s="53">
        <v>1507</v>
      </c>
    </row>
    <row r="54" spans="1:5" x14ac:dyDescent="0.2">
      <c r="A54" s="42" t="s">
        <v>52</v>
      </c>
      <c r="B54" s="53">
        <v>0</v>
      </c>
      <c r="C54" s="53">
        <v>3</v>
      </c>
      <c r="D54" s="53">
        <v>74</v>
      </c>
      <c r="E54" s="53">
        <v>98</v>
      </c>
    </row>
    <row r="55" spans="1:5" x14ac:dyDescent="0.2">
      <c r="A55" s="42" t="s">
        <v>53</v>
      </c>
      <c r="B55" s="53">
        <v>0</v>
      </c>
      <c r="C55" s="53">
        <v>1</v>
      </c>
      <c r="D55" s="53">
        <v>7</v>
      </c>
      <c r="E55" s="53">
        <v>16</v>
      </c>
    </row>
    <row r="56" spans="1:5" x14ac:dyDescent="0.2">
      <c r="A56" s="42" t="s">
        <v>54</v>
      </c>
      <c r="B56" s="53">
        <v>5</v>
      </c>
      <c r="C56" s="53">
        <v>6</v>
      </c>
      <c r="D56" s="53">
        <v>131</v>
      </c>
      <c r="E56" s="53">
        <v>163</v>
      </c>
    </row>
    <row r="57" spans="1:5" x14ac:dyDescent="0.2">
      <c r="A57" s="42" t="s">
        <v>55</v>
      </c>
      <c r="B57" s="53">
        <v>0</v>
      </c>
      <c r="C57" s="53">
        <v>3</v>
      </c>
      <c r="D57" s="53">
        <v>10</v>
      </c>
      <c r="E57" s="53">
        <v>16</v>
      </c>
    </row>
    <row r="58" spans="1:5" x14ac:dyDescent="0.2">
      <c r="A58" s="42" t="s">
        <v>56</v>
      </c>
      <c r="B58" s="53">
        <v>5</v>
      </c>
      <c r="C58" s="53">
        <v>5</v>
      </c>
      <c r="D58" s="53">
        <v>62</v>
      </c>
      <c r="E58" s="53">
        <v>79</v>
      </c>
    </row>
    <row r="59" spans="1:5" x14ac:dyDescent="0.2">
      <c r="A59" s="42" t="s">
        <v>57</v>
      </c>
      <c r="B59" s="53">
        <v>0</v>
      </c>
      <c r="C59" s="53">
        <v>0</v>
      </c>
      <c r="D59" s="53">
        <v>1</v>
      </c>
      <c r="E59" s="53">
        <v>9</v>
      </c>
    </row>
    <row r="60" spans="1:5" x14ac:dyDescent="0.2">
      <c r="A60" s="42" t="s">
        <v>58</v>
      </c>
      <c r="B60" s="53">
        <v>0</v>
      </c>
      <c r="C60" s="53">
        <v>0</v>
      </c>
      <c r="D60" s="53">
        <v>31</v>
      </c>
      <c r="E60" s="53">
        <v>37</v>
      </c>
    </row>
    <row r="61" spans="1:5" x14ac:dyDescent="0.2">
      <c r="A61" s="42" t="s">
        <v>59</v>
      </c>
      <c r="B61" s="53">
        <v>0</v>
      </c>
      <c r="C61" s="53">
        <v>0</v>
      </c>
      <c r="D61" s="53">
        <v>27</v>
      </c>
      <c r="E61" s="53">
        <v>42</v>
      </c>
    </row>
    <row r="62" spans="1:5" x14ac:dyDescent="0.2">
      <c r="A62" s="42" t="s">
        <v>60</v>
      </c>
      <c r="B62" s="53">
        <v>1</v>
      </c>
      <c r="C62" s="53">
        <v>0</v>
      </c>
      <c r="D62" s="53">
        <v>13</v>
      </c>
      <c r="E62" s="53">
        <v>31</v>
      </c>
    </row>
    <row r="63" spans="1:5" x14ac:dyDescent="0.2">
      <c r="A63" s="42" t="s">
        <v>61</v>
      </c>
      <c r="B63" s="53">
        <v>3</v>
      </c>
      <c r="C63" s="53">
        <v>1</v>
      </c>
      <c r="D63" s="53">
        <v>41</v>
      </c>
      <c r="E63" s="53">
        <v>57</v>
      </c>
    </row>
    <row r="64" spans="1:5" x14ac:dyDescent="0.2">
      <c r="A64" s="42" t="s">
        <v>62</v>
      </c>
      <c r="B64" s="53">
        <v>1</v>
      </c>
      <c r="C64" s="53">
        <v>0</v>
      </c>
      <c r="D64" s="53">
        <v>24</v>
      </c>
      <c r="E64" s="53">
        <v>42</v>
      </c>
    </row>
    <row r="65" spans="1:5" x14ac:dyDescent="0.2">
      <c r="A65" s="42" t="s">
        <v>63</v>
      </c>
      <c r="B65" s="53">
        <v>4</v>
      </c>
      <c r="C65" s="53">
        <v>7</v>
      </c>
      <c r="D65" s="53">
        <v>176</v>
      </c>
      <c r="E65" s="53">
        <v>209</v>
      </c>
    </row>
    <row r="66" spans="1:5" x14ac:dyDescent="0.2">
      <c r="A66" s="42" t="s">
        <v>64</v>
      </c>
      <c r="B66" s="53">
        <v>2</v>
      </c>
      <c r="C66" s="53">
        <v>2</v>
      </c>
      <c r="D66" s="53">
        <v>43</v>
      </c>
      <c r="E66" s="53">
        <v>45</v>
      </c>
    </row>
    <row r="67" spans="1:5" x14ac:dyDescent="0.2">
      <c r="A67" s="42" t="s">
        <v>65</v>
      </c>
      <c r="B67" s="53">
        <v>6</v>
      </c>
      <c r="C67" s="53">
        <v>13</v>
      </c>
      <c r="D67" s="53">
        <v>296</v>
      </c>
      <c r="E67" s="53">
        <v>335</v>
      </c>
    </row>
    <row r="68" spans="1:5" x14ac:dyDescent="0.2">
      <c r="A68" s="42" t="s">
        <v>66</v>
      </c>
      <c r="B68" s="53">
        <v>1</v>
      </c>
      <c r="C68" s="53">
        <v>0</v>
      </c>
      <c r="D68" s="53">
        <v>29</v>
      </c>
      <c r="E68" s="53">
        <v>50</v>
      </c>
    </row>
    <row r="69" spans="1:5" x14ac:dyDescent="0.2">
      <c r="A69" s="42" t="s">
        <v>67</v>
      </c>
      <c r="B69" s="53">
        <v>40</v>
      </c>
      <c r="C69" s="53">
        <v>28</v>
      </c>
      <c r="D69" s="53">
        <v>973</v>
      </c>
      <c r="E69" s="53">
        <v>975</v>
      </c>
    </row>
    <row r="70" spans="1:5" x14ac:dyDescent="0.2">
      <c r="A70" s="39" t="s">
        <v>68</v>
      </c>
      <c r="B70" s="43">
        <f>SUM(B3:B69)</f>
        <v>992</v>
      </c>
      <c r="C70" s="43">
        <f>SUM(C3:C69)</f>
        <v>479</v>
      </c>
      <c r="D70" s="43">
        <f t="shared" ref="D70:E70" si="0">SUM(D3:D69)</f>
        <v>23743</v>
      </c>
      <c r="E70" s="43">
        <f t="shared" si="0"/>
        <v>17030</v>
      </c>
    </row>
    <row r="71" spans="1:5" x14ac:dyDescent="0.2">
      <c r="D71" s="89"/>
      <c r="E71" s="89"/>
    </row>
    <row r="72" spans="1:5" x14ac:dyDescent="0.2">
      <c r="B72" s="29"/>
      <c r="C72" s="29"/>
      <c r="D72" s="29"/>
      <c r="E72" s="29"/>
    </row>
    <row r="73" spans="1:5" x14ac:dyDescent="0.2">
      <c r="D73" s="89"/>
      <c r="E73" s="89"/>
    </row>
    <row r="74" spans="1:5" x14ac:dyDescent="0.2">
      <c r="D74" s="89"/>
      <c r="E74" s="89"/>
    </row>
    <row r="75" spans="1:5" x14ac:dyDescent="0.2">
      <c r="B75" s="29"/>
      <c r="D75" s="89"/>
      <c r="E75" s="89"/>
    </row>
    <row r="76" spans="1:5" x14ac:dyDescent="0.2">
      <c r="B76" s="29"/>
      <c r="D76" s="89"/>
      <c r="E76" s="89"/>
    </row>
    <row r="77" spans="1:5" x14ac:dyDescent="0.2">
      <c r="B77" s="29"/>
      <c r="D77" s="89"/>
      <c r="E77" s="89"/>
    </row>
    <row r="78" spans="1:5" x14ac:dyDescent="0.2">
      <c r="B78" s="29"/>
      <c r="D78" s="89"/>
      <c r="E78" s="89"/>
    </row>
    <row r="79" spans="1:5" x14ac:dyDescent="0.2">
      <c r="D79" s="89"/>
      <c r="E79" s="89"/>
    </row>
    <row r="80" spans="1:5" x14ac:dyDescent="0.2">
      <c r="D80" s="89"/>
      <c r="E80" s="89"/>
    </row>
    <row r="81" spans="4:5" x14ac:dyDescent="0.2">
      <c r="D81" s="89"/>
      <c r="E81" s="89"/>
    </row>
    <row r="82" spans="4:5" x14ac:dyDescent="0.2">
      <c r="D82" s="89"/>
      <c r="E82" s="89"/>
    </row>
    <row r="83" spans="4:5" x14ac:dyDescent="0.2">
      <c r="D83" s="89"/>
      <c r="E83" s="89"/>
    </row>
    <row r="84" spans="4:5" x14ac:dyDescent="0.2">
      <c r="D84" s="89"/>
      <c r="E84" s="89"/>
    </row>
    <row r="85" spans="4:5" x14ac:dyDescent="0.2">
      <c r="D85" s="89"/>
      <c r="E85" s="89"/>
    </row>
    <row r="86" spans="4:5" x14ac:dyDescent="0.2">
      <c r="D86" s="89"/>
      <c r="E86" s="89"/>
    </row>
    <row r="87" spans="4:5" x14ac:dyDescent="0.2">
      <c r="D87" s="89"/>
      <c r="E87" s="89"/>
    </row>
    <row r="88" spans="4:5" x14ac:dyDescent="0.2">
      <c r="D88" s="89"/>
      <c r="E88" s="89"/>
    </row>
    <row r="89" spans="4:5" x14ac:dyDescent="0.2">
      <c r="D89" s="89"/>
      <c r="E89" s="89"/>
    </row>
    <row r="90" spans="4:5" x14ac:dyDescent="0.2">
      <c r="D90" s="89"/>
      <c r="E90" s="89"/>
    </row>
    <row r="91" spans="4:5" x14ac:dyDescent="0.2">
      <c r="D91" s="89"/>
      <c r="E91" s="89"/>
    </row>
    <row r="92" spans="4:5" x14ac:dyDescent="0.2">
      <c r="D92" s="89"/>
      <c r="E92" s="89"/>
    </row>
    <row r="93" spans="4:5" x14ac:dyDescent="0.2">
      <c r="D93" s="89"/>
      <c r="E93" s="89"/>
    </row>
    <row r="94" spans="4:5" x14ac:dyDescent="0.2">
      <c r="D94" s="89"/>
      <c r="E94" s="89"/>
    </row>
    <row r="95" spans="4:5" x14ac:dyDescent="0.2">
      <c r="D95" s="89"/>
      <c r="E95" s="89"/>
    </row>
    <row r="96" spans="4:5" x14ac:dyDescent="0.2">
      <c r="D96" s="89"/>
      <c r="E96" s="89"/>
    </row>
    <row r="97" spans="4:5" x14ac:dyDescent="0.2">
      <c r="D97" s="89"/>
      <c r="E97" s="89"/>
    </row>
    <row r="98" spans="4:5" x14ac:dyDescent="0.2">
      <c r="D98" s="89"/>
      <c r="E98" s="89"/>
    </row>
    <row r="99" spans="4:5" x14ac:dyDescent="0.2">
      <c r="D99" s="89"/>
      <c r="E99" s="89"/>
    </row>
    <row r="100" spans="4:5" x14ac:dyDescent="0.2">
      <c r="D100" s="89"/>
      <c r="E100" s="89"/>
    </row>
    <row r="101" spans="4:5" x14ac:dyDescent="0.2">
      <c r="D101" s="89"/>
      <c r="E101" s="89"/>
    </row>
    <row r="102" spans="4:5" x14ac:dyDescent="0.2">
      <c r="D102" s="89"/>
      <c r="E102" s="89"/>
    </row>
    <row r="103" spans="4:5" x14ac:dyDescent="0.2">
      <c r="D103" s="89"/>
      <c r="E103" s="89"/>
    </row>
    <row r="104" spans="4:5" x14ac:dyDescent="0.2">
      <c r="D104" s="89"/>
      <c r="E104" s="89"/>
    </row>
    <row r="105" spans="4:5" x14ac:dyDescent="0.2">
      <c r="D105" s="89"/>
      <c r="E105" s="89"/>
    </row>
    <row r="106" spans="4:5" x14ac:dyDescent="0.2">
      <c r="D106" s="89"/>
      <c r="E106" s="89"/>
    </row>
    <row r="107" spans="4:5" x14ac:dyDescent="0.2">
      <c r="D107" s="89"/>
      <c r="E107" s="89"/>
    </row>
    <row r="108" spans="4:5" x14ac:dyDescent="0.2">
      <c r="D108" s="89"/>
      <c r="E108" s="89"/>
    </row>
    <row r="109" spans="4:5" x14ac:dyDescent="0.2">
      <c r="D109" s="89"/>
      <c r="E109" s="89"/>
    </row>
    <row r="110" spans="4:5" x14ac:dyDescent="0.2">
      <c r="D110" s="89"/>
      <c r="E110" s="89"/>
    </row>
    <row r="111" spans="4:5" x14ac:dyDescent="0.2">
      <c r="D111" s="89"/>
      <c r="E111" s="89"/>
    </row>
    <row r="112" spans="4:5" x14ac:dyDescent="0.2">
      <c r="D112" s="89"/>
      <c r="E112" s="89"/>
    </row>
    <row r="113" spans="4:5" x14ac:dyDescent="0.2">
      <c r="D113" s="89"/>
      <c r="E113" s="89"/>
    </row>
    <row r="114" spans="4:5" x14ac:dyDescent="0.2">
      <c r="D114" s="89"/>
      <c r="E114" s="89"/>
    </row>
    <row r="115" spans="4:5" x14ac:dyDescent="0.2">
      <c r="D115" s="89"/>
      <c r="E115" s="89"/>
    </row>
    <row r="116" spans="4:5" x14ac:dyDescent="0.2">
      <c r="D116" s="89"/>
      <c r="E116" s="89"/>
    </row>
    <row r="117" spans="4:5" x14ac:dyDescent="0.2">
      <c r="D117" s="89"/>
      <c r="E117" s="89"/>
    </row>
    <row r="118" spans="4:5" x14ac:dyDescent="0.2">
      <c r="D118" s="89"/>
      <c r="E118" s="89"/>
    </row>
    <row r="119" spans="4:5" x14ac:dyDescent="0.2">
      <c r="D119" s="89"/>
      <c r="E119" s="89"/>
    </row>
    <row r="120" spans="4:5" x14ac:dyDescent="0.2">
      <c r="D120" s="89"/>
      <c r="E120" s="89"/>
    </row>
    <row r="121" spans="4:5" x14ac:dyDescent="0.2">
      <c r="D121" s="89"/>
      <c r="E121" s="89"/>
    </row>
    <row r="122" spans="4:5" x14ac:dyDescent="0.2">
      <c r="D122" s="89"/>
      <c r="E122" s="89"/>
    </row>
    <row r="123" spans="4:5" x14ac:dyDescent="0.2">
      <c r="D123" s="89"/>
      <c r="E123" s="89"/>
    </row>
    <row r="124" spans="4:5" x14ac:dyDescent="0.2">
      <c r="D124" s="89"/>
      <c r="E124" s="89"/>
    </row>
    <row r="125" spans="4:5" x14ac:dyDescent="0.2">
      <c r="D125" s="89"/>
      <c r="E125" s="89"/>
    </row>
    <row r="126" spans="4:5" x14ac:dyDescent="0.2">
      <c r="D126" s="89"/>
      <c r="E126" s="89"/>
    </row>
    <row r="127" spans="4:5" x14ac:dyDescent="0.2">
      <c r="D127" s="89"/>
      <c r="E127" s="89"/>
    </row>
    <row r="128" spans="4:5" x14ac:dyDescent="0.2">
      <c r="D128" s="89"/>
      <c r="E128" s="89"/>
    </row>
    <row r="129" spans="4:5" x14ac:dyDescent="0.2">
      <c r="D129" s="89"/>
      <c r="E129" s="89"/>
    </row>
    <row r="130" spans="4:5" x14ac:dyDescent="0.2">
      <c r="D130" s="89"/>
      <c r="E130" s="89"/>
    </row>
    <row r="131" spans="4:5" x14ac:dyDescent="0.2">
      <c r="D131" s="89"/>
      <c r="E131" s="89"/>
    </row>
    <row r="132" spans="4:5" x14ac:dyDescent="0.2">
      <c r="D132" s="89"/>
      <c r="E132" s="89"/>
    </row>
    <row r="133" spans="4:5" x14ac:dyDescent="0.2">
      <c r="D133" s="89"/>
      <c r="E133" s="89"/>
    </row>
    <row r="134" spans="4:5" x14ac:dyDescent="0.2">
      <c r="D134" s="89"/>
      <c r="E134" s="89"/>
    </row>
    <row r="135" spans="4:5" x14ac:dyDescent="0.2">
      <c r="D135" s="89"/>
      <c r="E135" s="89"/>
    </row>
    <row r="136" spans="4:5" x14ac:dyDescent="0.2">
      <c r="D136" s="89"/>
      <c r="E136" s="89"/>
    </row>
    <row r="137" spans="4:5" x14ac:dyDescent="0.2">
      <c r="D137" s="94"/>
      <c r="E137" s="94"/>
    </row>
    <row r="138" spans="4:5" ht="15" x14ac:dyDescent="0.2">
      <c r="D138" s="33"/>
      <c r="E138"/>
    </row>
  </sheetData>
  <mergeCells count="68"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  <mergeCell ref="D124:E124"/>
    <mergeCell ref="D125:E125"/>
    <mergeCell ref="D126:E126"/>
    <mergeCell ref="D127:E127"/>
    <mergeCell ref="D128:E128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75:E75"/>
    <mergeCell ref="B1:C1"/>
    <mergeCell ref="D1:E1"/>
    <mergeCell ref="D71:E71"/>
    <mergeCell ref="D73:E73"/>
    <mergeCell ref="D74:E7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33" activePane="bottomLeft" state="frozen"/>
      <selection pane="bottomLeft" activeCell="AL21" sqref="AL21"/>
    </sheetView>
  </sheetViews>
  <sheetFormatPr defaultColWidth="9.140625" defaultRowHeight="12.75" x14ac:dyDescent="0.2"/>
  <cols>
    <col min="1" max="1" width="19.140625" style="11" bestFit="1" customWidth="1"/>
    <col min="2" max="3" width="19.42578125" style="31" customWidth="1"/>
    <col min="4" max="5" width="19.140625" style="29" customWidth="1"/>
    <col min="6" max="6" width="18.140625" style="29" customWidth="1"/>
    <col min="7" max="7" width="17.710937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703125" style="30" customWidth="1"/>
    <col min="27" max="27" width="18" style="22" customWidth="1"/>
    <col min="28" max="28" width="21.28515625" style="29" customWidth="1"/>
    <col min="29" max="29" width="18" style="29" bestFit="1" customWidth="1"/>
    <col min="30" max="31" width="18.5703125" style="29" bestFit="1" customWidth="1"/>
    <col min="32" max="32" width="17.85546875" style="29" bestFit="1" customWidth="1"/>
    <col min="33" max="33" width="21" style="29" customWidth="1"/>
    <col min="34" max="34" width="27.28515625" style="29" customWidth="1"/>
    <col min="35" max="16384" width="9.140625" style="29"/>
  </cols>
  <sheetData>
    <row r="1" spans="1:34" x14ac:dyDescent="0.2">
      <c r="A1" s="47"/>
      <c r="B1" s="83" t="s">
        <v>97</v>
      </c>
      <c r="C1" s="83"/>
      <c r="D1" s="81" t="s">
        <v>98</v>
      </c>
      <c r="E1" s="81"/>
      <c r="F1" s="51" t="s">
        <v>96</v>
      </c>
      <c r="G1" s="83" t="s">
        <v>100</v>
      </c>
      <c r="H1" s="83"/>
      <c r="I1" s="83"/>
      <c r="J1" s="81" t="s">
        <v>101</v>
      </c>
      <c r="K1" s="81"/>
      <c r="L1" s="83" t="s">
        <v>105</v>
      </c>
      <c r="M1" s="83"/>
      <c r="N1" s="81" t="s">
        <v>106</v>
      </c>
      <c r="O1" s="81"/>
      <c r="P1" s="83" t="s">
        <v>107</v>
      </c>
      <c r="Q1" s="83"/>
      <c r="R1" s="83" t="s">
        <v>110</v>
      </c>
      <c r="S1" s="83"/>
      <c r="T1" s="83" t="s">
        <v>112</v>
      </c>
      <c r="U1" s="83"/>
      <c r="V1" s="83" t="s">
        <v>113</v>
      </c>
      <c r="W1" s="83"/>
      <c r="X1" s="87" t="s">
        <v>117</v>
      </c>
      <c r="Y1" s="87"/>
      <c r="Z1" s="92" t="s">
        <v>119</v>
      </c>
      <c r="AA1" s="93"/>
      <c r="AB1" s="92" t="s">
        <v>124</v>
      </c>
      <c r="AC1" s="93"/>
      <c r="AD1" s="92" t="s">
        <v>125</v>
      </c>
      <c r="AE1" s="93"/>
      <c r="AF1" s="81" t="s">
        <v>128</v>
      </c>
      <c r="AG1" s="81"/>
      <c r="AH1" s="81"/>
    </row>
    <row r="2" spans="1:34" x14ac:dyDescent="0.2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">
      <c r="Z71" s="89"/>
      <c r="AA71" s="89"/>
    </row>
    <row r="72" spans="1:34" x14ac:dyDescent="0.2">
      <c r="Z72" s="29"/>
      <c r="AA72" s="29"/>
    </row>
    <row r="73" spans="1:34" x14ac:dyDescent="0.2">
      <c r="Z73" s="89"/>
      <c r="AA73" s="89"/>
    </row>
    <row r="74" spans="1:34" x14ac:dyDescent="0.2">
      <c r="Z74" s="89"/>
      <c r="AA74" s="89"/>
    </row>
    <row r="75" spans="1:34" x14ac:dyDescent="0.2">
      <c r="Z75" s="89"/>
      <c r="AA75" s="89"/>
    </row>
    <row r="76" spans="1:34" x14ac:dyDescent="0.2">
      <c r="Z76" s="89"/>
      <c r="AA76" s="89"/>
    </row>
    <row r="77" spans="1:34" x14ac:dyDescent="0.2">
      <c r="Z77" s="89"/>
      <c r="AA77" s="89"/>
    </row>
    <row r="78" spans="1:34" x14ac:dyDescent="0.2">
      <c r="Z78" s="89"/>
      <c r="AA78" s="89"/>
    </row>
    <row r="79" spans="1:34" x14ac:dyDescent="0.2">
      <c r="Z79" s="89"/>
      <c r="AA79" s="89"/>
    </row>
    <row r="80" spans="1:34" x14ac:dyDescent="0.2">
      <c r="Z80" s="89"/>
      <c r="AA80" s="89"/>
    </row>
    <row r="81" spans="26:27" x14ac:dyDescent="0.2">
      <c r="Z81" s="89"/>
      <c r="AA81" s="89"/>
    </row>
    <row r="82" spans="26:27" x14ac:dyDescent="0.2">
      <c r="Z82" s="89"/>
      <c r="AA82" s="89"/>
    </row>
    <row r="83" spans="26:27" x14ac:dyDescent="0.2">
      <c r="Z83" s="89"/>
      <c r="AA83" s="89"/>
    </row>
    <row r="84" spans="26:27" x14ac:dyDescent="0.2">
      <c r="Z84" s="89"/>
      <c r="AA84" s="89"/>
    </row>
    <row r="85" spans="26:27" x14ac:dyDescent="0.2">
      <c r="Z85" s="89"/>
      <c r="AA85" s="89"/>
    </row>
    <row r="86" spans="26:27" x14ac:dyDescent="0.2">
      <c r="Z86" s="89"/>
      <c r="AA86" s="89"/>
    </row>
    <row r="87" spans="26:27" x14ac:dyDescent="0.2">
      <c r="Z87" s="89"/>
      <c r="AA87" s="89"/>
    </row>
    <row r="88" spans="26:27" x14ac:dyDescent="0.2">
      <c r="Z88" s="89"/>
      <c r="AA88" s="89"/>
    </row>
    <row r="89" spans="26:27" x14ac:dyDescent="0.2">
      <c r="Z89" s="89"/>
      <c r="AA89" s="89"/>
    </row>
    <row r="90" spans="26:27" x14ac:dyDescent="0.2">
      <c r="Z90" s="89"/>
      <c r="AA90" s="89"/>
    </row>
    <row r="91" spans="26:27" x14ac:dyDescent="0.2">
      <c r="Z91" s="89"/>
      <c r="AA91" s="89"/>
    </row>
    <row r="92" spans="26:27" x14ac:dyDescent="0.2">
      <c r="Z92" s="89"/>
      <c r="AA92" s="89"/>
    </row>
    <row r="93" spans="26:27" x14ac:dyDescent="0.2">
      <c r="Z93" s="89"/>
      <c r="AA93" s="89"/>
    </row>
    <row r="94" spans="26:27" x14ac:dyDescent="0.2">
      <c r="Z94" s="89"/>
      <c r="AA94" s="89"/>
    </row>
    <row r="95" spans="26:27" x14ac:dyDescent="0.2">
      <c r="Z95" s="89"/>
      <c r="AA95" s="89"/>
    </row>
    <row r="96" spans="26:27" x14ac:dyDescent="0.2">
      <c r="Z96" s="89"/>
      <c r="AA96" s="89"/>
    </row>
    <row r="97" spans="26:27" x14ac:dyDescent="0.2">
      <c r="Z97" s="89"/>
      <c r="AA97" s="89"/>
    </row>
    <row r="98" spans="26:27" x14ac:dyDescent="0.2">
      <c r="Z98" s="89"/>
      <c r="AA98" s="89"/>
    </row>
    <row r="99" spans="26:27" x14ac:dyDescent="0.2">
      <c r="Z99" s="89"/>
      <c r="AA99" s="89"/>
    </row>
    <row r="100" spans="26:27" x14ac:dyDescent="0.2">
      <c r="Z100" s="89"/>
      <c r="AA100" s="89"/>
    </row>
    <row r="101" spans="26:27" x14ac:dyDescent="0.2">
      <c r="Z101" s="89"/>
      <c r="AA101" s="89"/>
    </row>
    <row r="102" spans="26:27" x14ac:dyDescent="0.2">
      <c r="Z102" s="89"/>
      <c r="AA102" s="89"/>
    </row>
    <row r="103" spans="26:27" x14ac:dyDescent="0.2">
      <c r="Z103" s="89"/>
      <c r="AA103" s="89"/>
    </row>
    <row r="104" spans="26:27" x14ac:dyDescent="0.2">
      <c r="Z104" s="89"/>
      <c r="AA104" s="89"/>
    </row>
    <row r="105" spans="26:27" x14ac:dyDescent="0.2">
      <c r="Z105" s="89"/>
      <c r="AA105" s="89"/>
    </row>
    <row r="106" spans="26:27" x14ac:dyDescent="0.2">
      <c r="Z106" s="89"/>
      <c r="AA106" s="89"/>
    </row>
    <row r="107" spans="26:27" x14ac:dyDescent="0.2">
      <c r="Z107" s="89"/>
      <c r="AA107" s="89"/>
    </row>
    <row r="108" spans="26:27" x14ac:dyDescent="0.2">
      <c r="Z108" s="89"/>
      <c r="AA108" s="89"/>
    </row>
    <row r="109" spans="26:27" x14ac:dyDescent="0.2">
      <c r="Z109" s="89"/>
      <c r="AA109" s="89"/>
    </row>
    <row r="110" spans="26:27" x14ac:dyDescent="0.2">
      <c r="Z110" s="89"/>
      <c r="AA110" s="89"/>
    </row>
    <row r="111" spans="26:27" x14ac:dyDescent="0.2">
      <c r="Z111" s="89"/>
      <c r="AA111" s="89"/>
    </row>
    <row r="112" spans="26:27" x14ac:dyDescent="0.2">
      <c r="Z112" s="89"/>
      <c r="AA112" s="89"/>
    </row>
    <row r="113" spans="26:27" x14ac:dyDescent="0.2">
      <c r="Z113" s="89"/>
      <c r="AA113" s="89"/>
    </row>
    <row r="114" spans="26:27" x14ac:dyDescent="0.2">
      <c r="Z114" s="89"/>
      <c r="AA114" s="89"/>
    </row>
    <row r="115" spans="26:27" x14ac:dyDescent="0.2">
      <c r="Z115" s="89"/>
      <c r="AA115" s="89"/>
    </row>
    <row r="116" spans="26:27" x14ac:dyDescent="0.2">
      <c r="Z116" s="89"/>
      <c r="AA116" s="89"/>
    </row>
    <row r="117" spans="26:27" x14ac:dyDescent="0.2">
      <c r="Z117" s="89"/>
      <c r="AA117" s="89"/>
    </row>
    <row r="118" spans="26:27" x14ac:dyDescent="0.2">
      <c r="Z118" s="89"/>
      <c r="AA118" s="89"/>
    </row>
    <row r="119" spans="26:27" x14ac:dyDescent="0.2">
      <c r="Z119" s="89"/>
      <c r="AA119" s="89"/>
    </row>
    <row r="120" spans="26:27" x14ac:dyDescent="0.2">
      <c r="Z120" s="89"/>
      <c r="AA120" s="89"/>
    </row>
    <row r="121" spans="26:27" x14ac:dyDescent="0.2">
      <c r="Z121" s="89"/>
      <c r="AA121" s="89"/>
    </row>
    <row r="122" spans="26:27" x14ac:dyDescent="0.2">
      <c r="Z122" s="89"/>
      <c r="AA122" s="89"/>
    </row>
    <row r="123" spans="26:27" x14ac:dyDescent="0.2">
      <c r="Z123" s="89"/>
      <c r="AA123" s="89"/>
    </row>
    <row r="124" spans="26:27" x14ac:dyDescent="0.2">
      <c r="Z124" s="89"/>
      <c r="AA124" s="89"/>
    </row>
    <row r="125" spans="26:27" x14ac:dyDescent="0.2">
      <c r="Z125" s="89"/>
      <c r="AA125" s="89"/>
    </row>
    <row r="126" spans="26:27" x14ac:dyDescent="0.2">
      <c r="Z126" s="89"/>
      <c r="AA126" s="89"/>
    </row>
    <row r="127" spans="26:27" x14ac:dyDescent="0.2">
      <c r="Z127" s="89"/>
      <c r="AA127" s="89"/>
    </row>
    <row r="128" spans="26:27" x14ac:dyDescent="0.2">
      <c r="Z128" s="89"/>
      <c r="AA128" s="89"/>
    </row>
    <row r="129" spans="26:27" x14ac:dyDescent="0.2">
      <c r="Z129" s="89"/>
      <c r="AA129" s="89"/>
    </row>
    <row r="130" spans="26:27" x14ac:dyDescent="0.2">
      <c r="Z130" s="89"/>
      <c r="AA130" s="89"/>
    </row>
    <row r="131" spans="26:27" x14ac:dyDescent="0.2">
      <c r="Z131" s="89"/>
      <c r="AA131" s="89"/>
    </row>
    <row r="132" spans="26:27" x14ac:dyDescent="0.2">
      <c r="Z132" s="89"/>
      <c r="AA132" s="89"/>
    </row>
    <row r="133" spans="26:27" x14ac:dyDescent="0.2">
      <c r="Z133" s="89"/>
      <c r="AA133" s="89"/>
    </row>
    <row r="134" spans="26:27" x14ac:dyDescent="0.2">
      <c r="Z134" s="89"/>
      <c r="AA134" s="89"/>
    </row>
    <row r="135" spans="26:27" x14ac:dyDescent="0.2">
      <c r="Z135" s="89"/>
      <c r="AA135" s="89"/>
    </row>
    <row r="136" spans="26:27" x14ac:dyDescent="0.2">
      <c r="Z136" s="89"/>
      <c r="AA136" s="89"/>
    </row>
    <row r="137" spans="26:27" x14ac:dyDescent="0.2">
      <c r="Z137" s="94"/>
      <c r="AA137" s="94"/>
    </row>
    <row r="138" spans="26:27" ht="15" x14ac:dyDescent="0.2">
      <c r="Z138" s="33"/>
      <c r="AA138"/>
    </row>
  </sheetData>
  <mergeCells count="81">
    <mergeCell ref="Z137:AA137"/>
    <mergeCell ref="Z132:AA132"/>
    <mergeCell ref="Z133:AA133"/>
    <mergeCell ref="Z134:AA134"/>
    <mergeCell ref="Z135:AA135"/>
    <mergeCell ref="Z136:AA136"/>
    <mergeCell ref="Z127:AA127"/>
    <mergeCell ref="Z128:AA128"/>
    <mergeCell ref="Z129:AA129"/>
    <mergeCell ref="Z130:AA130"/>
    <mergeCell ref="Z131:AA131"/>
    <mergeCell ref="Z122:AA122"/>
    <mergeCell ref="Z123:AA123"/>
    <mergeCell ref="Z124:AA124"/>
    <mergeCell ref="Z125:AA125"/>
    <mergeCell ref="Z126:AA126"/>
    <mergeCell ref="Z117:AA117"/>
    <mergeCell ref="Z118:AA118"/>
    <mergeCell ref="Z119:AA119"/>
    <mergeCell ref="Z120:AA120"/>
    <mergeCell ref="Z121:AA121"/>
    <mergeCell ref="Z112:AA112"/>
    <mergeCell ref="Z113:AA113"/>
    <mergeCell ref="Z114:AA114"/>
    <mergeCell ref="Z115:AA115"/>
    <mergeCell ref="Z116:AA116"/>
    <mergeCell ref="Z107:AA107"/>
    <mergeCell ref="Z108:AA108"/>
    <mergeCell ref="Z109:AA109"/>
    <mergeCell ref="Z110:AA110"/>
    <mergeCell ref="Z111:AA111"/>
    <mergeCell ref="Z102:AA102"/>
    <mergeCell ref="Z103:AA103"/>
    <mergeCell ref="Z104:AA104"/>
    <mergeCell ref="Z105:AA105"/>
    <mergeCell ref="Z106:AA106"/>
    <mergeCell ref="Z97:AA97"/>
    <mergeCell ref="Z98:AA98"/>
    <mergeCell ref="Z99:AA99"/>
    <mergeCell ref="Z100:AA100"/>
    <mergeCell ref="Z101:AA101"/>
    <mergeCell ref="Z92:AA92"/>
    <mergeCell ref="Z93:AA93"/>
    <mergeCell ref="Z94:AA94"/>
    <mergeCell ref="Z95:AA95"/>
    <mergeCell ref="Z96:AA96"/>
    <mergeCell ref="Z87:AA87"/>
    <mergeCell ref="Z88:AA88"/>
    <mergeCell ref="Z89:AA89"/>
    <mergeCell ref="Z90:AA90"/>
    <mergeCell ref="Z91:AA91"/>
    <mergeCell ref="Z82:AA82"/>
    <mergeCell ref="Z83:AA83"/>
    <mergeCell ref="Z84:AA84"/>
    <mergeCell ref="Z85:AA85"/>
    <mergeCell ref="Z86:AA86"/>
    <mergeCell ref="Z77:AA77"/>
    <mergeCell ref="Z78:AA78"/>
    <mergeCell ref="Z79:AA79"/>
    <mergeCell ref="Z80:AA80"/>
    <mergeCell ref="Z81:AA81"/>
    <mergeCell ref="Z71:AA71"/>
    <mergeCell ref="Z73:AA73"/>
    <mergeCell ref="Z74:AA74"/>
    <mergeCell ref="Z75:AA75"/>
    <mergeCell ref="Z76:AA76"/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38" activePane="bottomRight" state="frozen"/>
      <selection pane="topRight" activeCell="B1" sqref="B1"/>
      <selection pane="bottomLeft" activeCell="A2" sqref="A2"/>
      <selection pane="bottomRight" activeCell="L23" sqref="L23"/>
    </sheetView>
  </sheetViews>
  <sheetFormatPr defaultColWidth="9.140625" defaultRowHeight="12.75" x14ac:dyDescent="0.2"/>
  <cols>
    <col min="1" max="1" width="19.140625" style="11" bestFit="1" customWidth="1"/>
    <col min="2" max="7" width="12.7109375" style="10" customWidth="1"/>
    <col min="8" max="8" width="9.85546875" style="11" bestFit="1" customWidth="1"/>
    <col min="9" max="9" width="16.7109375" style="11" customWidth="1"/>
    <col min="10" max="11" width="9.140625" style="11"/>
    <col min="12" max="17" width="9.5703125" style="11" bestFit="1" customWidth="1"/>
    <col min="18" max="16384" width="9.140625" style="11"/>
  </cols>
  <sheetData>
    <row r="1" spans="1:8" x14ac:dyDescent="0.2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8" x14ac:dyDescent="0.2">
      <c r="A2" s="11" t="s">
        <v>1</v>
      </c>
      <c r="B2" s="11">
        <v>6279</v>
      </c>
      <c r="C2" s="11">
        <v>10651</v>
      </c>
      <c r="D2" s="11">
        <v>10889</v>
      </c>
      <c r="E2" s="11">
        <v>10065</v>
      </c>
      <c r="F2" s="11">
        <v>13755</v>
      </c>
      <c r="G2" s="11">
        <v>14071</v>
      </c>
      <c r="H2" s="11">
        <v>11001</v>
      </c>
    </row>
    <row r="3" spans="1:8" x14ac:dyDescent="0.2">
      <c r="A3" s="11" t="s">
        <v>2</v>
      </c>
      <c r="B3" s="11">
        <v>79711</v>
      </c>
      <c r="C3" s="11">
        <v>172426</v>
      </c>
      <c r="D3" s="11">
        <v>162099</v>
      </c>
      <c r="E3" s="11">
        <v>123457</v>
      </c>
      <c r="F3" s="11">
        <v>131587</v>
      </c>
      <c r="G3" s="11">
        <v>139479</v>
      </c>
      <c r="H3" s="11">
        <v>109144</v>
      </c>
    </row>
    <row r="4" spans="1:8" x14ac:dyDescent="0.2">
      <c r="A4" s="11" t="s">
        <v>3</v>
      </c>
      <c r="B4" s="11">
        <v>3117</v>
      </c>
      <c r="C4" s="11">
        <v>5608</v>
      </c>
      <c r="D4" s="11">
        <v>6142</v>
      </c>
      <c r="E4" s="11">
        <v>6390</v>
      </c>
      <c r="F4" s="11">
        <v>7720</v>
      </c>
      <c r="G4" s="11">
        <v>8248</v>
      </c>
      <c r="H4" s="11">
        <v>6358</v>
      </c>
    </row>
    <row r="5" spans="1:8" x14ac:dyDescent="0.2">
      <c r="A5" s="11" t="s">
        <v>4</v>
      </c>
      <c r="B5" s="11">
        <v>7516</v>
      </c>
      <c r="C5" s="11">
        <v>16048</v>
      </c>
      <c r="D5" s="11">
        <v>17882</v>
      </c>
      <c r="E5" s="11">
        <v>16298</v>
      </c>
      <c r="F5" s="11">
        <v>19530</v>
      </c>
      <c r="G5" s="11">
        <v>21037</v>
      </c>
      <c r="H5" s="11">
        <v>15783</v>
      </c>
    </row>
    <row r="6" spans="1:8" x14ac:dyDescent="0.2">
      <c r="A6" s="11" t="s">
        <v>5</v>
      </c>
      <c r="B6" s="11">
        <v>2226</v>
      </c>
      <c r="C6" s="11">
        <v>4241</v>
      </c>
      <c r="D6" s="11">
        <v>4467</v>
      </c>
      <c r="E6" s="11">
        <v>4785</v>
      </c>
      <c r="F6" s="11">
        <v>6048</v>
      </c>
      <c r="G6" s="11">
        <v>6354</v>
      </c>
      <c r="H6" s="11">
        <v>4920</v>
      </c>
    </row>
    <row r="7" spans="1:8" x14ac:dyDescent="0.2">
      <c r="A7" s="11" t="s">
        <v>6</v>
      </c>
      <c r="B7" s="11">
        <v>23396</v>
      </c>
      <c r="C7" s="11">
        <v>41941</v>
      </c>
      <c r="D7" s="11">
        <v>44020</v>
      </c>
      <c r="E7" s="11">
        <v>40649</v>
      </c>
      <c r="F7" s="11">
        <v>47601</v>
      </c>
      <c r="G7" s="11">
        <v>43033</v>
      </c>
      <c r="H7" s="11">
        <v>33835</v>
      </c>
    </row>
    <row r="8" spans="1:8" x14ac:dyDescent="0.2">
      <c r="A8" s="11" t="s">
        <v>7</v>
      </c>
      <c r="B8" s="11">
        <v>6190</v>
      </c>
      <c r="C8" s="11">
        <v>11311</v>
      </c>
      <c r="D8" s="11">
        <v>12297</v>
      </c>
      <c r="E8" s="11">
        <v>12177</v>
      </c>
      <c r="F8" s="11">
        <v>13627</v>
      </c>
      <c r="G8" s="11">
        <v>13994</v>
      </c>
      <c r="H8" s="11">
        <v>11958</v>
      </c>
    </row>
    <row r="9" spans="1:8" x14ac:dyDescent="0.2">
      <c r="A9" s="11" t="s">
        <v>8</v>
      </c>
      <c r="B9" s="11">
        <v>2918</v>
      </c>
      <c r="C9" s="11">
        <v>5279</v>
      </c>
      <c r="D9" s="11">
        <v>5764</v>
      </c>
      <c r="E9" s="11">
        <v>5393</v>
      </c>
      <c r="F9" s="11">
        <v>6982</v>
      </c>
      <c r="G9" s="11">
        <v>6903</v>
      </c>
      <c r="H9" s="11">
        <v>5658</v>
      </c>
    </row>
    <row r="10" spans="1:8" x14ac:dyDescent="0.2">
      <c r="A10" s="11" t="s">
        <v>9</v>
      </c>
      <c r="B10" s="11">
        <v>39583</v>
      </c>
      <c r="C10" s="11">
        <v>68406</v>
      </c>
      <c r="D10" s="11">
        <v>73790</v>
      </c>
      <c r="E10" s="11">
        <v>71068</v>
      </c>
      <c r="F10" s="11">
        <v>86673</v>
      </c>
      <c r="G10" s="11">
        <v>82361</v>
      </c>
      <c r="H10" s="11">
        <v>62846</v>
      </c>
    </row>
    <row r="11" spans="1:8" x14ac:dyDescent="0.2">
      <c r="A11" s="11" t="s">
        <v>10</v>
      </c>
      <c r="B11" s="11">
        <v>11212</v>
      </c>
      <c r="C11" s="11">
        <v>20556</v>
      </c>
      <c r="D11" s="11">
        <v>22635</v>
      </c>
      <c r="E11" s="11">
        <v>20874</v>
      </c>
      <c r="F11" s="11">
        <v>25066</v>
      </c>
      <c r="G11" s="11">
        <v>24612</v>
      </c>
      <c r="H11" s="11">
        <v>18893</v>
      </c>
    </row>
    <row r="12" spans="1:8" x14ac:dyDescent="0.2">
      <c r="A12" s="11" t="s">
        <v>11</v>
      </c>
      <c r="B12" s="11">
        <v>6256</v>
      </c>
      <c r="C12" s="11">
        <v>11181</v>
      </c>
      <c r="D12" s="11">
        <v>12044</v>
      </c>
      <c r="E12" s="11">
        <v>12609</v>
      </c>
      <c r="F12" s="11">
        <v>14480</v>
      </c>
      <c r="G12" s="11">
        <v>16355</v>
      </c>
      <c r="H12" s="11">
        <v>12926</v>
      </c>
    </row>
    <row r="13" spans="1:8" x14ac:dyDescent="0.2">
      <c r="A13" s="11" t="s">
        <v>12</v>
      </c>
      <c r="B13" s="11">
        <v>144</v>
      </c>
      <c r="C13" s="11">
        <v>294</v>
      </c>
      <c r="D13" s="11">
        <v>363</v>
      </c>
      <c r="E13" s="11">
        <v>347</v>
      </c>
      <c r="F13" s="11">
        <v>543</v>
      </c>
      <c r="G13" s="11">
        <v>660</v>
      </c>
      <c r="H13" s="11">
        <v>529</v>
      </c>
    </row>
    <row r="14" spans="1:8" x14ac:dyDescent="0.2">
      <c r="A14" s="11" t="s">
        <v>13</v>
      </c>
      <c r="B14" s="11">
        <v>3149</v>
      </c>
      <c r="C14" s="11">
        <v>6166</v>
      </c>
      <c r="D14" s="11">
        <v>6820</v>
      </c>
      <c r="E14" s="11">
        <v>6845</v>
      </c>
      <c r="F14" s="11">
        <v>8609</v>
      </c>
      <c r="G14" s="11">
        <v>8306</v>
      </c>
      <c r="H14" s="11">
        <v>5872</v>
      </c>
    </row>
    <row r="15" spans="1:8" x14ac:dyDescent="0.2">
      <c r="A15" s="11" t="s">
        <v>14</v>
      </c>
      <c r="B15" s="11">
        <v>17495</v>
      </c>
      <c r="C15" s="11">
        <v>19453</v>
      </c>
      <c r="D15" s="11">
        <v>13799</v>
      </c>
      <c r="E15" s="11">
        <v>12362</v>
      </c>
      <c r="F15" s="11">
        <v>13887</v>
      </c>
      <c r="G15" s="11">
        <v>13544</v>
      </c>
      <c r="H15" s="11">
        <v>11498</v>
      </c>
    </row>
    <row r="16" spans="1:8" x14ac:dyDescent="0.2">
      <c r="A16" s="11" t="s">
        <v>15</v>
      </c>
      <c r="B16" s="11">
        <v>36751</v>
      </c>
      <c r="C16" s="11">
        <v>60773</v>
      </c>
      <c r="D16" s="11">
        <v>60195</v>
      </c>
      <c r="E16" s="11">
        <v>58890</v>
      </c>
      <c r="F16" s="11">
        <v>66649</v>
      </c>
      <c r="G16" s="11">
        <v>59758</v>
      </c>
      <c r="H16" s="11">
        <v>46427</v>
      </c>
    </row>
    <row r="17" spans="1:8" x14ac:dyDescent="0.2">
      <c r="A17" s="11" t="s">
        <v>16</v>
      </c>
      <c r="B17" s="11">
        <v>1658</v>
      </c>
      <c r="C17" s="11">
        <v>3066</v>
      </c>
      <c r="D17" s="11">
        <v>3284</v>
      </c>
      <c r="E17" s="11">
        <v>3391</v>
      </c>
      <c r="F17" s="11">
        <v>4210</v>
      </c>
      <c r="G17" s="11">
        <v>4295</v>
      </c>
      <c r="H17" s="11">
        <v>3377</v>
      </c>
    </row>
    <row r="18" spans="1:8" x14ac:dyDescent="0.2">
      <c r="A18" s="11" t="s">
        <v>17</v>
      </c>
      <c r="B18" s="11">
        <v>3331</v>
      </c>
      <c r="C18" s="11">
        <v>6431</v>
      </c>
      <c r="D18" s="11">
        <v>7096</v>
      </c>
      <c r="E18" s="11">
        <v>7471</v>
      </c>
      <c r="F18" s="11">
        <v>9114</v>
      </c>
      <c r="G18" s="11">
        <v>9002</v>
      </c>
      <c r="H18" s="11">
        <v>7100</v>
      </c>
    </row>
    <row r="19" spans="1:8" x14ac:dyDescent="0.2">
      <c r="A19" s="11" t="s">
        <v>18</v>
      </c>
      <c r="B19" s="11">
        <v>1706</v>
      </c>
      <c r="C19" s="11">
        <v>3299</v>
      </c>
      <c r="D19" s="11">
        <v>3278</v>
      </c>
      <c r="E19" s="11">
        <v>3331</v>
      </c>
      <c r="F19" s="11">
        <v>3826</v>
      </c>
      <c r="G19" s="11">
        <v>3958</v>
      </c>
      <c r="H19" s="11">
        <v>3101</v>
      </c>
    </row>
    <row r="20" spans="1:8" x14ac:dyDescent="0.2">
      <c r="A20" s="11" t="s">
        <v>19</v>
      </c>
      <c r="B20" s="11">
        <v>3759</v>
      </c>
      <c r="C20" s="11">
        <v>5944</v>
      </c>
      <c r="D20" s="11">
        <v>5894</v>
      </c>
      <c r="E20" s="11">
        <v>5774</v>
      </c>
      <c r="F20" s="11">
        <v>6718</v>
      </c>
      <c r="G20" s="11">
        <v>6983</v>
      </c>
      <c r="H20" s="11">
        <v>5514</v>
      </c>
    </row>
    <row r="21" spans="1:8" x14ac:dyDescent="0.2">
      <c r="A21" s="11" t="s">
        <v>20</v>
      </c>
      <c r="B21" s="11">
        <v>3877</v>
      </c>
      <c r="C21" s="11">
        <v>6983</v>
      </c>
      <c r="D21" s="11">
        <v>7469</v>
      </c>
      <c r="E21" s="11">
        <v>7345</v>
      </c>
      <c r="F21" s="11">
        <v>9298</v>
      </c>
      <c r="G21" s="11">
        <v>9773</v>
      </c>
      <c r="H21" s="11">
        <v>8169</v>
      </c>
    </row>
    <row r="22" spans="1:8" x14ac:dyDescent="0.2">
      <c r="A22" s="11" t="s">
        <v>21</v>
      </c>
      <c r="B22" s="11">
        <v>16042</v>
      </c>
      <c r="C22" s="11">
        <v>28192</v>
      </c>
      <c r="D22" s="11">
        <v>30236</v>
      </c>
      <c r="E22" s="11">
        <v>27369</v>
      </c>
      <c r="F22" s="11">
        <v>29175</v>
      </c>
      <c r="G22" s="11">
        <v>28214</v>
      </c>
      <c r="H22" s="11">
        <v>24526</v>
      </c>
    </row>
    <row r="23" spans="1:8" x14ac:dyDescent="0.2">
      <c r="A23" s="11" t="s">
        <v>22</v>
      </c>
      <c r="B23" s="11">
        <v>17063</v>
      </c>
      <c r="C23" s="11">
        <v>34656</v>
      </c>
      <c r="D23" s="11">
        <v>34799</v>
      </c>
      <c r="E23" s="11">
        <v>30018</v>
      </c>
      <c r="F23" s="11">
        <v>32492</v>
      </c>
      <c r="G23" s="11">
        <v>30403</v>
      </c>
      <c r="H23" s="11">
        <v>21876</v>
      </c>
    </row>
    <row r="24" spans="1:8" x14ac:dyDescent="0.2">
      <c r="A24" s="11" t="s">
        <v>23</v>
      </c>
      <c r="B24" s="11">
        <v>37770</v>
      </c>
      <c r="C24" s="11">
        <v>66355</v>
      </c>
      <c r="D24" s="11">
        <v>72636</v>
      </c>
      <c r="E24" s="11">
        <v>60853</v>
      </c>
      <c r="F24" s="11">
        <v>65292</v>
      </c>
      <c r="G24" s="11">
        <v>62041</v>
      </c>
      <c r="H24" s="11">
        <v>45993</v>
      </c>
    </row>
    <row r="25" spans="1:8" x14ac:dyDescent="0.2">
      <c r="A25" s="11" t="s">
        <v>24</v>
      </c>
      <c r="B25" s="11">
        <v>1462</v>
      </c>
      <c r="C25" s="11">
        <v>2538</v>
      </c>
      <c r="D25" s="11">
        <v>2751</v>
      </c>
      <c r="E25" s="11">
        <v>2827</v>
      </c>
      <c r="F25" s="11">
        <v>3909</v>
      </c>
      <c r="G25" s="11">
        <v>3933</v>
      </c>
      <c r="H25" s="11">
        <v>3019</v>
      </c>
    </row>
    <row r="26" spans="1:8" x14ac:dyDescent="0.2">
      <c r="A26" s="11" t="s">
        <v>25</v>
      </c>
      <c r="B26" s="11">
        <v>14395</v>
      </c>
      <c r="C26" s="11">
        <v>27145</v>
      </c>
      <c r="D26" s="11">
        <v>27223</v>
      </c>
      <c r="E26" s="11">
        <v>25178</v>
      </c>
      <c r="F26" s="11">
        <v>28660</v>
      </c>
      <c r="G26" s="11">
        <v>29549</v>
      </c>
      <c r="H26" s="11">
        <v>22586</v>
      </c>
    </row>
    <row r="27" spans="1:8" x14ac:dyDescent="0.2">
      <c r="A27" s="11" t="s">
        <v>26</v>
      </c>
      <c r="B27" s="11">
        <v>5046</v>
      </c>
      <c r="C27" s="11">
        <v>10730</v>
      </c>
      <c r="D27" s="11">
        <v>11628</v>
      </c>
      <c r="E27" s="11">
        <v>12078</v>
      </c>
      <c r="F27" s="11">
        <v>14047</v>
      </c>
      <c r="G27" s="11">
        <v>14659</v>
      </c>
      <c r="H27" s="11">
        <v>11329</v>
      </c>
    </row>
    <row r="28" spans="1:8" x14ac:dyDescent="0.2">
      <c r="A28" s="11" t="s">
        <v>27</v>
      </c>
      <c r="B28" s="11">
        <v>155</v>
      </c>
      <c r="C28" s="11">
        <v>238</v>
      </c>
      <c r="D28" s="11">
        <v>307</v>
      </c>
      <c r="E28" s="11">
        <v>386</v>
      </c>
      <c r="F28" s="11">
        <v>676</v>
      </c>
      <c r="G28" s="11">
        <v>838</v>
      </c>
      <c r="H28" s="11">
        <v>652</v>
      </c>
    </row>
    <row r="29" spans="1:8" x14ac:dyDescent="0.2">
      <c r="A29" s="11" t="s">
        <v>28</v>
      </c>
      <c r="B29" s="11">
        <v>8246</v>
      </c>
      <c r="C29" s="11">
        <v>15426</v>
      </c>
      <c r="D29" s="11">
        <v>16169</v>
      </c>
      <c r="E29" s="11">
        <v>15705</v>
      </c>
      <c r="F29" s="11">
        <v>18078</v>
      </c>
      <c r="G29" s="11">
        <v>16963</v>
      </c>
      <c r="H29" s="11">
        <v>14811</v>
      </c>
    </row>
    <row r="30" spans="1:8" x14ac:dyDescent="0.2">
      <c r="A30" s="11" t="s">
        <v>29</v>
      </c>
      <c r="B30" s="11">
        <v>718</v>
      </c>
      <c r="C30" s="11">
        <v>1375</v>
      </c>
      <c r="D30" s="11">
        <v>1392</v>
      </c>
      <c r="E30" s="11">
        <v>1529</v>
      </c>
      <c r="F30" s="11">
        <v>1879</v>
      </c>
      <c r="G30" s="11">
        <v>1763</v>
      </c>
      <c r="H30" s="11">
        <v>1444</v>
      </c>
    </row>
    <row r="31" spans="1:8" x14ac:dyDescent="0.2">
      <c r="A31" s="11" t="s">
        <v>30</v>
      </c>
      <c r="B31" s="11">
        <v>1518</v>
      </c>
      <c r="C31" s="11">
        <v>2994</v>
      </c>
      <c r="D31" s="11">
        <v>3057</v>
      </c>
      <c r="E31" s="11">
        <v>3416</v>
      </c>
      <c r="F31" s="11">
        <v>3796</v>
      </c>
      <c r="G31" s="11">
        <v>3986</v>
      </c>
      <c r="H31" s="11">
        <v>3014</v>
      </c>
    </row>
    <row r="32" spans="1:8" x14ac:dyDescent="0.2">
      <c r="A32" s="11" t="s">
        <v>31</v>
      </c>
      <c r="B32" s="11">
        <v>2283</v>
      </c>
      <c r="C32" s="11">
        <v>3734</v>
      </c>
      <c r="D32" s="11">
        <v>3609</v>
      </c>
      <c r="E32" s="11">
        <v>3987</v>
      </c>
      <c r="F32" s="11">
        <v>4946</v>
      </c>
      <c r="G32" s="11">
        <v>5056</v>
      </c>
      <c r="H32" s="11">
        <v>4242</v>
      </c>
    </row>
    <row r="33" spans="1:8" x14ac:dyDescent="0.2">
      <c r="A33" s="11" t="s">
        <v>32</v>
      </c>
      <c r="B33" s="11">
        <v>4454</v>
      </c>
      <c r="C33" s="11">
        <v>6622</v>
      </c>
      <c r="D33" s="11">
        <v>6737</v>
      </c>
      <c r="E33" s="11">
        <v>6933</v>
      </c>
      <c r="F33" s="11">
        <v>8296</v>
      </c>
      <c r="G33" s="11">
        <v>8994</v>
      </c>
      <c r="H33" s="11">
        <v>7055</v>
      </c>
    </row>
    <row r="34" spans="1:8" x14ac:dyDescent="0.2">
      <c r="A34" s="11" t="s">
        <v>33</v>
      </c>
      <c r="B34" s="11">
        <v>2059</v>
      </c>
      <c r="C34" s="11">
        <v>3593</v>
      </c>
      <c r="D34" s="11">
        <v>4161</v>
      </c>
      <c r="E34" s="11">
        <v>4071</v>
      </c>
      <c r="F34" s="11">
        <v>4890</v>
      </c>
      <c r="G34" s="11">
        <v>5281</v>
      </c>
      <c r="H34" s="11">
        <v>4009</v>
      </c>
    </row>
    <row r="35" spans="1:8" x14ac:dyDescent="0.2">
      <c r="A35" s="11" t="s">
        <v>34</v>
      </c>
      <c r="B35" s="11">
        <v>931</v>
      </c>
      <c r="C35" s="11">
        <v>1768</v>
      </c>
      <c r="D35" s="11">
        <v>1998</v>
      </c>
      <c r="E35" s="11">
        <v>2116</v>
      </c>
      <c r="F35" s="11">
        <v>2605</v>
      </c>
      <c r="G35" s="11">
        <v>2564</v>
      </c>
      <c r="H35" s="11">
        <v>2086</v>
      </c>
    </row>
    <row r="36" spans="1:8" x14ac:dyDescent="0.2">
      <c r="A36" s="11" t="s">
        <v>35</v>
      </c>
      <c r="B36" s="11">
        <v>12068</v>
      </c>
      <c r="C36" s="11">
        <v>22915</v>
      </c>
      <c r="D36" s="11">
        <v>24215</v>
      </c>
      <c r="E36" s="11">
        <v>21685</v>
      </c>
      <c r="F36" s="11">
        <v>25004</v>
      </c>
      <c r="G36" s="11">
        <v>24107</v>
      </c>
      <c r="H36" s="11">
        <v>19935</v>
      </c>
    </row>
    <row r="37" spans="1:8" x14ac:dyDescent="0.2">
      <c r="A37" s="11" t="s">
        <v>36</v>
      </c>
      <c r="B37" s="11">
        <v>30506</v>
      </c>
      <c r="C37" s="11">
        <v>58913</v>
      </c>
      <c r="D37" s="11">
        <v>59641</v>
      </c>
      <c r="E37" s="11">
        <v>51147</v>
      </c>
      <c r="F37" s="11">
        <v>56732</v>
      </c>
      <c r="G37" s="11">
        <v>57561</v>
      </c>
      <c r="H37" s="11">
        <v>49951</v>
      </c>
    </row>
    <row r="38" spans="1:8" x14ac:dyDescent="0.2">
      <c r="A38" s="11" t="s">
        <v>37</v>
      </c>
      <c r="B38" s="11">
        <v>4247</v>
      </c>
      <c r="C38" s="11">
        <v>7851</v>
      </c>
      <c r="D38" s="11">
        <v>8378</v>
      </c>
      <c r="E38" s="11">
        <v>8286</v>
      </c>
      <c r="F38" s="11">
        <v>9750</v>
      </c>
      <c r="G38" s="11">
        <v>10400</v>
      </c>
      <c r="H38" s="11">
        <v>8375</v>
      </c>
    </row>
    <row r="39" spans="1:8" x14ac:dyDescent="0.2">
      <c r="A39" s="11" t="s">
        <v>38</v>
      </c>
      <c r="B39" s="11">
        <v>7244</v>
      </c>
      <c r="C39" s="11">
        <v>13133</v>
      </c>
      <c r="D39" s="11">
        <v>14491</v>
      </c>
      <c r="E39" s="11">
        <v>14090</v>
      </c>
      <c r="F39" s="11">
        <v>15919</v>
      </c>
      <c r="G39" s="11">
        <v>15687</v>
      </c>
      <c r="H39" s="11">
        <v>13584</v>
      </c>
    </row>
    <row r="40" spans="1:8" x14ac:dyDescent="0.2">
      <c r="A40" s="11" t="s">
        <v>39</v>
      </c>
      <c r="B40" s="11">
        <v>21599</v>
      </c>
      <c r="C40" s="11">
        <v>41899</v>
      </c>
      <c r="D40" s="11">
        <v>42555</v>
      </c>
      <c r="E40" s="11">
        <v>38705</v>
      </c>
      <c r="F40" s="11">
        <v>41239</v>
      </c>
      <c r="G40" s="11">
        <v>38423</v>
      </c>
      <c r="H40" s="11">
        <v>29992</v>
      </c>
    </row>
    <row r="41" spans="1:8" x14ac:dyDescent="0.2">
      <c r="A41" s="11" t="s">
        <v>40</v>
      </c>
      <c r="B41" s="11">
        <v>16041</v>
      </c>
      <c r="C41" s="11">
        <v>30916</v>
      </c>
      <c r="D41" s="11">
        <v>33377</v>
      </c>
      <c r="E41" s="11">
        <v>30680</v>
      </c>
      <c r="F41" s="11">
        <v>35939</v>
      </c>
      <c r="G41" s="11">
        <v>33413</v>
      </c>
      <c r="H41" s="11">
        <v>27449</v>
      </c>
    </row>
    <row r="42" spans="1:8" x14ac:dyDescent="0.2">
      <c r="A42" s="11" t="s">
        <v>41</v>
      </c>
      <c r="B42" s="11">
        <v>5531</v>
      </c>
      <c r="C42" s="11">
        <v>10056</v>
      </c>
      <c r="D42" s="11">
        <v>11448</v>
      </c>
      <c r="E42" s="11">
        <v>10428</v>
      </c>
      <c r="F42" s="11">
        <v>12161</v>
      </c>
      <c r="G42" s="11">
        <v>12983</v>
      </c>
      <c r="H42" s="11">
        <v>10032</v>
      </c>
    </row>
    <row r="43" spans="1:8" x14ac:dyDescent="0.2">
      <c r="A43" s="11" t="s">
        <v>91</v>
      </c>
      <c r="B43" s="11">
        <v>1802</v>
      </c>
      <c r="C43" s="11">
        <v>3306</v>
      </c>
      <c r="D43" s="11">
        <v>3680</v>
      </c>
      <c r="E43" s="11">
        <v>3758</v>
      </c>
      <c r="F43" s="11">
        <v>4555</v>
      </c>
      <c r="G43" s="11">
        <v>4637</v>
      </c>
      <c r="H43" s="11">
        <v>3569</v>
      </c>
    </row>
    <row r="44" spans="1:8" x14ac:dyDescent="0.2">
      <c r="A44" s="11" t="s">
        <v>43</v>
      </c>
      <c r="B44" s="11">
        <v>5474</v>
      </c>
      <c r="C44" s="11">
        <v>9805</v>
      </c>
      <c r="D44" s="11">
        <v>9997</v>
      </c>
      <c r="E44" s="11">
        <v>9880</v>
      </c>
      <c r="F44" s="11">
        <v>12340</v>
      </c>
      <c r="G44" s="11">
        <v>13464</v>
      </c>
      <c r="H44" s="11">
        <v>10909</v>
      </c>
    </row>
    <row r="45" spans="1:8" x14ac:dyDescent="0.2">
      <c r="A45" s="11" t="s">
        <v>44</v>
      </c>
      <c r="B45" s="11">
        <v>1729</v>
      </c>
      <c r="C45" s="11">
        <v>3642</v>
      </c>
      <c r="D45" s="11">
        <v>3895</v>
      </c>
      <c r="E45" s="11">
        <v>3912</v>
      </c>
      <c r="F45" s="11">
        <v>5008</v>
      </c>
      <c r="G45" s="11">
        <v>4768</v>
      </c>
      <c r="H45" s="11">
        <v>4190</v>
      </c>
    </row>
    <row r="46" spans="1:8" x14ac:dyDescent="0.2">
      <c r="A46" s="11" t="s">
        <v>45</v>
      </c>
      <c r="B46" s="11">
        <v>9634</v>
      </c>
      <c r="C46" s="11">
        <v>17534</v>
      </c>
      <c r="D46" s="11">
        <v>17781</v>
      </c>
      <c r="E46" s="11">
        <v>17462</v>
      </c>
      <c r="F46" s="11">
        <v>22504</v>
      </c>
      <c r="G46" s="11">
        <v>20328</v>
      </c>
      <c r="H46" s="11">
        <v>12447</v>
      </c>
    </row>
    <row r="47" spans="1:8" x14ac:dyDescent="0.2">
      <c r="A47" s="11" t="s">
        <v>46</v>
      </c>
      <c r="B47" s="11">
        <v>53746</v>
      </c>
      <c r="C47" s="11">
        <v>96917</v>
      </c>
      <c r="D47" s="11">
        <v>105079</v>
      </c>
      <c r="E47" s="11">
        <v>93714</v>
      </c>
      <c r="F47" s="11">
        <v>101507</v>
      </c>
      <c r="G47" s="11">
        <v>95520</v>
      </c>
      <c r="H47" s="11">
        <v>77750</v>
      </c>
    </row>
    <row r="48" spans="1:8" x14ac:dyDescent="0.2">
      <c r="A48" s="11" t="s">
        <v>47</v>
      </c>
      <c r="B48" s="11">
        <v>814</v>
      </c>
      <c r="C48" s="11">
        <v>1878</v>
      </c>
      <c r="D48" s="11">
        <v>2021</v>
      </c>
      <c r="E48" s="11">
        <v>1647</v>
      </c>
      <c r="F48" s="11">
        <v>1978</v>
      </c>
      <c r="G48" s="11">
        <v>2171</v>
      </c>
      <c r="H48" s="11">
        <v>1853</v>
      </c>
    </row>
    <row r="49" spans="1:8" x14ac:dyDescent="0.2">
      <c r="A49" s="11" t="s">
        <v>48</v>
      </c>
      <c r="B49" s="11">
        <v>22597</v>
      </c>
      <c r="C49" s="11">
        <v>36910</v>
      </c>
      <c r="D49" s="11">
        <v>35906</v>
      </c>
      <c r="E49" s="11">
        <v>33154</v>
      </c>
      <c r="F49" s="11">
        <v>38481</v>
      </c>
      <c r="G49" s="11">
        <v>36439</v>
      </c>
      <c r="H49" s="11">
        <v>29064</v>
      </c>
    </row>
    <row r="50" spans="1:8" x14ac:dyDescent="0.2">
      <c r="A50" s="11" t="s">
        <v>49</v>
      </c>
      <c r="B50" s="11">
        <v>3637</v>
      </c>
      <c r="C50" s="11">
        <v>7190</v>
      </c>
      <c r="D50" s="11">
        <v>8563</v>
      </c>
      <c r="E50" s="11">
        <v>8215</v>
      </c>
      <c r="F50" s="11">
        <v>9664</v>
      </c>
      <c r="G50" s="11">
        <v>10029</v>
      </c>
      <c r="H50" s="11">
        <v>8019</v>
      </c>
    </row>
    <row r="51" spans="1:8" x14ac:dyDescent="0.2">
      <c r="A51" s="11" t="s">
        <v>50</v>
      </c>
      <c r="B51" s="11">
        <v>2346</v>
      </c>
      <c r="C51" s="11">
        <v>4343</v>
      </c>
      <c r="D51" s="11">
        <v>4870</v>
      </c>
      <c r="E51" s="11">
        <v>4741</v>
      </c>
      <c r="F51" s="11">
        <v>5816</v>
      </c>
      <c r="G51" s="11">
        <v>5362</v>
      </c>
      <c r="H51" s="11">
        <v>3767</v>
      </c>
    </row>
    <row r="52" spans="1:8" x14ac:dyDescent="0.2">
      <c r="A52" s="11" t="s">
        <v>51</v>
      </c>
      <c r="B52" s="11">
        <v>100719</v>
      </c>
      <c r="C52" s="11">
        <v>259067</v>
      </c>
      <c r="D52" s="11">
        <v>222577</v>
      </c>
      <c r="E52" s="11">
        <v>144402</v>
      </c>
      <c r="F52" s="11">
        <v>144575</v>
      </c>
      <c r="G52" s="11">
        <v>127129</v>
      </c>
      <c r="H52" s="11">
        <v>92186</v>
      </c>
    </row>
    <row r="53" spans="1:8" x14ac:dyDescent="0.2">
      <c r="A53" s="11" t="s">
        <v>52</v>
      </c>
      <c r="B53" s="11">
        <v>3145</v>
      </c>
      <c r="C53" s="11">
        <v>5964</v>
      </c>
      <c r="D53" s="11">
        <v>6504</v>
      </c>
      <c r="E53" s="11">
        <v>6632</v>
      </c>
      <c r="F53" s="11">
        <v>9543</v>
      </c>
      <c r="G53" s="11">
        <v>9240</v>
      </c>
      <c r="H53" s="11">
        <v>6387</v>
      </c>
    </row>
    <row r="54" spans="1:8" x14ac:dyDescent="0.2">
      <c r="A54" s="11" t="s">
        <v>53</v>
      </c>
      <c r="B54" s="11">
        <v>732</v>
      </c>
      <c r="C54" s="11">
        <v>1261</v>
      </c>
      <c r="D54" s="11">
        <v>1475</v>
      </c>
      <c r="E54" s="11">
        <v>1494</v>
      </c>
      <c r="F54" s="11">
        <v>2031</v>
      </c>
      <c r="G54" s="11">
        <v>2229</v>
      </c>
      <c r="H54" s="11">
        <v>1765</v>
      </c>
    </row>
    <row r="55" spans="1:8" x14ac:dyDescent="0.2">
      <c r="A55" s="11" t="s">
        <v>54</v>
      </c>
      <c r="B55" s="11">
        <v>6849</v>
      </c>
      <c r="C55" s="11">
        <v>12494</v>
      </c>
      <c r="D55" s="11">
        <v>13877</v>
      </c>
      <c r="E55" s="11">
        <v>14194</v>
      </c>
      <c r="F55" s="11">
        <v>16652</v>
      </c>
      <c r="G55" s="11">
        <v>16141</v>
      </c>
      <c r="H55" s="11">
        <v>12272</v>
      </c>
    </row>
    <row r="56" spans="1:8" x14ac:dyDescent="0.2">
      <c r="A56" s="11" t="s">
        <v>55</v>
      </c>
      <c r="B56" s="11">
        <v>2210</v>
      </c>
      <c r="C56" s="11">
        <v>3206</v>
      </c>
      <c r="D56" s="11">
        <v>3477</v>
      </c>
      <c r="E56" s="11">
        <v>3437</v>
      </c>
      <c r="F56" s="11">
        <v>4142</v>
      </c>
      <c r="G56" s="11">
        <v>3980</v>
      </c>
      <c r="H56" s="11">
        <v>3394</v>
      </c>
    </row>
    <row r="57" spans="1:8" x14ac:dyDescent="0.2">
      <c r="A57" s="11" t="s">
        <v>56</v>
      </c>
      <c r="B57" s="11">
        <v>3241</v>
      </c>
      <c r="C57" s="11">
        <v>5998</v>
      </c>
      <c r="D57" s="11">
        <v>6771</v>
      </c>
      <c r="E57" s="11">
        <v>7052</v>
      </c>
      <c r="F57" s="11">
        <v>8566</v>
      </c>
      <c r="G57" s="11">
        <v>9370</v>
      </c>
      <c r="H57" s="11">
        <v>7481</v>
      </c>
    </row>
    <row r="58" spans="1:8" x14ac:dyDescent="0.2">
      <c r="A58" s="11" t="s">
        <v>57</v>
      </c>
      <c r="B58" s="11">
        <v>248</v>
      </c>
      <c r="C58" s="11">
        <v>416</v>
      </c>
      <c r="D58" s="11">
        <v>559</v>
      </c>
      <c r="E58" s="11">
        <v>562</v>
      </c>
      <c r="F58" s="11">
        <v>804</v>
      </c>
      <c r="G58" s="11">
        <v>1077</v>
      </c>
      <c r="H58" s="11">
        <v>793</v>
      </c>
    </row>
    <row r="59" spans="1:8" x14ac:dyDescent="0.2">
      <c r="A59" s="11" t="s">
        <v>58</v>
      </c>
      <c r="B59" s="11">
        <v>1852</v>
      </c>
      <c r="C59" s="11">
        <v>3547</v>
      </c>
      <c r="D59" s="11">
        <v>3940</v>
      </c>
      <c r="E59" s="11">
        <v>3672</v>
      </c>
      <c r="F59" s="11">
        <v>4993</v>
      </c>
      <c r="G59" s="11">
        <v>5303</v>
      </c>
      <c r="H59" s="11">
        <v>4188</v>
      </c>
    </row>
    <row r="60" spans="1:8" x14ac:dyDescent="0.2">
      <c r="A60" s="11" t="s">
        <v>59</v>
      </c>
      <c r="B60" s="11">
        <v>1861</v>
      </c>
      <c r="C60" s="11">
        <v>3290</v>
      </c>
      <c r="D60" s="11">
        <v>3914</v>
      </c>
      <c r="E60" s="11">
        <v>3751</v>
      </c>
      <c r="F60" s="11">
        <v>4745</v>
      </c>
      <c r="G60" s="11">
        <v>5074</v>
      </c>
      <c r="H60" s="11">
        <v>4165</v>
      </c>
    </row>
    <row r="61" spans="1:8" x14ac:dyDescent="0.2">
      <c r="A61" s="11" t="s">
        <v>60</v>
      </c>
      <c r="B61" s="11">
        <v>3686</v>
      </c>
      <c r="C61" s="11">
        <v>4068</v>
      </c>
      <c r="D61" s="11">
        <v>3651</v>
      </c>
      <c r="E61" s="11">
        <v>3442</v>
      </c>
      <c r="F61" s="11">
        <v>3993</v>
      </c>
      <c r="G61" s="11">
        <v>3889</v>
      </c>
      <c r="H61" s="11">
        <v>3753</v>
      </c>
    </row>
    <row r="62" spans="1:8" x14ac:dyDescent="0.2">
      <c r="A62" s="11" t="s">
        <v>61</v>
      </c>
      <c r="B62" s="11">
        <v>2209</v>
      </c>
      <c r="C62" s="11">
        <v>3933</v>
      </c>
      <c r="D62" s="11">
        <v>4672</v>
      </c>
      <c r="E62" s="11">
        <v>4772</v>
      </c>
      <c r="F62" s="11">
        <v>5686</v>
      </c>
      <c r="G62" s="11">
        <v>6599</v>
      </c>
      <c r="H62" s="11">
        <v>4942</v>
      </c>
    </row>
    <row r="63" spans="1:8" x14ac:dyDescent="0.2">
      <c r="A63" s="11" t="s">
        <v>62</v>
      </c>
      <c r="B63" s="11">
        <v>1711</v>
      </c>
      <c r="C63" s="11">
        <v>3049</v>
      </c>
      <c r="D63" s="11">
        <v>3619</v>
      </c>
      <c r="E63" s="11">
        <v>3500</v>
      </c>
      <c r="F63" s="11">
        <v>4672</v>
      </c>
      <c r="G63" s="11">
        <v>5035</v>
      </c>
      <c r="H63" s="11">
        <v>3828</v>
      </c>
    </row>
    <row r="64" spans="1:8" x14ac:dyDescent="0.2">
      <c r="A64" s="11" t="s">
        <v>63</v>
      </c>
      <c r="B64" s="11">
        <v>10358</v>
      </c>
      <c r="C64" s="11">
        <v>19666</v>
      </c>
      <c r="D64" s="11">
        <v>22507</v>
      </c>
      <c r="E64" s="11">
        <v>21269</v>
      </c>
      <c r="F64" s="11">
        <v>25036</v>
      </c>
      <c r="G64" s="11">
        <v>26083</v>
      </c>
      <c r="H64" s="11">
        <v>20060</v>
      </c>
    </row>
    <row r="65" spans="1:8" x14ac:dyDescent="0.2">
      <c r="A65" s="11" t="s">
        <v>64</v>
      </c>
      <c r="B65" s="11">
        <v>2204</v>
      </c>
      <c r="C65" s="11">
        <v>4544</v>
      </c>
      <c r="D65" s="11">
        <v>5052</v>
      </c>
      <c r="E65" s="11">
        <v>4900</v>
      </c>
      <c r="F65" s="11">
        <v>6910</v>
      </c>
      <c r="G65" s="11">
        <v>7448</v>
      </c>
      <c r="H65" s="11">
        <v>5639</v>
      </c>
    </row>
    <row r="66" spans="1:8" x14ac:dyDescent="0.2">
      <c r="A66" s="11" t="s">
        <v>65</v>
      </c>
      <c r="B66" s="11">
        <v>17300</v>
      </c>
      <c r="C66" s="11">
        <v>33041</v>
      </c>
      <c r="D66" s="11">
        <v>36425</v>
      </c>
      <c r="E66" s="11">
        <v>35080</v>
      </c>
      <c r="F66" s="11">
        <v>44094</v>
      </c>
      <c r="G66" s="11">
        <v>46598</v>
      </c>
      <c r="H66" s="11">
        <v>38047</v>
      </c>
    </row>
    <row r="67" spans="1:8" x14ac:dyDescent="0.2">
      <c r="A67" s="11" t="s">
        <v>66</v>
      </c>
      <c r="B67" s="11">
        <v>1341</v>
      </c>
      <c r="C67" s="11">
        <v>2500</v>
      </c>
      <c r="D67" s="11">
        <v>2692</v>
      </c>
      <c r="E67" s="11">
        <v>2683</v>
      </c>
      <c r="F67" s="11">
        <v>3260</v>
      </c>
      <c r="G67" s="11">
        <v>3349</v>
      </c>
      <c r="H67" s="11">
        <v>2660</v>
      </c>
    </row>
    <row r="68" spans="1:8" ht="13.5" thickBot="1" x14ac:dyDescent="0.25">
      <c r="A68" s="13" t="s">
        <v>67</v>
      </c>
      <c r="B68" s="13">
        <v>26633</v>
      </c>
      <c r="C68" s="13">
        <v>50396</v>
      </c>
      <c r="D68" s="13">
        <v>54842</v>
      </c>
      <c r="E68" s="13">
        <v>50283</v>
      </c>
      <c r="F68" s="13">
        <v>57038</v>
      </c>
      <c r="G68" s="13">
        <v>50534</v>
      </c>
      <c r="H68" s="13">
        <v>38282</v>
      </c>
    </row>
    <row r="69" spans="1:8" x14ac:dyDescent="0.2">
      <c r="A69" s="32" t="s">
        <v>68</v>
      </c>
      <c r="B69" s="32">
        <f>SUM(B2:B68)</f>
        <v>757730</v>
      </c>
      <c r="C69" s="32">
        <f t="shared" ref="C69:G69" si="0">SUM(C2:C68)</f>
        <v>1469071</v>
      </c>
      <c r="D69" s="32">
        <f t="shared" si="0"/>
        <v>1479381</v>
      </c>
      <c r="E69" s="32">
        <f t="shared" si="0"/>
        <v>1288616</v>
      </c>
      <c r="F69" s="32">
        <f t="shared" si="0"/>
        <v>1460001</v>
      </c>
      <c r="G69" s="32">
        <f t="shared" si="0"/>
        <v>1421340</v>
      </c>
      <c r="H69" s="32">
        <f>SUM(H2:H68)</f>
        <v>1112279</v>
      </c>
    </row>
    <row r="70" spans="1:8" x14ac:dyDescent="0.2">
      <c r="B70" s="17">
        <f t="shared" ref="B70:H70" si="1">B69/$B$72</f>
        <v>8.4300707866501096E-2</v>
      </c>
      <c r="C70" s="17">
        <f>C69/$B$72</f>
        <v>0.16344044079836964</v>
      </c>
      <c r="D70" s="17">
        <f>D69/$B$72</f>
        <v>0.16458747245622088</v>
      </c>
      <c r="E70" s="17">
        <f t="shared" si="1"/>
        <v>0.14336404915748244</v>
      </c>
      <c r="F70" s="17">
        <f t="shared" si="1"/>
        <v>0.16243136445145298</v>
      </c>
      <c r="G70" s="17">
        <f t="shared" si="1"/>
        <v>0.15813016261593529</v>
      </c>
      <c r="H70" s="17">
        <f t="shared" si="1"/>
        <v>0.12374580265403767</v>
      </c>
    </row>
    <row r="72" spans="1:8" x14ac:dyDescent="0.2">
      <c r="A72" s="32" t="s">
        <v>80</v>
      </c>
      <c r="B72" s="16">
        <f>SUM(B69:H69)</f>
        <v>8988418</v>
      </c>
      <c r="C72" s="14"/>
    </row>
    <row r="81" spans="2:7" x14ac:dyDescent="0.2">
      <c r="G81" s="11"/>
    </row>
    <row r="82" spans="2:7" x14ac:dyDescent="0.2">
      <c r="G82" s="11"/>
    </row>
    <row r="83" spans="2:7" x14ac:dyDescent="0.2">
      <c r="E83" s="11"/>
      <c r="G83" s="11"/>
    </row>
    <row r="84" spans="2:7" x14ac:dyDescent="0.2">
      <c r="B84" s="11"/>
      <c r="E84" s="11"/>
      <c r="G84" s="11"/>
    </row>
    <row r="85" spans="2:7" x14ac:dyDescent="0.2">
      <c r="E85" s="11"/>
      <c r="G85" s="11"/>
    </row>
    <row r="86" spans="2:7" x14ac:dyDescent="0.2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7"/>
  <sheetViews>
    <sheetView zoomScaleNormal="10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N16" sqref="N16"/>
    </sheetView>
  </sheetViews>
  <sheetFormatPr defaultColWidth="9.140625" defaultRowHeight="12.75" x14ac:dyDescent="0.2"/>
  <cols>
    <col min="1" max="1" width="19.85546875" style="11" customWidth="1"/>
    <col min="2" max="2" width="9" style="10" customWidth="1"/>
    <col min="3" max="8" width="12.28515625" style="10" customWidth="1"/>
    <col min="9" max="9" width="11" style="11" bestFit="1" customWidth="1"/>
    <col min="10" max="10" width="6.42578125" style="11" customWidth="1"/>
    <col min="11" max="16384" width="9.140625" style="11"/>
  </cols>
  <sheetData>
    <row r="1" spans="1:9" x14ac:dyDescent="0.2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">
      <c r="A2" s="11" t="s">
        <v>1</v>
      </c>
      <c r="B2" s="10" t="s">
        <v>0</v>
      </c>
      <c r="C2" s="11">
        <v>1948</v>
      </c>
      <c r="D2" s="11">
        <v>2779</v>
      </c>
      <c r="E2" s="11">
        <v>2342</v>
      </c>
      <c r="F2" s="11">
        <v>2125</v>
      </c>
      <c r="G2" s="11">
        <v>2648</v>
      </c>
      <c r="H2" s="11">
        <v>3788</v>
      </c>
      <c r="I2" s="11">
        <v>3549</v>
      </c>
    </row>
    <row r="3" spans="1:9" x14ac:dyDescent="0.2">
      <c r="A3" s="11" t="s">
        <v>2</v>
      </c>
      <c r="B3" s="10" t="s">
        <v>0</v>
      </c>
      <c r="C3" s="11">
        <v>41723</v>
      </c>
      <c r="D3" s="11">
        <v>94687</v>
      </c>
      <c r="E3" s="11">
        <v>89680</v>
      </c>
      <c r="F3" s="11">
        <v>64415</v>
      </c>
      <c r="G3" s="11">
        <v>67226</v>
      </c>
      <c r="H3" s="11">
        <v>79913</v>
      </c>
      <c r="I3" s="11">
        <v>65950</v>
      </c>
    </row>
    <row r="4" spans="1:9" x14ac:dyDescent="0.2">
      <c r="A4" s="11" t="s">
        <v>3</v>
      </c>
      <c r="B4" s="10" t="s">
        <v>0</v>
      </c>
      <c r="C4" s="11">
        <v>607</v>
      </c>
      <c r="D4" s="11">
        <v>1098</v>
      </c>
      <c r="E4" s="11">
        <v>1198</v>
      </c>
      <c r="F4" s="11">
        <v>1265</v>
      </c>
      <c r="G4" s="11">
        <v>1741</v>
      </c>
      <c r="H4" s="11">
        <v>2541</v>
      </c>
      <c r="I4" s="11">
        <v>2185</v>
      </c>
    </row>
    <row r="5" spans="1:9" x14ac:dyDescent="0.2">
      <c r="A5" s="11" t="s">
        <v>4</v>
      </c>
      <c r="B5" s="10" t="s">
        <v>0</v>
      </c>
      <c r="C5" s="11">
        <v>2514</v>
      </c>
      <c r="D5" s="11">
        <v>5668</v>
      </c>
      <c r="E5" s="11">
        <v>6385</v>
      </c>
      <c r="F5" s="11">
        <v>5915</v>
      </c>
      <c r="G5" s="11">
        <v>7303</v>
      </c>
      <c r="H5" s="11">
        <v>9826</v>
      </c>
      <c r="I5" s="11">
        <v>8079</v>
      </c>
    </row>
    <row r="6" spans="1:9" x14ac:dyDescent="0.2">
      <c r="A6" s="11" t="s">
        <v>5</v>
      </c>
      <c r="B6" s="10" t="s">
        <v>0</v>
      </c>
      <c r="C6" s="11">
        <v>305</v>
      </c>
      <c r="D6" s="11">
        <v>521</v>
      </c>
      <c r="E6" s="11">
        <v>589</v>
      </c>
      <c r="F6" s="11">
        <v>623</v>
      </c>
      <c r="G6" s="11">
        <v>852</v>
      </c>
      <c r="H6" s="11">
        <v>1180</v>
      </c>
      <c r="I6" s="11">
        <v>1193</v>
      </c>
    </row>
    <row r="7" spans="1:9" x14ac:dyDescent="0.2">
      <c r="A7" s="11" t="s">
        <v>6</v>
      </c>
      <c r="B7" s="10" t="s">
        <v>0</v>
      </c>
      <c r="C7" s="11">
        <v>8516</v>
      </c>
      <c r="D7" s="11">
        <v>15789</v>
      </c>
      <c r="E7" s="11">
        <v>16343</v>
      </c>
      <c r="F7" s="11">
        <v>14922</v>
      </c>
      <c r="G7" s="11">
        <v>16819</v>
      </c>
      <c r="H7" s="11">
        <v>17365</v>
      </c>
      <c r="I7" s="11">
        <v>14576</v>
      </c>
    </row>
    <row r="8" spans="1:9" x14ac:dyDescent="0.2">
      <c r="A8" s="11" t="s">
        <v>7</v>
      </c>
      <c r="B8" s="10" t="s">
        <v>0</v>
      </c>
      <c r="C8" s="11">
        <v>1515</v>
      </c>
      <c r="D8" s="11">
        <v>3054</v>
      </c>
      <c r="E8" s="11">
        <v>3124</v>
      </c>
      <c r="F8" s="11">
        <v>2563</v>
      </c>
      <c r="G8" s="11">
        <v>2738</v>
      </c>
      <c r="H8" s="11">
        <v>3528</v>
      </c>
      <c r="I8" s="11">
        <v>3280</v>
      </c>
    </row>
    <row r="9" spans="1:9" x14ac:dyDescent="0.2">
      <c r="A9" s="11" t="s">
        <v>8</v>
      </c>
      <c r="B9" s="10" t="s">
        <v>0</v>
      </c>
      <c r="C9" s="11">
        <v>512</v>
      </c>
      <c r="D9" s="11">
        <v>1053</v>
      </c>
      <c r="E9" s="11">
        <v>1072</v>
      </c>
      <c r="F9" s="11">
        <v>913</v>
      </c>
      <c r="G9" s="11">
        <v>1166</v>
      </c>
      <c r="H9" s="11">
        <v>1600</v>
      </c>
      <c r="I9" s="11">
        <v>1495</v>
      </c>
    </row>
    <row r="10" spans="1:9" x14ac:dyDescent="0.2">
      <c r="A10" s="11" t="s">
        <v>9</v>
      </c>
      <c r="B10" s="10" t="s">
        <v>0</v>
      </c>
      <c r="C10" s="11">
        <v>15717</v>
      </c>
      <c r="D10" s="11">
        <v>28180</v>
      </c>
      <c r="E10" s="11">
        <v>30100</v>
      </c>
      <c r="F10" s="11">
        <v>27159</v>
      </c>
      <c r="G10" s="11">
        <v>31051</v>
      </c>
      <c r="H10" s="11">
        <v>34551</v>
      </c>
      <c r="I10" s="11">
        <v>27274</v>
      </c>
    </row>
    <row r="11" spans="1:9" x14ac:dyDescent="0.2">
      <c r="A11" s="11" t="s">
        <v>10</v>
      </c>
      <c r="B11" s="10" t="s">
        <v>0</v>
      </c>
      <c r="C11" s="11">
        <v>3009</v>
      </c>
      <c r="D11" s="11">
        <v>5340</v>
      </c>
      <c r="E11" s="11">
        <v>5952</v>
      </c>
      <c r="F11" s="11">
        <v>5064</v>
      </c>
      <c r="G11" s="11">
        <v>5747</v>
      </c>
      <c r="H11" s="11">
        <v>7526</v>
      </c>
      <c r="I11" s="11">
        <v>6634</v>
      </c>
    </row>
    <row r="12" spans="1:9" x14ac:dyDescent="0.2">
      <c r="A12" s="11" t="s">
        <v>11</v>
      </c>
      <c r="B12" s="10" t="s">
        <v>0</v>
      </c>
      <c r="C12" s="11">
        <v>1709</v>
      </c>
      <c r="D12" s="11">
        <v>3320</v>
      </c>
      <c r="E12" s="11">
        <v>3677</v>
      </c>
      <c r="F12" s="11">
        <v>3703</v>
      </c>
      <c r="G12" s="11">
        <v>4621</v>
      </c>
      <c r="H12" s="11">
        <v>6593</v>
      </c>
      <c r="I12" s="11">
        <v>5726</v>
      </c>
    </row>
    <row r="13" spans="1:9" x14ac:dyDescent="0.2">
      <c r="A13" s="11" t="s">
        <v>12</v>
      </c>
      <c r="B13" s="10" t="s">
        <v>0</v>
      </c>
      <c r="C13" s="11">
        <v>35</v>
      </c>
      <c r="D13" s="11">
        <v>65</v>
      </c>
      <c r="E13" s="11">
        <v>77</v>
      </c>
      <c r="F13" s="11">
        <v>60</v>
      </c>
      <c r="G13" s="11">
        <v>107</v>
      </c>
      <c r="H13" s="11">
        <v>170</v>
      </c>
      <c r="I13" s="11">
        <v>147</v>
      </c>
    </row>
    <row r="14" spans="1:9" x14ac:dyDescent="0.2">
      <c r="A14" s="11" t="s">
        <v>13</v>
      </c>
      <c r="B14" s="10" t="s">
        <v>0</v>
      </c>
      <c r="C14" s="11">
        <v>872</v>
      </c>
      <c r="D14" s="11">
        <v>1770</v>
      </c>
      <c r="E14" s="11">
        <v>1942</v>
      </c>
      <c r="F14" s="11">
        <v>1919</v>
      </c>
      <c r="G14" s="11">
        <v>2399</v>
      </c>
      <c r="H14" s="11">
        <v>2876</v>
      </c>
      <c r="I14" s="11">
        <v>2288</v>
      </c>
    </row>
    <row r="15" spans="1:9" x14ac:dyDescent="0.2">
      <c r="A15" s="11" t="s">
        <v>14</v>
      </c>
      <c r="B15" s="10" t="s">
        <v>0</v>
      </c>
      <c r="C15" s="11">
        <v>7650</v>
      </c>
      <c r="D15" s="11">
        <v>9113</v>
      </c>
      <c r="E15" s="11">
        <v>5716</v>
      </c>
      <c r="F15" s="11">
        <v>4663</v>
      </c>
      <c r="G15" s="11">
        <v>4491</v>
      </c>
      <c r="H15" s="11">
        <v>5089</v>
      </c>
      <c r="I15" s="11">
        <v>4701</v>
      </c>
    </row>
    <row r="16" spans="1:9" x14ac:dyDescent="0.2">
      <c r="A16" s="11" t="s">
        <v>15</v>
      </c>
      <c r="B16" s="10" t="s">
        <v>0</v>
      </c>
      <c r="C16" s="11">
        <v>16475</v>
      </c>
      <c r="D16" s="11">
        <v>27355</v>
      </c>
      <c r="E16" s="11">
        <v>26399</v>
      </c>
      <c r="F16" s="11">
        <v>23463</v>
      </c>
      <c r="G16" s="11">
        <v>23990</v>
      </c>
      <c r="H16" s="11">
        <v>24416</v>
      </c>
      <c r="I16" s="11">
        <v>18902</v>
      </c>
    </row>
    <row r="17" spans="1:9" x14ac:dyDescent="0.2">
      <c r="A17" s="11" t="s">
        <v>16</v>
      </c>
      <c r="B17" s="10" t="s">
        <v>0</v>
      </c>
      <c r="C17" s="11">
        <v>300</v>
      </c>
      <c r="D17" s="11">
        <v>642</v>
      </c>
      <c r="E17" s="11">
        <v>590</v>
      </c>
      <c r="F17" s="11">
        <v>595</v>
      </c>
      <c r="G17" s="11">
        <v>726</v>
      </c>
      <c r="H17" s="11">
        <v>1154</v>
      </c>
      <c r="I17" s="11">
        <v>1027</v>
      </c>
    </row>
    <row r="18" spans="1:9" x14ac:dyDescent="0.2">
      <c r="A18" s="11" t="s">
        <v>17</v>
      </c>
      <c r="B18" s="10" t="s">
        <v>0</v>
      </c>
      <c r="C18" s="11">
        <v>693</v>
      </c>
      <c r="D18" s="11">
        <v>1358</v>
      </c>
      <c r="E18" s="11">
        <v>1463</v>
      </c>
      <c r="F18" s="11">
        <v>1516</v>
      </c>
      <c r="G18" s="11">
        <v>1945</v>
      </c>
      <c r="H18" s="11">
        <v>2564</v>
      </c>
      <c r="I18" s="11">
        <v>2478</v>
      </c>
    </row>
    <row r="19" spans="1:9" x14ac:dyDescent="0.2">
      <c r="A19" s="11" t="s">
        <v>18</v>
      </c>
      <c r="B19" s="10" t="s">
        <v>0</v>
      </c>
      <c r="C19" s="11">
        <v>382</v>
      </c>
      <c r="D19" s="11">
        <v>854</v>
      </c>
      <c r="E19" s="11">
        <v>782</v>
      </c>
      <c r="F19" s="11">
        <v>747</v>
      </c>
      <c r="G19" s="11">
        <v>902</v>
      </c>
      <c r="H19" s="11">
        <v>1273</v>
      </c>
      <c r="I19" s="11">
        <v>1122</v>
      </c>
    </row>
    <row r="20" spans="1:9" x14ac:dyDescent="0.2">
      <c r="A20" s="11" t="s">
        <v>19</v>
      </c>
      <c r="B20" s="10" t="s">
        <v>0</v>
      </c>
      <c r="C20" s="11">
        <v>1192</v>
      </c>
      <c r="D20" s="11">
        <v>1742</v>
      </c>
      <c r="E20" s="11">
        <v>1663</v>
      </c>
      <c r="F20" s="11">
        <v>1485</v>
      </c>
      <c r="G20" s="11">
        <v>1599</v>
      </c>
      <c r="H20" s="11">
        <v>2199</v>
      </c>
      <c r="I20" s="11">
        <v>1899</v>
      </c>
    </row>
    <row r="21" spans="1:9" x14ac:dyDescent="0.2">
      <c r="A21" s="11" t="s">
        <v>20</v>
      </c>
      <c r="B21" s="10" t="s">
        <v>0</v>
      </c>
      <c r="C21" s="11">
        <v>1002</v>
      </c>
      <c r="D21" s="11">
        <v>1829</v>
      </c>
      <c r="E21" s="11">
        <v>1755</v>
      </c>
      <c r="F21" s="11">
        <v>1729</v>
      </c>
      <c r="G21" s="11">
        <v>2153</v>
      </c>
      <c r="H21" s="11">
        <v>3030</v>
      </c>
      <c r="I21" s="11">
        <v>2891</v>
      </c>
    </row>
    <row r="22" spans="1:9" x14ac:dyDescent="0.2">
      <c r="A22" s="11" t="s">
        <v>21</v>
      </c>
      <c r="B22" s="10" t="s">
        <v>0</v>
      </c>
      <c r="C22" s="11">
        <v>6287</v>
      </c>
      <c r="D22" s="11">
        <v>10396</v>
      </c>
      <c r="E22" s="11">
        <v>10893</v>
      </c>
      <c r="F22" s="11">
        <v>8750</v>
      </c>
      <c r="G22" s="11">
        <v>8006</v>
      </c>
      <c r="H22" s="11">
        <v>9041</v>
      </c>
      <c r="I22" s="11">
        <v>8369</v>
      </c>
    </row>
    <row r="23" spans="1:9" x14ac:dyDescent="0.2">
      <c r="A23" s="11" t="s">
        <v>22</v>
      </c>
      <c r="B23" s="10" t="s">
        <v>0</v>
      </c>
      <c r="C23" s="11">
        <v>7416</v>
      </c>
      <c r="D23" s="11">
        <v>15688</v>
      </c>
      <c r="E23" s="11">
        <v>15309</v>
      </c>
      <c r="F23" s="11">
        <v>12893</v>
      </c>
      <c r="G23" s="11">
        <v>13002</v>
      </c>
      <c r="H23" s="11">
        <v>13160</v>
      </c>
      <c r="I23" s="11">
        <v>9208</v>
      </c>
    </row>
    <row r="24" spans="1:9" x14ac:dyDescent="0.2">
      <c r="A24" s="11" t="s">
        <v>23</v>
      </c>
      <c r="B24" s="10" t="s">
        <v>0</v>
      </c>
      <c r="C24" s="11">
        <v>19183</v>
      </c>
      <c r="D24" s="11">
        <v>34978</v>
      </c>
      <c r="E24" s="11">
        <v>38789</v>
      </c>
      <c r="F24" s="11">
        <v>30635</v>
      </c>
      <c r="G24" s="11">
        <v>29410</v>
      </c>
      <c r="H24" s="11">
        <v>29083</v>
      </c>
      <c r="I24" s="11">
        <v>20942</v>
      </c>
    </row>
    <row r="25" spans="1:9" x14ac:dyDescent="0.2">
      <c r="A25" s="11" t="s">
        <v>24</v>
      </c>
      <c r="B25" s="10" t="s">
        <v>0</v>
      </c>
      <c r="C25" s="11">
        <v>323</v>
      </c>
      <c r="D25" s="11">
        <v>595</v>
      </c>
      <c r="E25" s="11">
        <v>653</v>
      </c>
      <c r="F25" s="11">
        <v>640</v>
      </c>
      <c r="G25" s="11">
        <v>1005</v>
      </c>
      <c r="H25" s="11">
        <v>1310</v>
      </c>
      <c r="I25" s="11">
        <v>1237</v>
      </c>
    </row>
    <row r="26" spans="1:9" x14ac:dyDescent="0.2">
      <c r="A26" s="11" t="s">
        <v>25</v>
      </c>
      <c r="B26" s="10" t="s">
        <v>0</v>
      </c>
      <c r="C26" s="11">
        <v>5411</v>
      </c>
      <c r="D26" s="11">
        <v>11273</v>
      </c>
      <c r="E26" s="11">
        <v>11165</v>
      </c>
      <c r="F26" s="11">
        <v>10132</v>
      </c>
      <c r="G26" s="11">
        <v>11680</v>
      </c>
      <c r="H26" s="11">
        <v>14815</v>
      </c>
      <c r="I26" s="11">
        <v>11938</v>
      </c>
    </row>
    <row r="27" spans="1:9" x14ac:dyDescent="0.2">
      <c r="A27" s="11" t="s">
        <v>26</v>
      </c>
      <c r="B27" s="10" t="s">
        <v>0</v>
      </c>
      <c r="C27" s="11">
        <v>1330</v>
      </c>
      <c r="D27" s="11">
        <v>2931</v>
      </c>
      <c r="E27" s="11">
        <v>3473</v>
      </c>
      <c r="F27" s="11">
        <v>3833</v>
      </c>
      <c r="G27" s="11">
        <v>5005</v>
      </c>
      <c r="H27" s="11">
        <v>6844</v>
      </c>
      <c r="I27" s="11">
        <v>5998</v>
      </c>
    </row>
    <row r="28" spans="1:9" x14ac:dyDescent="0.2">
      <c r="A28" s="11" t="s">
        <v>27</v>
      </c>
      <c r="B28" s="10" t="s">
        <v>0</v>
      </c>
      <c r="C28" s="11">
        <v>18</v>
      </c>
      <c r="D28" s="11">
        <v>47</v>
      </c>
      <c r="E28" s="11">
        <v>57</v>
      </c>
      <c r="F28" s="11">
        <v>69</v>
      </c>
      <c r="G28" s="11">
        <v>148</v>
      </c>
      <c r="H28" s="11">
        <v>241</v>
      </c>
      <c r="I28" s="11">
        <v>207</v>
      </c>
    </row>
    <row r="29" spans="1:9" x14ac:dyDescent="0.2">
      <c r="A29" s="11" t="s">
        <v>28</v>
      </c>
      <c r="B29" s="10" t="s">
        <v>0</v>
      </c>
      <c r="C29" s="11">
        <v>2025</v>
      </c>
      <c r="D29" s="11">
        <v>3700</v>
      </c>
      <c r="E29" s="11">
        <v>3469</v>
      </c>
      <c r="F29" s="11">
        <v>3109</v>
      </c>
      <c r="G29" s="11">
        <v>3231</v>
      </c>
      <c r="H29" s="11">
        <v>3951</v>
      </c>
      <c r="I29" s="11">
        <v>4027</v>
      </c>
    </row>
    <row r="30" spans="1:9" x14ac:dyDescent="0.2">
      <c r="A30" s="11" t="s">
        <v>29</v>
      </c>
      <c r="B30" s="10" t="s">
        <v>0</v>
      </c>
      <c r="C30" s="11">
        <v>82</v>
      </c>
      <c r="D30" s="11">
        <v>140</v>
      </c>
      <c r="E30" s="11">
        <v>159</v>
      </c>
      <c r="F30" s="11">
        <v>174</v>
      </c>
      <c r="G30" s="11">
        <v>248</v>
      </c>
      <c r="H30" s="11">
        <v>283</v>
      </c>
      <c r="I30" s="11">
        <v>387</v>
      </c>
    </row>
    <row r="31" spans="1:9" x14ac:dyDescent="0.2">
      <c r="A31" s="11" t="s">
        <v>30</v>
      </c>
      <c r="B31" s="10" t="s">
        <v>0</v>
      </c>
      <c r="C31" s="11">
        <v>300</v>
      </c>
      <c r="D31" s="11">
        <v>665</v>
      </c>
      <c r="E31" s="11">
        <v>815</v>
      </c>
      <c r="F31" s="11">
        <v>944</v>
      </c>
      <c r="G31" s="11">
        <v>1274</v>
      </c>
      <c r="H31" s="11">
        <v>1812</v>
      </c>
      <c r="I31" s="11">
        <v>1530</v>
      </c>
    </row>
    <row r="32" spans="1:9" x14ac:dyDescent="0.2">
      <c r="A32" s="11" t="s">
        <v>31</v>
      </c>
      <c r="B32" s="10" t="s">
        <v>0</v>
      </c>
      <c r="C32" s="11">
        <v>591</v>
      </c>
      <c r="D32" s="11">
        <v>857</v>
      </c>
      <c r="E32" s="11">
        <v>601</v>
      </c>
      <c r="F32" s="11">
        <v>708</v>
      </c>
      <c r="G32" s="11">
        <v>862</v>
      </c>
      <c r="H32" s="11">
        <v>1202</v>
      </c>
      <c r="I32" s="11">
        <v>1184</v>
      </c>
    </row>
    <row r="33" spans="1:9" x14ac:dyDescent="0.2">
      <c r="A33" s="11" t="s">
        <v>32</v>
      </c>
      <c r="B33" s="10" t="s">
        <v>0</v>
      </c>
      <c r="C33" s="11">
        <v>1260</v>
      </c>
      <c r="D33" s="11">
        <v>1833</v>
      </c>
      <c r="E33" s="11">
        <v>1514</v>
      </c>
      <c r="F33" s="11">
        <v>1516</v>
      </c>
      <c r="G33" s="11">
        <v>2067</v>
      </c>
      <c r="H33" s="11">
        <v>3004</v>
      </c>
      <c r="I33" s="11">
        <v>2671</v>
      </c>
    </row>
    <row r="34" spans="1:9" x14ac:dyDescent="0.2">
      <c r="A34" s="11" t="s">
        <v>33</v>
      </c>
      <c r="B34" s="10" t="s">
        <v>0</v>
      </c>
      <c r="C34" s="11">
        <v>349</v>
      </c>
      <c r="D34" s="11">
        <v>619</v>
      </c>
      <c r="E34" s="11">
        <v>670</v>
      </c>
      <c r="F34" s="11">
        <v>666</v>
      </c>
      <c r="G34" s="11">
        <v>788</v>
      </c>
      <c r="H34" s="11">
        <v>1258</v>
      </c>
      <c r="I34" s="11">
        <v>1076</v>
      </c>
    </row>
    <row r="35" spans="1:9" x14ac:dyDescent="0.2">
      <c r="A35" s="11" t="s">
        <v>34</v>
      </c>
      <c r="B35" s="10" t="s">
        <v>0</v>
      </c>
      <c r="C35" s="11">
        <v>134</v>
      </c>
      <c r="D35" s="11">
        <v>245</v>
      </c>
      <c r="E35" s="11">
        <v>297</v>
      </c>
      <c r="F35" s="11">
        <v>325</v>
      </c>
      <c r="G35" s="11">
        <v>409</v>
      </c>
      <c r="H35" s="11">
        <v>589</v>
      </c>
      <c r="I35" s="11">
        <v>538</v>
      </c>
    </row>
    <row r="36" spans="1:9" x14ac:dyDescent="0.2">
      <c r="A36" s="11" t="s">
        <v>35</v>
      </c>
      <c r="B36" s="10" t="s">
        <v>0</v>
      </c>
      <c r="C36" s="11">
        <v>5222</v>
      </c>
      <c r="D36" s="11">
        <v>10661</v>
      </c>
      <c r="E36" s="11">
        <v>11784</v>
      </c>
      <c r="F36" s="11">
        <v>10279</v>
      </c>
      <c r="G36" s="11">
        <v>12534</v>
      </c>
      <c r="H36" s="11">
        <v>14044</v>
      </c>
      <c r="I36" s="11">
        <v>12267</v>
      </c>
    </row>
    <row r="37" spans="1:9" x14ac:dyDescent="0.2">
      <c r="A37" s="11" t="s">
        <v>36</v>
      </c>
      <c r="B37" s="10" t="s">
        <v>0</v>
      </c>
      <c r="C37" s="11">
        <v>9745</v>
      </c>
      <c r="D37" s="11">
        <v>20124</v>
      </c>
      <c r="E37" s="11">
        <v>19680</v>
      </c>
      <c r="F37" s="11">
        <v>15311</v>
      </c>
      <c r="G37" s="11">
        <v>15247</v>
      </c>
      <c r="H37" s="11">
        <v>17450</v>
      </c>
      <c r="I37" s="11">
        <v>15499</v>
      </c>
    </row>
    <row r="38" spans="1:9" x14ac:dyDescent="0.2">
      <c r="A38" s="11" t="s">
        <v>37</v>
      </c>
      <c r="B38" s="10" t="s">
        <v>0</v>
      </c>
      <c r="C38" s="11">
        <v>1155</v>
      </c>
      <c r="D38" s="11">
        <v>2389</v>
      </c>
      <c r="E38" s="11">
        <v>2500</v>
      </c>
      <c r="F38" s="11">
        <v>2469</v>
      </c>
      <c r="G38" s="11">
        <v>3226</v>
      </c>
      <c r="H38" s="11">
        <v>4195</v>
      </c>
      <c r="I38" s="11">
        <v>3721</v>
      </c>
    </row>
    <row r="39" spans="1:9" x14ac:dyDescent="0.2">
      <c r="A39" s="11" t="s">
        <v>38</v>
      </c>
      <c r="B39" s="10" t="s">
        <v>0</v>
      </c>
      <c r="C39" s="11">
        <v>2073</v>
      </c>
      <c r="D39" s="11">
        <v>3727</v>
      </c>
      <c r="E39" s="11">
        <v>4045</v>
      </c>
      <c r="F39" s="11">
        <v>3665</v>
      </c>
      <c r="G39" s="11">
        <v>3852</v>
      </c>
      <c r="H39" s="11">
        <v>4222</v>
      </c>
      <c r="I39" s="11">
        <v>3877</v>
      </c>
    </row>
    <row r="40" spans="1:9" x14ac:dyDescent="0.2">
      <c r="A40" s="11" t="s">
        <v>39</v>
      </c>
      <c r="B40" s="10" t="s">
        <v>0</v>
      </c>
      <c r="C40" s="11">
        <v>9277</v>
      </c>
      <c r="D40" s="11">
        <v>18370</v>
      </c>
      <c r="E40" s="11">
        <v>18704</v>
      </c>
      <c r="F40" s="11">
        <v>16801</v>
      </c>
      <c r="G40" s="11">
        <v>17040</v>
      </c>
      <c r="H40" s="11">
        <v>17469</v>
      </c>
      <c r="I40" s="11">
        <v>14144</v>
      </c>
    </row>
    <row r="41" spans="1:9" x14ac:dyDescent="0.2">
      <c r="A41" s="11" t="s">
        <v>40</v>
      </c>
      <c r="B41" s="10" t="s">
        <v>0</v>
      </c>
      <c r="C41" s="11">
        <v>6092</v>
      </c>
      <c r="D41" s="11">
        <v>12266</v>
      </c>
      <c r="E41" s="11">
        <v>13354</v>
      </c>
      <c r="F41" s="11">
        <v>11984</v>
      </c>
      <c r="G41" s="11">
        <v>13783</v>
      </c>
      <c r="H41" s="11">
        <v>15036</v>
      </c>
      <c r="I41" s="11">
        <v>12918</v>
      </c>
    </row>
    <row r="42" spans="1:9" x14ac:dyDescent="0.2">
      <c r="A42" s="11" t="s">
        <v>41</v>
      </c>
      <c r="B42" s="10" t="s">
        <v>0</v>
      </c>
      <c r="C42" s="11">
        <v>1422</v>
      </c>
      <c r="D42" s="11">
        <v>2897</v>
      </c>
      <c r="E42" s="11">
        <v>2831</v>
      </c>
      <c r="F42" s="11">
        <v>2338</v>
      </c>
      <c r="G42" s="11">
        <v>2575</v>
      </c>
      <c r="H42" s="11">
        <v>3370</v>
      </c>
      <c r="I42" s="11">
        <v>2771</v>
      </c>
    </row>
    <row r="43" spans="1:9" x14ac:dyDescent="0.2">
      <c r="A43" s="11" t="s">
        <v>42</v>
      </c>
      <c r="B43" s="10" t="s">
        <v>0</v>
      </c>
      <c r="C43" s="11">
        <v>377</v>
      </c>
      <c r="D43" s="11">
        <v>748</v>
      </c>
      <c r="E43" s="11">
        <v>694</v>
      </c>
      <c r="F43" s="11">
        <v>654</v>
      </c>
      <c r="G43" s="11">
        <v>776</v>
      </c>
      <c r="H43" s="11">
        <v>1115</v>
      </c>
      <c r="I43" s="11">
        <v>949</v>
      </c>
    </row>
    <row r="44" spans="1:9" x14ac:dyDescent="0.2">
      <c r="A44" s="11" t="s">
        <v>43</v>
      </c>
      <c r="B44" s="10" t="s">
        <v>0</v>
      </c>
      <c r="C44" s="11">
        <v>1380</v>
      </c>
      <c r="D44" s="11">
        <v>2665</v>
      </c>
      <c r="E44" s="11">
        <v>2958</v>
      </c>
      <c r="F44" s="11">
        <v>2770</v>
      </c>
      <c r="G44" s="11">
        <v>3661</v>
      </c>
      <c r="H44" s="11">
        <v>5225</v>
      </c>
      <c r="I44" s="11">
        <v>4460</v>
      </c>
    </row>
    <row r="45" spans="1:9" x14ac:dyDescent="0.2">
      <c r="A45" s="11" t="s">
        <v>44</v>
      </c>
      <c r="B45" s="10" t="s">
        <v>0</v>
      </c>
      <c r="C45" s="11">
        <v>306</v>
      </c>
      <c r="D45" s="11">
        <v>692</v>
      </c>
      <c r="E45" s="11">
        <v>759</v>
      </c>
      <c r="F45" s="11">
        <v>704</v>
      </c>
      <c r="G45" s="11">
        <v>795</v>
      </c>
      <c r="H45" s="11">
        <v>1014</v>
      </c>
      <c r="I45" s="11">
        <v>1106</v>
      </c>
    </row>
    <row r="46" spans="1:9" x14ac:dyDescent="0.2">
      <c r="A46" s="11" t="s">
        <v>45</v>
      </c>
      <c r="B46" s="10" t="s">
        <v>0</v>
      </c>
      <c r="C46" s="11">
        <v>4121</v>
      </c>
      <c r="D46" s="11">
        <v>7337</v>
      </c>
      <c r="E46" s="11">
        <v>6754</v>
      </c>
      <c r="F46" s="11">
        <v>6930</v>
      </c>
      <c r="G46" s="11">
        <v>9100</v>
      </c>
      <c r="H46" s="11">
        <v>8802</v>
      </c>
      <c r="I46" s="11">
        <v>5570</v>
      </c>
    </row>
    <row r="47" spans="1:9" x14ac:dyDescent="0.2">
      <c r="A47" s="11" t="s">
        <v>46</v>
      </c>
      <c r="B47" s="10" t="s">
        <v>0</v>
      </c>
      <c r="C47" s="11">
        <v>26792</v>
      </c>
      <c r="D47" s="11">
        <v>49268</v>
      </c>
      <c r="E47" s="11">
        <v>54069</v>
      </c>
      <c r="F47" s="11">
        <v>45614</v>
      </c>
      <c r="G47" s="11">
        <v>44567</v>
      </c>
      <c r="H47" s="11">
        <v>46426</v>
      </c>
      <c r="I47" s="11">
        <v>38933</v>
      </c>
    </row>
    <row r="48" spans="1:9" x14ac:dyDescent="0.2">
      <c r="A48" s="11" t="s">
        <v>47</v>
      </c>
      <c r="B48" s="10" t="s">
        <v>0</v>
      </c>
      <c r="C48" s="11">
        <v>238</v>
      </c>
      <c r="D48" s="11">
        <v>591</v>
      </c>
      <c r="E48" s="11">
        <v>633</v>
      </c>
      <c r="F48" s="11">
        <v>448</v>
      </c>
      <c r="G48" s="11">
        <v>504</v>
      </c>
      <c r="H48" s="11">
        <v>713</v>
      </c>
      <c r="I48" s="11">
        <v>644</v>
      </c>
    </row>
    <row r="49" spans="1:9" x14ac:dyDescent="0.2">
      <c r="A49" s="11" t="s">
        <v>48</v>
      </c>
      <c r="B49" s="10" t="s">
        <v>0</v>
      </c>
      <c r="C49" s="11">
        <v>9985</v>
      </c>
      <c r="D49" s="11">
        <v>15260</v>
      </c>
      <c r="E49" s="11">
        <v>14409</v>
      </c>
      <c r="F49" s="11">
        <v>12985</v>
      </c>
      <c r="G49" s="11">
        <v>14272</v>
      </c>
      <c r="H49" s="11">
        <v>15782</v>
      </c>
      <c r="I49" s="11">
        <v>13503</v>
      </c>
    </row>
    <row r="50" spans="1:9" x14ac:dyDescent="0.2">
      <c r="A50" s="11" t="s">
        <v>49</v>
      </c>
      <c r="B50" s="10" t="s">
        <v>0</v>
      </c>
      <c r="C50" s="11">
        <v>857</v>
      </c>
      <c r="D50" s="11">
        <v>1915</v>
      </c>
      <c r="E50" s="11">
        <v>2208</v>
      </c>
      <c r="F50" s="11">
        <v>2070</v>
      </c>
      <c r="G50" s="11">
        <v>2351</v>
      </c>
      <c r="H50" s="11">
        <v>3166</v>
      </c>
      <c r="I50" s="11">
        <v>2753</v>
      </c>
    </row>
    <row r="51" spans="1:9" x14ac:dyDescent="0.2">
      <c r="A51" s="11" t="s">
        <v>50</v>
      </c>
      <c r="B51" s="10" t="s">
        <v>0</v>
      </c>
      <c r="C51" s="11">
        <v>466</v>
      </c>
      <c r="D51" s="11">
        <v>825</v>
      </c>
      <c r="E51" s="11">
        <v>892</v>
      </c>
      <c r="F51" s="11">
        <v>838</v>
      </c>
      <c r="G51" s="11">
        <v>944</v>
      </c>
      <c r="H51" s="11">
        <v>1105</v>
      </c>
      <c r="I51" s="11">
        <v>948</v>
      </c>
    </row>
    <row r="52" spans="1:9" x14ac:dyDescent="0.2">
      <c r="A52" s="11" t="s">
        <v>51</v>
      </c>
      <c r="B52" s="10" t="s">
        <v>0</v>
      </c>
      <c r="C52" s="11">
        <v>61960</v>
      </c>
      <c r="D52" s="11">
        <v>177521</v>
      </c>
      <c r="E52" s="11">
        <v>156711</v>
      </c>
      <c r="F52" s="11">
        <v>103164</v>
      </c>
      <c r="G52" s="11">
        <v>108743</v>
      </c>
      <c r="H52" s="11">
        <v>98940</v>
      </c>
      <c r="I52" s="11">
        <v>72108</v>
      </c>
    </row>
    <row r="53" spans="1:9" x14ac:dyDescent="0.2">
      <c r="A53" s="11" t="s">
        <v>52</v>
      </c>
      <c r="B53" s="10" t="s">
        <v>0</v>
      </c>
      <c r="C53" s="11">
        <v>959</v>
      </c>
      <c r="D53" s="11">
        <v>1786</v>
      </c>
      <c r="E53" s="11">
        <v>1721</v>
      </c>
      <c r="F53" s="11">
        <v>1780</v>
      </c>
      <c r="G53" s="11">
        <v>2478</v>
      </c>
      <c r="H53" s="11">
        <v>2823</v>
      </c>
      <c r="I53" s="11">
        <v>2070</v>
      </c>
    </row>
    <row r="54" spans="1:9" x14ac:dyDescent="0.2">
      <c r="A54" s="11" t="s">
        <v>53</v>
      </c>
      <c r="B54" s="10" t="s">
        <v>0</v>
      </c>
      <c r="C54" s="11">
        <v>107</v>
      </c>
      <c r="D54" s="11">
        <v>138</v>
      </c>
      <c r="E54" s="11">
        <v>204</v>
      </c>
      <c r="F54" s="11">
        <v>205</v>
      </c>
      <c r="G54" s="11">
        <v>283</v>
      </c>
      <c r="H54" s="11">
        <v>421</v>
      </c>
      <c r="I54" s="11">
        <v>374</v>
      </c>
    </row>
    <row r="55" spans="1:9" x14ac:dyDescent="0.2">
      <c r="A55" s="11" t="s">
        <v>54</v>
      </c>
      <c r="B55" s="10" t="s">
        <v>0</v>
      </c>
      <c r="C55" s="11">
        <v>1520</v>
      </c>
      <c r="D55" s="11">
        <v>3313</v>
      </c>
      <c r="E55" s="11">
        <v>3661</v>
      </c>
      <c r="F55" s="11">
        <v>3517</v>
      </c>
      <c r="G55" s="11">
        <v>4156</v>
      </c>
      <c r="H55" s="11">
        <v>5078</v>
      </c>
      <c r="I55" s="11">
        <v>4129</v>
      </c>
    </row>
    <row r="56" spans="1:9" x14ac:dyDescent="0.2">
      <c r="A56" s="11" t="s">
        <v>55</v>
      </c>
      <c r="B56" s="10" t="s">
        <v>0</v>
      </c>
      <c r="C56" s="11">
        <v>596</v>
      </c>
      <c r="D56" s="11">
        <v>712</v>
      </c>
      <c r="E56" s="11">
        <v>639</v>
      </c>
      <c r="F56" s="11">
        <v>591</v>
      </c>
      <c r="G56" s="11">
        <v>679</v>
      </c>
      <c r="H56" s="11">
        <v>850</v>
      </c>
      <c r="I56" s="11">
        <v>817</v>
      </c>
    </row>
    <row r="57" spans="1:9" x14ac:dyDescent="0.2">
      <c r="A57" s="11" t="s">
        <v>56</v>
      </c>
      <c r="B57" s="10" t="s">
        <v>0</v>
      </c>
      <c r="C57" s="11">
        <v>485</v>
      </c>
      <c r="D57" s="11">
        <v>1049</v>
      </c>
      <c r="E57" s="11">
        <v>1327</v>
      </c>
      <c r="F57" s="11">
        <v>1258</v>
      </c>
      <c r="G57" s="11">
        <v>1616</v>
      </c>
      <c r="H57" s="11">
        <v>2442</v>
      </c>
      <c r="I57" s="11">
        <v>2306</v>
      </c>
    </row>
    <row r="58" spans="1:9" x14ac:dyDescent="0.2">
      <c r="A58" s="11" t="s">
        <v>57</v>
      </c>
      <c r="B58" s="10" t="s">
        <v>0</v>
      </c>
      <c r="C58" s="11">
        <v>44</v>
      </c>
      <c r="D58" s="11">
        <v>82</v>
      </c>
      <c r="E58" s="11">
        <v>98</v>
      </c>
      <c r="F58" s="11">
        <v>105</v>
      </c>
      <c r="G58" s="11">
        <v>165</v>
      </c>
      <c r="H58" s="11">
        <v>305</v>
      </c>
      <c r="I58" s="11">
        <v>268</v>
      </c>
    </row>
    <row r="59" spans="1:9" x14ac:dyDescent="0.2">
      <c r="A59" s="11" t="s">
        <v>58</v>
      </c>
      <c r="B59" s="10" t="s">
        <v>0</v>
      </c>
      <c r="C59" s="11">
        <v>353</v>
      </c>
      <c r="D59" s="11">
        <v>702</v>
      </c>
      <c r="E59" s="11">
        <v>760</v>
      </c>
      <c r="F59" s="11">
        <v>742</v>
      </c>
      <c r="G59" s="11">
        <v>1023</v>
      </c>
      <c r="H59" s="11">
        <v>1358</v>
      </c>
      <c r="I59" s="11">
        <v>1219</v>
      </c>
    </row>
    <row r="60" spans="1:9" x14ac:dyDescent="0.2">
      <c r="A60" s="11" t="s">
        <v>59</v>
      </c>
      <c r="B60" s="10" t="s">
        <v>0</v>
      </c>
      <c r="C60" s="11">
        <v>384</v>
      </c>
      <c r="D60" s="11">
        <v>609</v>
      </c>
      <c r="E60" s="11">
        <v>616</v>
      </c>
      <c r="F60" s="11">
        <v>609</v>
      </c>
      <c r="G60" s="11">
        <v>742</v>
      </c>
      <c r="H60" s="11">
        <v>1033</v>
      </c>
      <c r="I60" s="11">
        <v>935</v>
      </c>
    </row>
    <row r="61" spans="1:9" x14ac:dyDescent="0.2">
      <c r="A61" s="11" t="s">
        <v>60</v>
      </c>
      <c r="B61" s="10" t="s">
        <v>0</v>
      </c>
      <c r="C61" s="11">
        <v>1499</v>
      </c>
      <c r="D61" s="11">
        <v>1405</v>
      </c>
      <c r="E61" s="11">
        <v>1030</v>
      </c>
      <c r="F61" s="11">
        <v>861</v>
      </c>
      <c r="G61" s="11">
        <v>895</v>
      </c>
      <c r="H61" s="11">
        <v>1071</v>
      </c>
      <c r="I61" s="11">
        <v>1096</v>
      </c>
    </row>
    <row r="62" spans="1:9" x14ac:dyDescent="0.2">
      <c r="A62" s="11" t="s">
        <v>61</v>
      </c>
      <c r="B62" s="10" t="s">
        <v>0</v>
      </c>
      <c r="C62" s="11">
        <v>492</v>
      </c>
      <c r="D62" s="11">
        <v>879</v>
      </c>
      <c r="E62" s="11">
        <v>1021</v>
      </c>
      <c r="F62" s="11">
        <v>958</v>
      </c>
      <c r="G62" s="11">
        <v>1174</v>
      </c>
      <c r="H62" s="11">
        <v>1928</v>
      </c>
      <c r="I62" s="11">
        <v>1570</v>
      </c>
    </row>
    <row r="63" spans="1:9" x14ac:dyDescent="0.2">
      <c r="A63" s="11" t="s">
        <v>62</v>
      </c>
      <c r="B63" s="10" t="s">
        <v>0</v>
      </c>
      <c r="C63" s="11">
        <v>376</v>
      </c>
      <c r="D63" s="11">
        <v>643</v>
      </c>
      <c r="E63" s="11">
        <v>768</v>
      </c>
      <c r="F63" s="11">
        <v>710</v>
      </c>
      <c r="G63" s="11">
        <v>1050</v>
      </c>
      <c r="H63" s="11">
        <v>1475</v>
      </c>
      <c r="I63" s="11">
        <v>1315</v>
      </c>
    </row>
    <row r="64" spans="1:9" x14ac:dyDescent="0.2">
      <c r="A64" s="11" t="s">
        <v>63</v>
      </c>
      <c r="B64" s="10" t="s">
        <v>0</v>
      </c>
      <c r="C64" s="11">
        <v>3061</v>
      </c>
      <c r="D64" s="11">
        <v>5881</v>
      </c>
      <c r="E64" s="11">
        <v>7063</v>
      </c>
      <c r="F64" s="11">
        <v>6597</v>
      </c>
      <c r="G64" s="11">
        <v>8466</v>
      </c>
      <c r="H64" s="11">
        <v>11413</v>
      </c>
      <c r="I64" s="11">
        <v>10068</v>
      </c>
    </row>
    <row r="65" spans="1:9" x14ac:dyDescent="0.2">
      <c r="A65" s="11" t="s">
        <v>64</v>
      </c>
      <c r="B65" s="10" t="s">
        <v>0</v>
      </c>
      <c r="C65" s="11">
        <v>498</v>
      </c>
      <c r="D65" s="11">
        <v>1021</v>
      </c>
      <c r="E65" s="11">
        <v>1190</v>
      </c>
      <c r="F65" s="11">
        <v>1090</v>
      </c>
      <c r="G65" s="11">
        <v>1427</v>
      </c>
      <c r="H65" s="11">
        <v>1908</v>
      </c>
      <c r="I65" s="11">
        <v>1572</v>
      </c>
    </row>
    <row r="66" spans="1:9" x14ac:dyDescent="0.2">
      <c r="A66" s="11" t="s">
        <v>65</v>
      </c>
      <c r="B66" s="10" t="s">
        <v>0</v>
      </c>
      <c r="C66" s="11">
        <v>5215</v>
      </c>
      <c r="D66" s="11">
        <v>9989</v>
      </c>
      <c r="E66" s="11">
        <v>11288</v>
      </c>
      <c r="F66" s="11">
        <v>10535</v>
      </c>
      <c r="G66" s="11">
        <v>13546</v>
      </c>
      <c r="H66" s="11">
        <v>18796</v>
      </c>
      <c r="I66" s="11">
        <v>17283</v>
      </c>
    </row>
    <row r="67" spans="1:9" x14ac:dyDescent="0.2">
      <c r="A67" s="11" t="s">
        <v>66</v>
      </c>
      <c r="B67" s="10" t="s">
        <v>0</v>
      </c>
      <c r="C67" s="11">
        <v>324</v>
      </c>
      <c r="D67" s="11">
        <v>618</v>
      </c>
      <c r="E67" s="11">
        <v>655</v>
      </c>
      <c r="F67" s="11">
        <v>605</v>
      </c>
      <c r="G67" s="11">
        <v>770</v>
      </c>
      <c r="H67" s="11">
        <v>961</v>
      </c>
      <c r="I67" s="11">
        <v>753</v>
      </c>
    </row>
    <row r="68" spans="1:9" ht="13.5" thickBot="1" x14ac:dyDescent="0.25">
      <c r="A68" s="13" t="s">
        <v>67</v>
      </c>
      <c r="B68" s="12" t="s">
        <v>0</v>
      </c>
      <c r="C68" s="11">
        <v>8151</v>
      </c>
      <c r="D68" s="11">
        <v>15267</v>
      </c>
      <c r="E68" s="11">
        <v>15891</v>
      </c>
      <c r="F68" s="11">
        <v>14189</v>
      </c>
      <c r="G68" s="11">
        <v>14426</v>
      </c>
      <c r="H68" s="11">
        <v>15495</v>
      </c>
      <c r="I68" s="11">
        <v>13224</v>
      </c>
    </row>
    <row r="69" spans="1:9" x14ac:dyDescent="0.2">
      <c r="A69" s="32" t="s">
        <v>68</v>
      </c>
      <c r="C69" s="14">
        <f>SUM(C2:C68)</f>
        <v>316917</v>
      </c>
      <c r="D69" s="14">
        <f>SUM(D2:D68)</f>
        <v>661534</v>
      </c>
      <c r="E69" s="14">
        <f t="shared" ref="E69:I69" si="0">SUM(E2:E68)</f>
        <v>649630</v>
      </c>
      <c r="F69" s="14">
        <f t="shared" si="0"/>
        <v>522614</v>
      </c>
      <c r="G69" s="14">
        <f t="shared" si="0"/>
        <v>564225</v>
      </c>
      <c r="H69" s="14">
        <f t="shared" si="0"/>
        <v>623206</v>
      </c>
      <c r="I69" s="14">
        <f t="shared" si="0"/>
        <v>509878</v>
      </c>
    </row>
    <row r="70" spans="1:9" x14ac:dyDescent="0.2">
      <c r="C70" s="17">
        <f>C69/$C$73</f>
        <v>8.2358802121827321E-2</v>
      </c>
      <c r="D70" s="17">
        <f t="shared" ref="D70:I70" si="1">D69/$C$73</f>
        <v>0.17191614145931242</v>
      </c>
      <c r="E70" s="17">
        <f t="shared" si="1"/>
        <v>0.1688225895815077</v>
      </c>
      <c r="F70" s="17">
        <f t="shared" si="1"/>
        <v>0.13581430788533483</v>
      </c>
      <c r="G70" s="17">
        <f t="shared" si="1"/>
        <v>0.14662796608319534</v>
      </c>
      <c r="H70" s="17">
        <f t="shared" si="1"/>
        <v>0.16195565285275171</v>
      </c>
      <c r="I70" s="17">
        <f t="shared" si="1"/>
        <v>0.13250454001607068</v>
      </c>
    </row>
    <row r="73" spans="1:9" x14ac:dyDescent="0.2">
      <c r="A73" s="32" t="s">
        <v>80</v>
      </c>
      <c r="C73" s="16">
        <f>SUM(C69:I69)</f>
        <v>3848004</v>
      </c>
    </row>
    <row r="75" spans="1:9" x14ac:dyDescent="0.2">
      <c r="I75" s="10"/>
    </row>
    <row r="82" spans="3:6" x14ac:dyDescent="0.2">
      <c r="F82" s="11"/>
    </row>
    <row r="83" spans="3:6" x14ac:dyDescent="0.2">
      <c r="F83" s="11"/>
    </row>
    <row r="84" spans="3:6" x14ac:dyDescent="0.2">
      <c r="C84" s="11"/>
      <c r="F84" s="11"/>
    </row>
    <row r="85" spans="3:6" x14ac:dyDescent="0.2">
      <c r="C85" s="11"/>
      <c r="F85" s="11"/>
    </row>
    <row r="87" spans="3:6" x14ac:dyDescent="0.2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L21" sqref="L21"/>
    </sheetView>
  </sheetViews>
  <sheetFormatPr defaultColWidth="9.140625" defaultRowHeight="12.75" x14ac:dyDescent="0.2"/>
  <cols>
    <col min="1" max="1" width="19.85546875" style="11" customWidth="1"/>
    <col min="2" max="2" width="10.7109375" style="10" customWidth="1"/>
    <col min="3" max="8" width="12.7109375" style="10" customWidth="1"/>
    <col min="9" max="9" width="9.140625" style="11"/>
    <col min="10" max="10" width="8.28515625" style="11" bestFit="1" customWidth="1"/>
    <col min="11" max="11" width="9.140625" style="11"/>
    <col min="12" max="12" width="9.28515625" style="11" customWidth="1"/>
    <col min="13" max="16384" width="9.140625" style="11"/>
  </cols>
  <sheetData>
    <row r="1" spans="1:10" x14ac:dyDescent="0.2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">
      <c r="A2" s="11" t="s">
        <v>1</v>
      </c>
      <c r="B2" s="10" t="s">
        <v>70</v>
      </c>
      <c r="C2" s="52">
        <v>2741</v>
      </c>
      <c r="D2" s="52">
        <v>5201</v>
      </c>
      <c r="E2" s="52">
        <v>5994</v>
      </c>
      <c r="F2" s="52">
        <v>6000</v>
      </c>
      <c r="G2" s="52">
        <v>9179</v>
      </c>
      <c r="H2" s="52">
        <v>8568</v>
      </c>
      <c r="I2" s="52">
        <v>6343</v>
      </c>
      <c r="J2" s="10"/>
    </row>
    <row r="3" spans="1:10" x14ac:dyDescent="0.2">
      <c r="A3" s="11" t="s">
        <v>2</v>
      </c>
      <c r="B3" s="10" t="s">
        <v>70</v>
      </c>
      <c r="C3" s="52">
        <v>18470</v>
      </c>
      <c r="D3" s="52">
        <v>38759</v>
      </c>
      <c r="E3" s="52">
        <v>38963</v>
      </c>
      <c r="F3" s="52">
        <v>36655</v>
      </c>
      <c r="G3" s="52">
        <v>47783</v>
      </c>
      <c r="H3" s="52">
        <v>46760</v>
      </c>
      <c r="I3" s="52">
        <v>35524</v>
      </c>
    </row>
    <row r="4" spans="1:10" x14ac:dyDescent="0.2">
      <c r="A4" s="11" t="s">
        <v>3</v>
      </c>
      <c r="B4" s="10" t="s">
        <v>70</v>
      </c>
      <c r="C4" s="52">
        <v>1960</v>
      </c>
      <c r="D4" s="52">
        <v>3436</v>
      </c>
      <c r="E4" s="52">
        <v>3892</v>
      </c>
      <c r="F4" s="52">
        <v>4195</v>
      </c>
      <c r="G4" s="52">
        <v>5262</v>
      </c>
      <c r="H4" s="52">
        <v>5090</v>
      </c>
      <c r="I4" s="52">
        <v>3811</v>
      </c>
    </row>
    <row r="5" spans="1:10" x14ac:dyDescent="0.2">
      <c r="A5" s="11" t="s">
        <v>4</v>
      </c>
      <c r="B5" s="10" t="s">
        <v>70</v>
      </c>
      <c r="C5" s="52">
        <v>3360</v>
      </c>
      <c r="D5" s="52">
        <v>6719</v>
      </c>
      <c r="E5" s="52">
        <v>7899</v>
      </c>
      <c r="F5" s="52">
        <v>7702</v>
      </c>
      <c r="G5" s="52">
        <v>9980</v>
      </c>
      <c r="H5" s="52">
        <v>9509</v>
      </c>
      <c r="I5" s="52">
        <v>6697</v>
      </c>
    </row>
    <row r="6" spans="1:10" x14ac:dyDescent="0.2">
      <c r="A6" s="11" t="s">
        <v>5</v>
      </c>
      <c r="B6" s="10" t="s">
        <v>70</v>
      </c>
      <c r="C6" s="52">
        <v>1633</v>
      </c>
      <c r="D6" s="52">
        <v>3071</v>
      </c>
      <c r="E6" s="52">
        <v>3264</v>
      </c>
      <c r="F6" s="52">
        <v>3611</v>
      </c>
      <c r="G6" s="52">
        <v>4735</v>
      </c>
      <c r="H6" s="52">
        <v>4757</v>
      </c>
      <c r="I6" s="52">
        <v>3503</v>
      </c>
    </row>
    <row r="7" spans="1:10" x14ac:dyDescent="0.2">
      <c r="A7" s="11" t="s">
        <v>6</v>
      </c>
      <c r="B7" s="10" t="s">
        <v>70</v>
      </c>
      <c r="C7" s="52">
        <v>8002</v>
      </c>
      <c r="D7" s="52">
        <v>14620</v>
      </c>
      <c r="E7" s="52">
        <v>16797</v>
      </c>
      <c r="F7" s="52">
        <v>17439</v>
      </c>
      <c r="G7" s="52">
        <v>23816</v>
      </c>
      <c r="H7" s="52">
        <v>20869</v>
      </c>
      <c r="I7" s="52">
        <v>16445</v>
      </c>
    </row>
    <row r="8" spans="1:10" x14ac:dyDescent="0.2">
      <c r="A8" s="11" t="s">
        <v>7</v>
      </c>
      <c r="B8" s="10" t="s">
        <v>70</v>
      </c>
      <c r="C8" s="52">
        <v>3480</v>
      </c>
      <c r="D8" s="52">
        <v>5866</v>
      </c>
      <c r="E8" s="52">
        <v>6861</v>
      </c>
      <c r="F8" s="52">
        <v>7693</v>
      </c>
      <c r="G8" s="52">
        <v>9454</v>
      </c>
      <c r="H8" s="52">
        <v>9315</v>
      </c>
      <c r="I8" s="52">
        <v>7901</v>
      </c>
    </row>
    <row r="9" spans="1:10" x14ac:dyDescent="0.2">
      <c r="A9" s="11" t="s">
        <v>8</v>
      </c>
      <c r="B9" s="10" t="s">
        <v>70</v>
      </c>
      <c r="C9" s="52">
        <v>1827</v>
      </c>
      <c r="D9" s="52">
        <v>3151</v>
      </c>
      <c r="E9" s="52">
        <v>3616</v>
      </c>
      <c r="F9" s="52">
        <v>3639</v>
      </c>
      <c r="G9" s="52">
        <v>4985</v>
      </c>
      <c r="H9" s="52">
        <v>4626</v>
      </c>
      <c r="I9" s="52">
        <v>3796</v>
      </c>
    </row>
    <row r="10" spans="1:10" x14ac:dyDescent="0.2">
      <c r="A10" s="11" t="s">
        <v>9</v>
      </c>
      <c r="B10" s="10" t="s">
        <v>70</v>
      </c>
      <c r="C10" s="52">
        <v>13801</v>
      </c>
      <c r="D10" s="52">
        <v>24251</v>
      </c>
      <c r="E10" s="52">
        <v>26337</v>
      </c>
      <c r="F10" s="52">
        <v>28511</v>
      </c>
      <c r="G10" s="52">
        <v>41778</v>
      </c>
      <c r="H10" s="52">
        <v>37633</v>
      </c>
      <c r="I10" s="52">
        <v>29363</v>
      </c>
    </row>
    <row r="11" spans="1:10" x14ac:dyDescent="0.2">
      <c r="A11" s="11" t="s">
        <v>10</v>
      </c>
      <c r="B11" s="10" t="s">
        <v>70</v>
      </c>
      <c r="C11" s="52">
        <v>5791</v>
      </c>
      <c r="D11" s="52">
        <v>10967</v>
      </c>
      <c r="E11" s="52">
        <v>12174</v>
      </c>
      <c r="F11" s="52">
        <v>12284</v>
      </c>
      <c r="G11" s="52">
        <v>16329</v>
      </c>
      <c r="H11" s="52">
        <v>14674</v>
      </c>
      <c r="I11" s="52">
        <v>10772</v>
      </c>
    </row>
    <row r="12" spans="1:10" x14ac:dyDescent="0.2">
      <c r="A12" s="11" t="s">
        <v>11</v>
      </c>
      <c r="B12" s="10" t="s">
        <v>70</v>
      </c>
      <c r="C12" s="52">
        <v>3480</v>
      </c>
      <c r="D12" s="52">
        <v>5801</v>
      </c>
      <c r="E12" s="52">
        <v>6347</v>
      </c>
      <c r="F12" s="52">
        <v>7156</v>
      </c>
      <c r="G12" s="52">
        <v>8583</v>
      </c>
      <c r="H12" s="52">
        <v>8557</v>
      </c>
      <c r="I12" s="52">
        <v>6544</v>
      </c>
    </row>
    <row r="13" spans="1:10" x14ac:dyDescent="0.2">
      <c r="A13" s="11" t="s">
        <v>12</v>
      </c>
      <c r="B13" s="10" t="s">
        <v>70</v>
      </c>
      <c r="C13" s="52">
        <v>83</v>
      </c>
      <c r="D13" s="52">
        <v>166</v>
      </c>
      <c r="E13" s="52">
        <v>213</v>
      </c>
      <c r="F13" s="52">
        <v>230</v>
      </c>
      <c r="G13" s="52">
        <v>384</v>
      </c>
      <c r="H13" s="52">
        <v>420</v>
      </c>
      <c r="I13" s="52">
        <v>345</v>
      </c>
    </row>
    <row r="14" spans="1:10" x14ac:dyDescent="0.2">
      <c r="A14" s="11" t="s">
        <v>13</v>
      </c>
      <c r="B14" s="10" t="s">
        <v>70</v>
      </c>
      <c r="C14" s="52">
        <v>1511</v>
      </c>
      <c r="D14" s="52">
        <v>2838</v>
      </c>
      <c r="E14" s="52">
        <v>3308</v>
      </c>
      <c r="F14" s="52">
        <v>3668</v>
      </c>
      <c r="G14" s="52">
        <v>5034</v>
      </c>
      <c r="H14" s="52">
        <v>4478</v>
      </c>
      <c r="I14" s="52">
        <v>3094</v>
      </c>
    </row>
    <row r="15" spans="1:10" x14ac:dyDescent="0.2">
      <c r="A15" s="11" t="s">
        <v>14</v>
      </c>
      <c r="B15" s="10" t="s">
        <v>70</v>
      </c>
      <c r="C15" s="52">
        <v>5384</v>
      </c>
      <c r="D15" s="52">
        <v>5865</v>
      </c>
      <c r="E15" s="52">
        <v>5200</v>
      </c>
      <c r="F15" s="52">
        <v>5289</v>
      </c>
      <c r="G15" s="52">
        <v>7389</v>
      </c>
      <c r="H15" s="52">
        <v>6895</v>
      </c>
      <c r="I15" s="52">
        <v>5739</v>
      </c>
    </row>
    <row r="16" spans="1:10" x14ac:dyDescent="0.2">
      <c r="A16" s="11" t="s">
        <v>15</v>
      </c>
      <c r="B16" s="10" t="s">
        <v>70</v>
      </c>
      <c r="C16" s="52">
        <v>10724</v>
      </c>
      <c r="D16" s="52">
        <v>19059</v>
      </c>
      <c r="E16" s="52">
        <v>19580</v>
      </c>
      <c r="F16" s="52">
        <v>21669</v>
      </c>
      <c r="G16" s="52">
        <v>31110</v>
      </c>
      <c r="H16" s="52">
        <v>27240</v>
      </c>
      <c r="I16" s="52">
        <v>22303</v>
      </c>
    </row>
    <row r="17" spans="1:9" x14ac:dyDescent="0.2">
      <c r="A17" s="11" t="s">
        <v>16</v>
      </c>
      <c r="B17" s="10" t="s">
        <v>70</v>
      </c>
      <c r="C17" s="52">
        <v>1077</v>
      </c>
      <c r="D17" s="52">
        <v>1876</v>
      </c>
      <c r="E17" s="52">
        <v>2143</v>
      </c>
      <c r="F17" s="52">
        <v>2350</v>
      </c>
      <c r="G17" s="52">
        <v>3106</v>
      </c>
      <c r="H17" s="52">
        <v>2796</v>
      </c>
      <c r="I17" s="52">
        <v>2176</v>
      </c>
    </row>
    <row r="18" spans="1:9" x14ac:dyDescent="0.2">
      <c r="A18" s="11" t="s">
        <v>17</v>
      </c>
      <c r="B18" s="10" t="s">
        <v>70</v>
      </c>
      <c r="C18" s="52">
        <v>2004</v>
      </c>
      <c r="D18" s="52">
        <v>3883</v>
      </c>
      <c r="E18" s="52">
        <v>4388</v>
      </c>
      <c r="F18" s="52">
        <v>4920</v>
      </c>
      <c r="G18" s="52">
        <v>6267</v>
      </c>
      <c r="H18" s="52">
        <v>5728</v>
      </c>
      <c r="I18" s="52">
        <v>4220</v>
      </c>
    </row>
    <row r="19" spans="1:9" x14ac:dyDescent="0.2">
      <c r="A19" s="11" t="s">
        <v>18</v>
      </c>
      <c r="B19" s="10" t="s">
        <v>70</v>
      </c>
      <c r="C19" s="52">
        <v>950</v>
      </c>
      <c r="D19" s="52">
        <v>1736</v>
      </c>
      <c r="E19" s="52">
        <v>1842</v>
      </c>
      <c r="F19" s="52">
        <v>2075</v>
      </c>
      <c r="G19" s="52">
        <v>2536</v>
      </c>
      <c r="H19" s="52">
        <v>2339</v>
      </c>
      <c r="I19" s="52">
        <v>1781</v>
      </c>
    </row>
    <row r="20" spans="1:9" x14ac:dyDescent="0.2">
      <c r="A20" s="11" t="s">
        <v>19</v>
      </c>
      <c r="B20" s="10" t="s">
        <v>70</v>
      </c>
      <c r="C20" s="52">
        <v>1680</v>
      </c>
      <c r="D20" s="52">
        <v>2852</v>
      </c>
      <c r="E20" s="52">
        <v>3027</v>
      </c>
      <c r="F20" s="52">
        <v>3324</v>
      </c>
      <c r="G20" s="52">
        <v>4255</v>
      </c>
      <c r="H20" s="52">
        <v>4100</v>
      </c>
      <c r="I20" s="52">
        <v>3201</v>
      </c>
    </row>
    <row r="21" spans="1:9" x14ac:dyDescent="0.2">
      <c r="A21" s="11" t="s">
        <v>20</v>
      </c>
      <c r="B21" s="10" t="s">
        <v>70</v>
      </c>
      <c r="C21" s="52">
        <v>2099</v>
      </c>
      <c r="D21" s="52">
        <v>3750</v>
      </c>
      <c r="E21" s="52">
        <v>4326</v>
      </c>
      <c r="F21" s="52">
        <v>4584</v>
      </c>
      <c r="G21" s="52">
        <v>6179</v>
      </c>
      <c r="H21" s="52">
        <v>5995</v>
      </c>
      <c r="I21" s="52">
        <v>4802</v>
      </c>
    </row>
    <row r="22" spans="1:9" x14ac:dyDescent="0.2">
      <c r="A22" s="11" t="s">
        <v>21</v>
      </c>
      <c r="B22" s="10" t="s">
        <v>70</v>
      </c>
      <c r="C22" s="52">
        <v>5751</v>
      </c>
      <c r="D22" s="52">
        <v>10909</v>
      </c>
      <c r="E22" s="52">
        <v>12369</v>
      </c>
      <c r="F22" s="52">
        <v>12781</v>
      </c>
      <c r="G22" s="52">
        <v>16754</v>
      </c>
      <c r="H22" s="52">
        <v>15715</v>
      </c>
      <c r="I22" s="52">
        <v>13884</v>
      </c>
    </row>
    <row r="23" spans="1:9" x14ac:dyDescent="0.2">
      <c r="A23" s="11" t="s">
        <v>22</v>
      </c>
      <c r="B23" s="10" t="s">
        <v>70</v>
      </c>
      <c r="C23" s="52">
        <v>4778</v>
      </c>
      <c r="D23" s="52">
        <v>9731</v>
      </c>
      <c r="E23" s="52">
        <v>10838</v>
      </c>
      <c r="F23" s="52">
        <v>10985</v>
      </c>
      <c r="G23" s="52">
        <v>14751</v>
      </c>
      <c r="H23" s="52">
        <v>14014</v>
      </c>
      <c r="I23" s="52">
        <v>10814</v>
      </c>
    </row>
    <row r="24" spans="1:9" x14ac:dyDescent="0.2">
      <c r="A24" s="11" t="s">
        <v>23</v>
      </c>
      <c r="B24" s="10" t="s">
        <v>70</v>
      </c>
      <c r="C24" s="52">
        <v>9406</v>
      </c>
      <c r="D24" s="52">
        <v>17572</v>
      </c>
      <c r="E24" s="52">
        <v>19787</v>
      </c>
      <c r="F24" s="52">
        <v>19575</v>
      </c>
      <c r="G24" s="52">
        <v>27883</v>
      </c>
      <c r="H24" s="52">
        <v>27091</v>
      </c>
      <c r="I24" s="52">
        <v>21339</v>
      </c>
    </row>
    <row r="25" spans="1:9" x14ac:dyDescent="0.2">
      <c r="A25" s="11" t="s">
        <v>24</v>
      </c>
      <c r="B25" s="10" t="s">
        <v>70</v>
      </c>
      <c r="C25" s="52">
        <v>809</v>
      </c>
      <c r="D25" s="52">
        <v>1484</v>
      </c>
      <c r="E25" s="52">
        <v>1649</v>
      </c>
      <c r="F25" s="52">
        <v>1747</v>
      </c>
      <c r="G25" s="52">
        <v>2516</v>
      </c>
      <c r="H25" s="52">
        <v>2304</v>
      </c>
      <c r="I25" s="52">
        <v>1605</v>
      </c>
    </row>
    <row r="26" spans="1:9" x14ac:dyDescent="0.2">
      <c r="A26" s="11" t="s">
        <v>25</v>
      </c>
      <c r="B26" s="10" t="s">
        <v>70</v>
      </c>
      <c r="C26" s="52">
        <v>5308</v>
      </c>
      <c r="D26" s="52">
        <v>9429</v>
      </c>
      <c r="E26" s="52">
        <v>10248</v>
      </c>
      <c r="F26" s="52">
        <v>10770</v>
      </c>
      <c r="G26" s="52">
        <v>13733</v>
      </c>
      <c r="H26" s="52">
        <v>12134</v>
      </c>
      <c r="I26" s="52">
        <v>9173</v>
      </c>
    </row>
    <row r="27" spans="1:9" x14ac:dyDescent="0.2">
      <c r="A27" s="11" t="s">
        <v>26</v>
      </c>
      <c r="B27" s="10" t="s">
        <v>70</v>
      </c>
      <c r="C27" s="52">
        <v>2758</v>
      </c>
      <c r="D27" s="52">
        <v>5810</v>
      </c>
      <c r="E27" s="52">
        <v>6206</v>
      </c>
      <c r="F27" s="52">
        <v>6759</v>
      </c>
      <c r="G27" s="52">
        <v>7927</v>
      </c>
      <c r="H27" s="52">
        <v>6970</v>
      </c>
      <c r="I27" s="52">
        <v>4876</v>
      </c>
    </row>
    <row r="28" spans="1:9" x14ac:dyDescent="0.2">
      <c r="A28" s="11" t="s">
        <v>27</v>
      </c>
      <c r="B28" s="10" t="s">
        <v>70</v>
      </c>
      <c r="C28" s="52">
        <v>106</v>
      </c>
      <c r="D28" s="52">
        <v>138</v>
      </c>
      <c r="E28" s="52">
        <v>201</v>
      </c>
      <c r="F28" s="52">
        <v>269</v>
      </c>
      <c r="G28" s="52">
        <v>450</v>
      </c>
      <c r="H28" s="52">
        <v>501</v>
      </c>
      <c r="I28" s="52">
        <v>394</v>
      </c>
    </row>
    <row r="29" spans="1:9" x14ac:dyDescent="0.2">
      <c r="A29" s="11" t="s">
        <v>28</v>
      </c>
      <c r="B29" s="10" t="s">
        <v>70</v>
      </c>
      <c r="C29" s="52">
        <v>4169</v>
      </c>
      <c r="D29" s="52">
        <v>8046</v>
      </c>
      <c r="E29" s="52">
        <v>9113</v>
      </c>
      <c r="F29" s="52">
        <v>9742</v>
      </c>
      <c r="G29" s="52">
        <v>12495</v>
      </c>
      <c r="H29" s="52">
        <v>11202</v>
      </c>
      <c r="I29" s="52">
        <v>9527</v>
      </c>
    </row>
    <row r="30" spans="1:9" x14ac:dyDescent="0.2">
      <c r="A30" s="11" t="s">
        <v>29</v>
      </c>
      <c r="B30" s="10" t="s">
        <v>70</v>
      </c>
      <c r="C30" s="52">
        <v>521</v>
      </c>
      <c r="D30" s="52">
        <v>997</v>
      </c>
      <c r="E30" s="52">
        <v>1003</v>
      </c>
      <c r="F30" s="52">
        <v>1148</v>
      </c>
      <c r="G30" s="52">
        <v>1460</v>
      </c>
      <c r="H30" s="52">
        <v>1345</v>
      </c>
      <c r="I30" s="52">
        <v>980</v>
      </c>
    </row>
    <row r="31" spans="1:9" x14ac:dyDescent="0.2">
      <c r="A31" s="11" t="s">
        <v>30</v>
      </c>
      <c r="B31" s="10" t="s">
        <v>70</v>
      </c>
      <c r="C31" s="52">
        <v>974</v>
      </c>
      <c r="D31" s="52">
        <v>1774</v>
      </c>
      <c r="E31" s="52">
        <v>1774</v>
      </c>
      <c r="F31" s="52">
        <v>2067</v>
      </c>
      <c r="G31" s="52">
        <v>2254</v>
      </c>
      <c r="H31" s="52">
        <v>1950</v>
      </c>
      <c r="I31" s="52">
        <v>1384</v>
      </c>
    </row>
    <row r="32" spans="1:9" x14ac:dyDescent="0.2">
      <c r="A32" s="11" t="s">
        <v>31</v>
      </c>
      <c r="B32" s="10" t="s">
        <v>70</v>
      </c>
      <c r="C32" s="52">
        <v>1354</v>
      </c>
      <c r="D32" s="52">
        <v>2298</v>
      </c>
      <c r="E32" s="52">
        <v>2458</v>
      </c>
      <c r="F32" s="52">
        <v>2775</v>
      </c>
      <c r="G32" s="52">
        <v>3664</v>
      </c>
      <c r="H32" s="52">
        <v>3511</v>
      </c>
      <c r="I32" s="52">
        <v>2814</v>
      </c>
    </row>
    <row r="33" spans="1:9" x14ac:dyDescent="0.2">
      <c r="A33" s="11" t="s">
        <v>32</v>
      </c>
      <c r="B33" s="10" t="s">
        <v>70</v>
      </c>
      <c r="C33" s="52">
        <v>2392</v>
      </c>
      <c r="D33" s="52">
        <v>3567</v>
      </c>
      <c r="E33" s="52">
        <v>3968</v>
      </c>
      <c r="F33" s="52">
        <v>4399</v>
      </c>
      <c r="G33" s="52">
        <v>5362</v>
      </c>
      <c r="H33" s="52">
        <v>5211</v>
      </c>
      <c r="I33" s="52">
        <v>3954</v>
      </c>
    </row>
    <row r="34" spans="1:9" x14ac:dyDescent="0.2">
      <c r="A34" s="11" t="s">
        <v>33</v>
      </c>
      <c r="B34" s="10" t="s">
        <v>70</v>
      </c>
      <c r="C34" s="52">
        <v>1322</v>
      </c>
      <c r="D34" s="52">
        <v>2365</v>
      </c>
      <c r="E34" s="52">
        <v>2835</v>
      </c>
      <c r="F34" s="52">
        <v>2852</v>
      </c>
      <c r="G34" s="52">
        <v>3685</v>
      </c>
      <c r="H34" s="52">
        <v>3621</v>
      </c>
      <c r="I34" s="52">
        <v>2735</v>
      </c>
    </row>
    <row r="35" spans="1:9" x14ac:dyDescent="0.2">
      <c r="A35" s="11" t="s">
        <v>34</v>
      </c>
      <c r="B35" s="10" t="s">
        <v>70</v>
      </c>
      <c r="C35" s="52">
        <v>655</v>
      </c>
      <c r="D35" s="52">
        <v>1274</v>
      </c>
      <c r="E35" s="52">
        <v>1370</v>
      </c>
      <c r="F35" s="52">
        <v>1510</v>
      </c>
      <c r="G35" s="52">
        <v>1963</v>
      </c>
      <c r="H35" s="52">
        <v>1810</v>
      </c>
      <c r="I35" s="52">
        <v>1435</v>
      </c>
    </row>
    <row r="36" spans="1:9" x14ac:dyDescent="0.2">
      <c r="A36" s="11" t="s">
        <v>35</v>
      </c>
      <c r="B36" s="10" t="s">
        <v>70</v>
      </c>
      <c r="C36" s="52">
        <v>4166</v>
      </c>
      <c r="D36" s="52">
        <v>7238</v>
      </c>
      <c r="E36" s="52">
        <v>7835</v>
      </c>
      <c r="F36" s="52">
        <v>8168</v>
      </c>
      <c r="G36" s="52">
        <v>10023</v>
      </c>
      <c r="H36" s="52">
        <v>8294</v>
      </c>
      <c r="I36" s="52">
        <v>6537</v>
      </c>
    </row>
    <row r="37" spans="1:9" x14ac:dyDescent="0.2">
      <c r="A37" s="11" t="s">
        <v>36</v>
      </c>
      <c r="B37" s="10" t="s">
        <v>70</v>
      </c>
      <c r="C37" s="52">
        <v>12808</v>
      </c>
      <c r="D37" s="52">
        <v>24372</v>
      </c>
      <c r="E37" s="52">
        <v>26247</v>
      </c>
      <c r="F37" s="52">
        <v>25259</v>
      </c>
      <c r="G37" s="52">
        <v>32738</v>
      </c>
      <c r="H37" s="52">
        <v>32798</v>
      </c>
      <c r="I37" s="52">
        <v>29365</v>
      </c>
    </row>
    <row r="38" spans="1:9" x14ac:dyDescent="0.2">
      <c r="A38" s="11" t="s">
        <v>37</v>
      </c>
      <c r="B38" s="10" t="s">
        <v>70</v>
      </c>
      <c r="C38" s="52">
        <v>2333</v>
      </c>
      <c r="D38" s="52">
        <v>3832</v>
      </c>
      <c r="E38" s="52">
        <v>4250</v>
      </c>
      <c r="F38" s="52">
        <v>4589</v>
      </c>
      <c r="G38" s="52">
        <v>5544</v>
      </c>
      <c r="H38" s="52">
        <v>5377</v>
      </c>
      <c r="I38" s="52">
        <v>4158</v>
      </c>
    </row>
    <row r="39" spans="1:9" x14ac:dyDescent="0.2">
      <c r="A39" s="11" t="s">
        <v>38</v>
      </c>
      <c r="B39" s="10" t="s">
        <v>70</v>
      </c>
      <c r="C39" s="52">
        <v>3360</v>
      </c>
      <c r="D39" s="52">
        <v>6223</v>
      </c>
      <c r="E39" s="52">
        <v>7133</v>
      </c>
      <c r="F39" s="52">
        <v>7748</v>
      </c>
      <c r="G39" s="52">
        <v>9840</v>
      </c>
      <c r="H39" s="52">
        <v>9757</v>
      </c>
      <c r="I39" s="52">
        <v>8571</v>
      </c>
    </row>
    <row r="40" spans="1:9" x14ac:dyDescent="0.2">
      <c r="A40" s="11" t="s">
        <v>39</v>
      </c>
      <c r="B40" s="10" t="s">
        <v>70</v>
      </c>
      <c r="C40" s="52">
        <v>5825</v>
      </c>
      <c r="D40" s="52">
        <v>11498</v>
      </c>
      <c r="E40" s="52">
        <v>12626</v>
      </c>
      <c r="F40" s="52">
        <v>13158</v>
      </c>
      <c r="G40" s="52">
        <v>17293</v>
      </c>
      <c r="H40" s="52">
        <v>16022</v>
      </c>
      <c r="I40" s="52">
        <v>13025</v>
      </c>
    </row>
    <row r="41" spans="1:9" x14ac:dyDescent="0.2">
      <c r="A41" s="11" t="s">
        <v>40</v>
      </c>
      <c r="B41" s="10" t="s">
        <v>70</v>
      </c>
      <c r="C41" s="52">
        <v>5787</v>
      </c>
      <c r="D41" s="52">
        <v>11185</v>
      </c>
      <c r="E41" s="52">
        <v>13130</v>
      </c>
      <c r="F41" s="52">
        <v>13826</v>
      </c>
      <c r="G41" s="52">
        <v>18354</v>
      </c>
      <c r="H41" s="52">
        <v>15653</v>
      </c>
      <c r="I41" s="52">
        <v>12851</v>
      </c>
    </row>
    <row r="42" spans="1:9" x14ac:dyDescent="0.2">
      <c r="A42" s="11" t="s">
        <v>41</v>
      </c>
      <c r="B42" s="10" t="s">
        <v>70</v>
      </c>
      <c r="C42" s="52">
        <v>2811</v>
      </c>
      <c r="D42" s="52">
        <v>4956</v>
      </c>
      <c r="E42" s="52">
        <v>6277</v>
      </c>
      <c r="F42" s="52">
        <v>6332</v>
      </c>
      <c r="G42" s="52">
        <v>8191</v>
      </c>
      <c r="H42" s="52">
        <v>8480</v>
      </c>
      <c r="I42" s="52">
        <v>6659</v>
      </c>
    </row>
    <row r="43" spans="1:9" x14ac:dyDescent="0.2">
      <c r="A43" s="11" t="s">
        <v>42</v>
      </c>
      <c r="B43" s="10" t="s">
        <v>70</v>
      </c>
      <c r="C43" s="52">
        <v>1032</v>
      </c>
      <c r="D43" s="52">
        <v>1869</v>
      </c>
      <c r="E43" s="52">
        <v>2213</v>
      </c>
      <c r="F43" s="52">
        <v>2412</v>
      </c>
      <c r="G43" s="52">
        <v>3222</v>
      </c>
      <c r="H43" s="52">
        <v>3089</v>
      </c>
      <c r="I43" s="52">
        <v>2372</v>
      </c>
    </row>
    <row r="44" spans="1:9" x14ac:dyDescent="0.2">
      <c r="A44" s="11" t="s">
        <v>43</v>
      </c>
      <c r="B44" s="10" t="s">
        <v>70</v>
      </c>
      <c r="C44" s="52">
        <v>2886</v>
      </c>
      <c r="D44" s="52">
        <v>4990</v>
      </c>
      <c r="E44" s="52">
        <v>5005</v>
      </c>
      <c r="F44" s="52">
        <v>5500</v>
      </c>
      <c r="G44" s="52">
        <v>7192</v>
      </c>
      <c r="H44" s="52">
        <v>7000</v>
      </c>
      <c r="I44" s="52">
        <v>5711</v>
      </c>
    </row>
    <row r="45" spans="1:9" x14ac:dyDescent="0.2">
      <c r="A45" s="11" t="s">
        <v>44</v>
      </c>
      <c r="B45" s="10" t="s">
        <v>70</v>
      </c>
      <c r="C45" s="52">
        <v>1131</v>
      </c>
      <c r="D45" s="52">
        <v>2330</v>
      </c>
      <c r="E45" s="52">
        <v>2496</v>
      </c>
      <c r="F45" s="52">
        <v>2676</v>
      </c>
      <c r="G45" s="52">
        <v>3721</v>
      </c>
      <c r="H45" s="52">
        <v>3413</v>
      </c>
      <c r="I45" s="52">
        <v>2869</v>
      </c>
    </row>
    <row r="46" spans="1:9" x14ac:dyDescent="0.2">
      <c r="A46" s="11" t="s">
        <v>45</v>
      </c>
      <c r="B46" s="10" t="s">
        <v>70</v>
      </c>
      <c r="C46" s="52">
        <v>2511</v>
      </c>
      <c r="D46" s="52">
        <v>5180</v>
      </c>
      <c r="E46" s="52">
        <v>6186</v>
      </c>
      <c r="F46" s="52">
        <v>6483</v>
      </c>
      <c r="G46" s="52">
        <v>9316</v>
      </c>
      <c r="H46" s="52">
        <v>8438</v>
      </c>
      <c r="I46" s="52">
        <v>5217</v>
      </c>
    </row>
    <row r="47" spans="1:9" x14ac:dyDescent="0.2">
      <c r="A47" s="11" t="s">
        <v>46</v>
      </c>
      <c r="B47" s="10" t="s">
        <v>70</v>
      </c>
      <c r="C47" s="52">
        <v>13890</v>
      </c>
      <c r="D47" s="52">
        <v>26068</v>
      </c>
      <c r="E47" s="52">
        <v>28087</v>
      </c>
      <c r="F47" s="52">
        <v>29100</v>
      </c>
      <c r="G47" s="52">
        <v>41025</v>
      </c>
      <c r="H47" s="52">
        <v>37790</v>
      </c>
      <c r="I47" s="52">
        <v>31637</v>
      </c>
    </row>
    <row r="48" spans="1:9" x14ac:dyDescent="0.2">
      <c r="A48" s="11" t="s">
        <v>47</v>
      </c>
      <c r="B48" s="10" t="s">
        <v>70</v>
      </c>
      <c r="C48" s="52">
        <v>394</v>
      </c>
      <c r="D48" s="52">
        <v>818</v>
      </c>
      <c r="E48" s="52">
        <v>939</v>
      </c>
      <c r="F48" s="52">
        <v>866</v>
      </c>
      <c r="G48" s="52">
        <v>1219</v>
      </c>
      <c r="H48" s="52">
        <v>1242</v>
      </c>
      <c r="I48" s="52">
        <v>1076</v>
      </c>
    </row>
    <row r="49" spans="1:9" x14ac:dyDescent="0.2">
      <c r="A49" s="11" t="s">
        <v>48</v>
      </c>
      <c r="B49" s="10" t="s">
        <v>70</v>
      </c>
      <c r="C49" s="52">
        <v>6054</v>
      </c>
      <c r="D49" s="52">
        <v>11231</v>
      </c>
      <c r="E49" s="52">
        <v>11869</v>
      </c>
      <c r="F49" s="52">
        <v>12452</v>
      </c>
      <c r="G49" s="52">
        <v>17393</v>
      </c>
      <c r="H49" s="52">
        <v>15537</v>
      </c>
      <c r="I49" s="52">
        <v>12327</v>
      </c>
    </row>
    <row r="50" spans="1:9" x14ac:dyDescent="0.2">
      <c r="A50" s="11" t="s">
        <v>49</v>
      </c>
      <c r="B50" s="10" t="s">
        <v>70</v>
      </c>
      <c r="C50" s="52">
        <v>2002</v>
      </c>
      <c r="D50" s="52">
        <v>3641</v>
      </c>
      <c r="E50" s="52">
        <v>4589</v>
      </c>
      <c r="F50" s="52">
        <v>4810</v>
      </c>
      <c r="G50" s="52">
        <v>6179</v>
      </c>
      <c r="H50" s="52">
        <v>5968</v>
      </c>
      <c r="I50" s="52">
        <v>4723</v>
      </c>
    </row>
    <row r="51" spans="1:9" x14ac:dyDescent="0.2">
      <c r="A51" s="11" t="s">
        <v>50</v>
      </c>
      <c r="B51" s="10" t="s">
        <v>70</v>
      </c>
      <c r="C51" s="52">
        <v>1408</v>
      </c>
      <c r="D51" s="52">
        <v>2641</v>
      </c>
      <c r="E51" s="52">
        <v>3059</v>
      </c>
      <c r="F51" s="52">
        <v>3189</v>
      </c>
      <c r="G51" s="52">
        <v>4252</v>
      </c>
      <c r="H51" s="52">
        <v>3806</v>
      </c>
      <c r="I51" s="52">
        <v>2579</v>
      </c>
    </row>
    <row r="52" spans="1:9" x14ac:dyDescent="0.2">
      <c r="A52" s="11" t="s">
        <v>51</v>
      </c>
      <c r="B52" s="10" t="s">
        <v>70</v>
      </c>
      <c r="C52" s="52">
        <v>9837</v>
      </c>
      <c r="D52" s="52">
        <v>25681</v>
      </c>
      <c r="E52" s="52">
        <v>23672</v>
      </c>
      <c r="F52" s="52">
        <v>18714</v>
      </c>
      <c r="G52" s="52">
        <v>20732</v>
      </c>
      <c r="H52" s="52">
        <v>18165</v>
      </c>
      <c r="I52" s="52">
        <v>14379</v>
      </c>
    </row>
    <row r="53" spans="1:9" x14ac:dyDescent="0.2">
      <c r="A53" s="11" t="s">
        <v>52</v>
      </c>
      <c r="B53" s="10" t="s">
        <v>70</v>
      </c>
      <c r="C53" s="52">
        <v>1226</v>
      </c>
      <c r="D53" s="52">
        <v>2434</v>
      </c>
      <c r="E53" s="52">
        <v>2995</v>
      </c>
      <c r="F53" s="52">
        <v>3248</v>
      </c>
      <c r="G53" s="52">
        <v>5211</v>
      </c>
      <c r="H53" s="52">
        <v>4736</v>
      </c>
      <c r="I53" s="52">
        <v>3275</v>
      </c>
    </row>
    <row r="54" spans="1:9" x14ac:dyDescent="0.2">
      <c r="A54" s="11" t="s">
        <v>53</v>
      </c>
      <c r="B54" s="10" t="s">
        <v>70</v>
      </c>
      <c r="C54" s="52">
        <v>492</v>
      </c>
      <c r="D54" s="52">
        <v>910</v>
      </c>
      <c r="E54" s="52">
        <v>1053</v>
      </c>
      <c r="F54" s="52">
        <v>1060</v>
      </c>
      <c r="G54" s="52">
        <v>1548</v>
      </c>
      <c r="H54" s="52">
        <v>1635</v>
      </c>
      <c r="I54" s="52">
        <v>1291</v>
      </c>
    </row>
    <row r="55" spans="1:9" x14ac:dyDescent="0.2">
      <c r="A55" s="11" t="s">
        <v>54</v>
      </c>
      <c r="B55" s="10" t="s">
        <v>70</v>
      </c>
      <c r="C55" s="52">
        <v>3634</v>
      </c>
      <c r="D55" s="52">
        <v>6286</v>
      </c>
      <c r="E55" s="52">
        <v>7357</v>
      </c>
      <c r="F55" s="52">
        <v>8324</v>
      </c>
      <c r="G55" s="52">
        <v>10557</v>
      </c>
      <c r="H55" s="52">
        <v>9656</v>
      </c>
      <c r="I55" s="52">
        <v>7344</v>
      </c>
    </row>
    <row r="56" spans="1:9" x14ac:dyDescent="0.2">
      <c r="A56" s="11" t="s">
        <v>55</v>
      </c>
      <c r="B56" s="10" t="s">
        <v>70</v>
      </c>
      <c r="C56" s="52">
        <v>1215</v>
      </c>
      <c r="D56" s="52">
        <v>1851</v>
      </c>
      <c r="E56" s="52">
        <v>2248</v>
      </c>
      <c r="F56" s="52">
        <v>2364</v>
      </c>
      <c r="G56" s="52">
        <v>3036</v>
      </c>
      <c r="H56" s="52">
        <v>2833</v>
      </c>
      <c r="I56" s="52">
        <v>2393</v>
      </c>
    </row>
    <row r="57" spans="1:9" x14ac:dyDescent="0.2">
      <c r="A57" s="11" t="s">
        <v>56</v>
      </c>
      <c r="B57" s="10" t="s">
        <v>70</v>
      </c>
      <c r="C57" s="52">
        <v>2226</v>
      </c>
      <c r="D57" s="52">
        <v>3945</v>
      </c>
      <c r="E57" s="52">
        <v>4390</v>
      </c>
      <c r="F57" s="52">
        <v>4892</v>
      </c>
      <c r="G57" s="52">
        <v>6255</v>
      </c>
      <c r="H57" s="52">
        <v>6327</v>
      </c>
      <c r="I57" s="52">
        <v>4768</v>
      </c>
    </row>
    <row r="58" spans="1:9" x14ac:dyDescent="0.2">
      <c r="A58" s="11" t="s">
        <v>57</v>
      </c>
      <c r="B58" s="10" t="s">
        <v>70</v>
      </c>
      <c r="C58" s="52">
        <v>163</v>
      </c>
      <c r="D58" s="52">
        <v>264</v>
      </c>
      <c r="E58" s="52">
        <v>349</v>
      </c>
      <c r="F58" s="52">
        <v>375</v>
      </c>
      <c r="G58" s="52">
        <v>564</v>
      </c>
      <c r="H58" s="52">
        <v>664</v>
      </c>
      <c r="I58" s="52">
        <v>468</v>
      </c>
    </row>
    <row r="59" spans="1:9" x14ac:dyDescent="0.2">
      <c r="A59" s="11" t="s">
        <v>58</v>
      </c>
      <c r="B59" s="10" t="s">
        <v>70</v>
      </c>
      <c r="C59" s="52">
        <v>1110</v>
      </c>
      <c r="D59" s="52">
        <v>2105</v>
      </c>
      <c r="E59" s="52">
        <v>2391</v>
      </c>
      <c r="F59" s="52">
        <v>2361</v>
      </c>
      <c r="G59" s="52">
        <v>3404</v>
      </c>
      <c r="H59" s="52">
        <v>3330</v>
      </c>
      <c r="I59" s="52">
        <v>2609</v>
      </c>
    </row>
    <row r="60" spans="1:9" x14ac:dyDescent="0.2">
      <c r="A60" s="11" t="s">
        <v>59</v>
      </c>
      <c r="B60" s="10" t="s">
        <v>70</v>
      </c>
      <c r="C60" s="52">
        <v>1073</v>
      </c>
      <c r="D60" s="52">
        <v>1989</v>
      </c>
      <c r="E60" s="52">
        <v>2468</v>
      </c>
      <c r="F60" s="52">
        <v>2549</v>
      </c>
      <c r="G60" s="52">
        <v>3461</v>
      </c>
      <c r="H60" s="52">
        <v>3589</v>
      </c>
      <c r="I60" s="52">
        <v>2973</v>
      </c>
    </row>
    <row r="61" spans="1:9" x14ac:dyDescent="0.2">
      <c r="A61" s="11" t="s">
        <v>60</v>
      </c>
      <c r="B61" s="10" t="s">
        <v>70</v>
      </c>
      <c r="C61" s="52">
        <v>1330</v>
      </c>
      <c r="D61" s="52">
        <v>1774</v>
      </c>
      <c r="E61" s="52">
        <v>1913</v>
      </c>
      <c r="F61" s="52">
        <v>1953</v>
      </c>
      <c r="G61" s="52">
        <v>2624</v>
      </c>
      <c r="H61" s="52">
        <v>2413</v>
      </c>
      <c r="I61" s="52">
        <v>2374</v>
      </c>
    </row>
    <row r="62" spans="1:9" x14ac:dyDescent="0.2">
      <c r="A62" s="11" t="s">
        <v>61</v>
      </c>
      <c r="B62" s="10" t="s">
        <v>70</v>
      </c>
      <c r="C62" s="52">
        <v>1220</v>
      </c>
      <c r="D62" s="52">
        <v>2215</v>
      </c>
      <c r="E62" s="52">
        <v>2707</v>
      </c>
      <c r="F62" s="52">
        <v>3024</v>
      </c>
      <c r="G62" s="52">
        <v>3870</v>
      </c>
      <c r="H62" s="52">
        <v>4049</v>
      </c>
      <c r="I62" s="52">
        <v>3034</v>
      </c>
    </row>
    <row r="63" spans="1:9" x14ac:dyDescent="0.2">
      <c r="A63" s="11" t="s">
        <v>62</v>
      </c>
      <c r="B63" s="10" t="s">
        <v>70</v>
      </c>
      <c r="C63" s="52">
        <v>951</v>
      </c>
      <c r="D63" s="52">
        <v>1736</v>
      </c>
      <c r="E63" s="52">
        <v>2064</v>
      </c>
      <c r="F63" s="52">
        <v>2149</v>
      </c>
      <c r="G63" s="52">
        <v>3071</v>
      </c>
      <c r="H63" s="52">
        <v>3050</v>
      </c>
      <c r="I63" s="52">
        <v>2209</v>
      </c>
    </row>
    <row r="64" spans="1:9" x14ac:dyDescent="0.2">
      <c r="A64" s="11" t="s">
        <v>63</v>
      </c>
      <c r="B64" s="10" t="s">
        <v>70</v>
      </c>
      <c r="C64" s="52">
        <v>5220</v>
      </c>
      <c r="D64" s="52">
        <v>9675</v>
      </c>
      <c r="E64" s="52">
        <v>11124</v>
      </c>
      <c r="F64" s="52">
        <v>11435</v>
      </c>
      <c r="G64" s="52">
        <v>13855</v>
      </c>
      <c r="H64" s="52">
        <v>12585</v>
      </c>
      <c r="I64" s="52">
        <v>8797</v>
      </c>
    </row>
    <row r="65" spans="1:9" x14ac:dyDescent="0.2">
      <c r="A65" s="11" t="s">
        <v>64</v>
      </c>
      <c r="B65" s="10" t="s">
        <v>70</v>
      </c>
      <c r="C65" s="52">
        <v>1261</v>
      </c>
      <c r="D65" s="52">
        <v>2498</v>
      </c>
      <c r="E65" s="52">
        <v>2785</v>
      </c>
      <c r="F65" s="52">
        <v>2880</v>
      </c>
      <c r="G65" s="52">
        <v>4508</v>
      </c>
      <c r="H65" s="52">
        <v>4449</v>
      </c>
      <c r="I65" s="52">
        <v>3363</v>
      </c>
    </row>
    <row r="66" spans="1:9" x14ac:dyDescent="0.2">
      <c r="A66" s="11" t="s">
        <v>65</v>
      </c>
      <c r="B66" s="10" t="s">
        <v>70</v>
      </c>
      <c r="C66" s="52">
        <v>8708</v>
      </c>
      <c r="D66" s="52">
        <v>16481</v>
      </c>
      <c r="E66" s="52">
        <v>18377</v>
      </c>
      <c r="F66" s="52">
        <v>19163</v>
      </c>
      <c r="G66" s="52">
        <v>25867</v>
      </c>
      <c r="H66" s="52">
        <v>23906</v>
      </c>
      <c r="I66" s="52">
        <v>18239</v>
      </c>
    </row>
    <row r="67" spans="1:9" x14ac:dyDescent="0.2">
      <c r="A67" s="11" t="s">
        <v>66</v>
      </c>
      <c r="B67" s="10" t="s">
        <v>70</v>
      </c>
      <c r="C67" s="52">
        <v>713</v>
      </c>
      <c r="D67" s="52">
        <v>1378</v>
      </c>
      <c r="E67" s="52">
        <v>1523</v>
      </c>
      <c r="F67" s="52">
        <v>1725</v>
      </c>
      <c r="G67" s="52">
        <v>2154</v>
      </c>
      <c r="H67" s="52">
        <v>2080</v>
      </c>
      <c r="I67" s="52">
        <v>1739</v>
      </c>
    </row>
    <row r="68" spans="1:9" ht="13.5" thickBot="1" x14ac:dyDescent="0.25">
      <c r="A68" s="13" t="s">
        <v>67</v>
      </c>
      <c r="B68" s="12" t="s">
        <v>70</v>
      </c>
      <c r="C68" s="52">
        <v>10980</v>
      </c>
      <c r="D68" s="52">
        <v>21503</v>
      </c>
      <c r="E68" s="52">
        <v>25254</v>
      </c>
      <c r="F68" s="52">
        <v>25392</v>
      </c>
      <c r="G68" s="52">
        <v>34260</v>
      </c>
      <c r="H68" s="52">
        <v>29103</v>
      </c>
      <c r="I68" s="52">
        <v>21771</v>
      </c>
    </row>
    <row r="69" spans="1:9" x14ac:dyDescent="0.2">
      <c r="A69" s="32" t="s">
        <v>68</v>
      </c>
      <c r="C69" s="14">
        <f>SUM(C2:C68)</f>
        <v>250117</v>
      </c>
      <c r="D69" s="14">
        <f t="shared" ref="D69:I69" si="0">SUM(D2:D68)</f>
        <v>470058</v>
      </c>
      <c r="E69" s="14">
        <f t="shared" si="0"/>
        <v>514601</v>
      </c>
      <c r="F69" s="14">
        <f t="shared" si="0"/>
        <v>528549</v>
      </c>
      <c r="G69" s="14">
        <f t="shared" si="0"/>
        <v>703520</v>
      </c>
      <c r="H69" s="14">
        <f t="shared" si="0"/>
        <v>652962</v>
      </c>
      <c r="I69" s="14">
        <f t="shared" si="0"/>
        <v>513977</v>
      </c>
    </row>
    <row r="70" spans="1:9" x14ac:dyDescent="0.2">
      <c r="C70" s="17">
        <f>C69/$C$72</f>
        <v>6.8831003714034736E-2</v>
      </c>
      <c r="D70" s="17">
        <f t="shared" ref="D70:I70" si="1">D69/$C$72</f>
        <v>0.1293577163639886</v>
      </c>
      <c r="E70" s="17">
        <f t="shared" si="1"/>
        <v>0.1416157372039725</v>
      </c>
      <c r="F70" s="17">
        <f t="shared" si="1"/>
        <v>0.14545416018123256</v>
      </c>
      <c r="G70" s="17">
        <f t="shared" si="1"/>
        <v>0.19360534363077167</v>
      </c>
      <c r="H70" s="17">
        <f t="shared" si="1"/>
        <v>0.17969202352148614</v>
      </c>
      <c r="I70" s="17">
        <f t="shared" si="1"/>
        <v>0.14144401538451376</v>
      </c>
    </row>
    <row r="72" spans="1:9" x14ac:dyDescent="0.2">
      <c r="A72" s="32" t="s">
        <v>80</v>
      </c>
      <c r="C72" s="16">
        <f>SUM(C69:I69)</f>
        <v>3633784</v>
      </c>
    </row>
    <row r="75" spans="1:9" x14ac:dyDescent="0.2">
      <c r="I75" s="10"/>
    </row>
    <row r="80" spans="1:9" x14ac:dyDescent="0.2">
      <c r="H80" s="11"/>
    </row>
    <row r="81" spans="3:8" x14ac:dyDescent="0.2">
      <c r="H81" s="11"/>
    </row>
    <row r="82" spans="3:8" x14ac:dyDescent="0.2">
      <c r="H82" s="11"/>
    </row>
    <row r="83" spans="3:8" x14ac:dyDescent="0.2">
      <c r="H83" s="11"/>
    </row>
    <row r="84" spans="3:8" x14ac:dyDescent="0.2">
      <c r="H84" s="11"/>
    </row>
    <row r="85" spans="3:8" x14ac:dyDescent="0.2">
      <c r="H85" s="11"/>
    </row>
    <row r="86" spans="3:8" x14ac:dyDescent="0.2">
      <c r="C86" s="11"/>
    </row>
    <row r="87" spans="3:8" x14ac:dyDescent="0.2">
      <c r="C87" s="11"/>
    </row>
    <row r="88" spans="3:8" x14ac:dyDescent="0.2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48" activePane="bottomLeft" state="frozen"/>
      <selection activeCell="O67" sqref="O67"/>
      <selection pane="bottomLeft" activeCell="K13" sqref="K13"/>
    </sheetView>
  </sheetViews>
  <sheetFormatPr defaultColWidth="9.140625" defaultRowHeight="12.75" x14ac:dyDescent="0.2"/>
  <cols>
    <col min="1" max="1" width="19.140625" style="11" bestFit="1" customWidth="1"/>
    <col min="2" max="5" width="14.140625" style="10" customWidth="1"/>
    <col min="6" max="6" width="15.28515625" style="11" customWidth="1"/>
    <col min="7" max="7" width="18.5703125" style="37" customWidth="1"/>
    <col min="8" max="9" width="9.140625" style="11"/>
    <col min="10" max="10" width="12" style="11" bestFit="1" customWidth="1"/>
    <col min="11" max="11" width="10" style="11" bestFit="1" customWidth="1"/>
    <col min="12" max="12" width="11.28515625" style="11" bestFit="1" customWidth="1"/>
    <col min="13" max="13" width="9.5703125" style="11" bestFit="1" customWidth="1"/>
    <col min="14" max="14" width="10.85546875" style="11" bestFit="1" customWidth="1"/>
    <col min="15" max="16384" width="9.140625" style="11"/>
  </cols>
  <sheetData>
    <row r="1" spans="1:7" x14ac:dyDescent="0.2">
      <c r="B1" s="95" t="s">
        <v>81</v>
      </c>
      <c r="C1" s="96"/>
      <c r="D1" s="95" t="s">
        <v>102</v>
      </c>
      <c r="E1" s="96"/>
      <c r="F1" s="95" t="s">
        <v>84</v>
      </c>
      <c r="G1" s="96"/>
    </row>
    <row r="2" spans="1:7" x14ac:dyDescent="0.2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">
      <c r="A3" s="11" t="s">
        <v>1</v>
      </c>
      <c r="B3" s="69">
        <v>17133</v>
      </c>
      <c r="C3" s="70">
        <v>2046</v>
      </c>
      <c r="D3" s="69">
        <v>41033</v>
      </c>
      <c r="E3" s="70">
        <v>2993</v>
      </c>
      <c r="F3" s="72">
        <v>11663</v>
      </c>
      <c r="G3" s="74">
        <v>1843</v>
      </c>
    </row>
    <row r="4" spans="1:7" x14ac:dyDescent="0.2">
      <c r="A4" s="11" t="s">
        <v>2</v>
      </c>
      <c r="B4" s="69">
        <v>448272</v>
      </c>
      <c r="C4" s="70">
        <v>55322</v>
      </c>
      <c r="D4" s="69">
        <v>241992</v>
      </c>
      <c r="E4" s="70">
        <v>20922</v>
      </c>
      <c r="F4" s="72">
        <v>128258</v>
      </c>
      <c r="G4" s="75">
        <v>23137</v>
      </c>
    </row>
    <row r="5" spans="1:7" x14ac:dyDescent="0.2">
      <c r="A5" s="11" t="s">
        <v>3</v>
      </c>
      <c r="B5" s="69">
        <v>9878</v>
      </c>
      <c r="C5" s="70">
        <v>757</v>
      </c>
      <c r="D5" s="69">
        <v>26308</v>
      </c>
      <c r="E5" s="70">
        <v>1338</v>
      </c>
      <c r="F5" s="72">
        <v>4778</v>
      </c>
      <c r="G5" s="75">
        <v>524</v>
      </c>
    </row>
    <row r="6" spans="1:7" x14ac:dyDescent="0.2">
      <c r="A6" s="11" t="s">
        <v>4</v>
      </c>
      <c r="B6" s="69">
        <v>42187</v>
      </c>
      <c r="C6" s="70">
        <v>3503</v>
      </c>
      <c r="D6" s="69">
        <v>48967</v>
      </c>
      <c r="E6" s="70">
        <v>2899</v>
      </c>
      <c r="F6" s="72">
        <v>14605</v>
      </c>
      <c r="G6" s="75">
        <v>1933</v>
      </c>
    </row>
    <row r="7" spans="1:7" x14ac:dyDescent="0.2">
      <c r="A7" s="11" t="s">
        <v>5</v>
      </c>
      <c r="B7" s="69">
        <v>4875</v>
      </c>
      <c r="C7" s="70">
        <v>388</v>
      </c>
      <c r="D7" s="69">
        <v>23513</v>
      </c>
      <c r="E7" s="70">
        <v>1061</v>
      </c>
      <c r="F7" s="72">
        <v>2878</v>
      </c>
      <c r="G7" s="75">
        <v>326</v>
      </c>
    </row>
    <row r="8" spans="1:7" x14ac:dyDescent="0.2">
      <c r="A8" s="11" t="s">
        <v>6</v>
      </c>
      <c r="B8" s="69">
        <v>93845</v>
      </c>
      <c r="C8" s="70">
        <v>10485</v>
      </c>
      <c r="D8" s="69">
        <v>111192</v>
      </c>
      <c r="E8" s="70">
        <v>6796</v>
      </c>
      <c r="F8" s="72">
        <v>45972</v>
      </c>
      <c r="G8" s="75">
        <v>6185</v>
      </c>
    </row>
    <row r="9" spans="1:7" x14ac:dyDescent="0.2">
      <c r="A9" s="11" t="s">
        <v>7</v>
      </c>
      <c r="B9" s="69">
        <v>17631</v>
      </c>
      <c r="C9" s="70">
        <v>2171</v>
      </c>
      <c r="D9" s="69">
        <v>47212</v>
      </c>
      <c r="E9" s="70">
        <v>3358</v>
      </c>
      <c r="F9" s="72">
        <v>9529</v>
      </c>
      <c r="G9" s="75">
        <v>1653</v>
      </c>
    </row>
    <row r="10" spans="1:7" x14ac:dyDescent="0.2">
      <c r="A10" s="11" t="s">
        <v>8</v>
      </c>
      <c r="B10" s="69">
        <v>7036</v>
      </c>
      <c r="C10" s="70">
        <v>775</v>
      </c>
      <c r="D10" s="69">
        <v>23974</v>
      </c>
      <c r="E10" s="70">
        <v>1666</v>
      </c>
      <c r="F10" s="72">
        <v>4781</v>
      </c>
      <c r="G10" s="75">
        <v>665</v>
      </c>
    </row>
    <row r="11" spans="1:7" x14ac:dyDescent="0.2">
      <c r="A11" s="11" t="s">
        <v>9</v>
      </c>
      <c r="B11" s="69">
        <v>178700</v>
      </c>
      <c r="C11" s="70">
        <v>15332</v>
      </c>
      <c r="D11" s="69">
        <v>190241</v>
      </c>
      <c r="E11" s="70">
        <v>11433</v>
      </c>
      <c r="F11" s="72">
        <v>80301</v>
      </c>
      <c r="G11" s="75">
        <v>8720</v>
      </c>
    </row>
    <row r="12" spans="1:7" x14ac:dyDescent="0.2">
      <c r="A12" s="11" t="s">
        <v>10</v>
      </c>
      <c r="B12" s="69">
        <v>36386</v>
      </c>
      <c r="C12" s="70">
        <v>2886</v>
      </c>
      <c r="D12" s="69">
        <v>78499</v>
      </c>
      <c r="E12" s="70">
        <v>4492</v>
      </c>
      <c r="F12" s="72">
        <v>19233</v>
      </c>
      <c r="G12" s="75">
        <v>2352</v>
      </c>
    </row>
    <row r="13" spans="1:7" x14ac:dyDescent="0.2">
      <c r="A13" s="11" t="s">
        <v>11</v>
      </c>
      <c r="B13" s="69">
        <v>27128</v>
      </c>
      <c r="C13" s="70">
        <v>2221</v>
      </c>
      <c r="D13" s="69">
        <v>44289</v>
      </c>
      <c r="E13" s="70">
        <v>2179</v>
      </c>
      <c r="F13" s="72">
        <v>8889</v>
      </c>
      <c r="G13" s="75">
        <v>1145</v>
      </c>
    </row>
    <row r="14" spans="1:7" x14ac:dyDescent="0.2">
      <c r="A14" s="11" t="s">
        <v>12</v>
      </c>
      <c r="B14" s="69">
        <v>604</v>
      </c>
      <c r="C14" s="70">
        <v>57</v>
      </c>
      <c r="D14" s="69">
        <v>1730</v>
      </c>
      <c r="E14" s="70">
        <v>111</v>
      </c>
      <c r="F14" s="72">
        <v>338</v>
      </c>
      <c r="G14" s="75">
        <v>40</v>
      </c>
    </row>
    <row r="15" spans="1:7" x14ac:dyDescent="0.2">
      <c r="A15" s="11" t="s">
        <v>13</v>
      </c>
      <c r="B15" s="69">
        <v>12760</v>
      </c>
      <c r="C15" s="70">
        <v>1306</v>
      </c>
      <c r="D15" s="69">
        <v>22314</v>
      </c>
      <c r="E15" s="70">
        <v>1617</v>
      </c>
      <c r="F15" s="72">
        <v>6752</v>
      </c>
      <c r="G15" s="75">
        <v>1018</v>
      </c>
    </row>
    <row r="16" spans="1:7" x14ac:dyDescent="0.2">
      <c r="A16" s="11" t="s">
        <v>14</v>
      </c>
      <c r="B16" s="69">
        <v>34132</v>
      </c>
      <c r="C16" s="70">
        <v>7291</v>
      </c>
      <c r="D16" s="69">
        <v>37542</v>
      </c>
      <c r="E16" s="70">
        <v>4219</v>
      </c>
      <c r="F16" s="72">
        <v>14993</v>
      </c>
      <c r="G16" s="75">
        <v>3861</v>
      </c>
    </row>
    <row r="17" spans="1:7" x14ac:dyDescent="0.2">
      <c r="A17" s="11" t="s">
        <v>15</v>
      </c>
      <c r="B17" s="69">
        <v>147231</v>
      </c>
      <c r="C17" s="70">
        <v>13769</v>
      </c>
      <c r="D17" s="69">
        <v>141736</v>
      </c>
      <c r="E17" s="70">
        <v>9949</v>
      </c>
      <c r="F17" s="72">
        <v>68676</v>
      </c>
      <c r="G17" s="75">
        <v>8082</v>
      </c>
    </row>
    <row r="18" spans="1:7" x14ac:dyDescent="0.2">
      <c r="A18" s="11" t="s">
        <v>16</v>
      </c>
      <c r="B18" s="69">
        <v>4647</v>
      </c>
      <c r="C18" s="70">
        <v>387</v>
      </c>
      <c r="D18" s="69">
        <v>14763</v>
      </c>
      <c r="E18" s="70">
        <v>761</v>
      </c>
      <c r="F18" s="72">
        <v>2442</v>
      </c>
      <c r="G18" s="75">
        <v>281</v>
      </c>
    </row>
    <row r="19" spans="1:7" x14ac:dyDescent="0.2">
      <c r="A19" s="11" t="s">
        <v>17</v>
      </c>
      <c r="B19" s="69">
        <v>10819</v>
      </c>
      <c r="C19" s="70">
        <v>1198</v>
      </c>
      <c r="D19" s="69">
        <v>29257</v>
      </c>
      <c r="E19" s="70">
        <v>2153</v>
      </c>
      <c r="F19" s="72">
        <v>5237</v>
      </c>
      <c r="G19" s="75">
        <v>881</v>
      </c>
    </row>
    <row r="20" spans="1:7" x14ac:dyDescent="0.2">
      <c r="A20" s="11" t="s">
        <v>18</v>
      </c>
      <c r="B20" s="69">
        <v>5597</v>
      </c>
      <c r="C20" s="70">
        <v>465</v>
      </c>
      <c r="D20" s="69">
        <v>12533</v>
      </c>
      <c r="E20" s="70">
        <v>726</v>
      </c>
      <c r="F20" s="72">
        <v>2815</v>
      </c>
      <c r="G20" s="75">
        <v>363</v>
      </c>
    </row>
    <row r="21" spans="1:7" x14ac:dyDescent="0.2">
      <c r="A21" s="11" t="s">
        <v>19</v>
      </c>
      <c r="B21" s="69">
        <v>10603</v>
      </c>
      <c r="C21" s="70">
        <v>1176</v>
      </c>
      <c r="D21" s="69">
        <v>21080</v>
      </c>
      <c r="E21" s="70">
        <v>1359</v>
      </c>
      <c r="F21" s="72">
        <v>5520</v>
      </c>
      <c r="G21" s="75">
        <v>848</v>
      </c>
    </row>
    <row r="22" spans="1:7" x14ac:dyDescent="0.2">
      <c r="A22" s="11" t="s">
        <v>20</v>
      </c>
      <c r="B22" s="69">
        <v>12806</v>
      </c>
      <c r="C22" s="70">
        <v>1583</v>
      </c>
      <c r="D22" s="69">
        <v>29756</v>
      </c>
      <c r="E22" s="70">
        <v>1979</v>
      </c>
      <c r="F22" s="72">
        <v>5875</v>
      </c>
      <c r="G22" s="75">
        <v>915</v>
      </c>
    </row>
    <row r="23" spans="1:7" x14ac:dyDescent="0.2">
      <c r="A23" s="11" t="s">
        <v>21</v>
      </c>
      <c r="B23" s="69">
        <v>56719</v>
      </c>
      <c r="C23" s="70">
        <v>5023</v>
      </c>
      <c r="D23" s="69">
        <v>83155</v>
      </c>
      <c r="E23" s="70">
        <v>5008</v>
      </c>
      <c r="F23" s="72">
        <v>30243</v>
      </c>
      <c r="G23" s="75">
        <v>3606</v>
      </c>
    </row>
    <row r="24" spans="1:7" x14ac:dyDescent="0.2">
      <c r="A24" s="11" t="s">
        <v>22</v>
      </c>
      <c r="B24" s="69">
        <v>77378</v>
      </c>
      <c r="C24" s="70">
        <v>9298</v>
      </c>
      <c r="D24" s="69">
        <v>70661</v>
      </c>
      <c r="E24" s="70">
        <v>5250</v>
      </c>
      <c r="F24" s="72">
        <v>33439</v>
      </c>
      <c r="G24" s="75">
        <v>5281</v>
      </c>
    </row>
    <row r="25" spans="1:7" x14ac:dyDescent="0.2">
      <c r="A25" s="11" t="s">
        <v>23</v>
      </c>
      <c r="B25" s="69">
        <v>179947</v>
      </c>
      <c r="C25" s="70">
        <v>23073</v>
      </c>
      <c r="D25" s="69">
        <v>131545</v>
      </c>
      <c r="E25" s="70">
        <v>11108</v>
      </c>
      <c r="F25" s="72">
        <v>56289</v>
      </c>
      <c r="G25" s="75">
        <v>8978</v>
      </c>
    </row>
    <row r="26" spans="1:7" x14ac:dyDescent="0.2">
      <c r="A26" s="11" t="s">
        <v>24</v>
      </c>
      <c r="B26" s="69">
        <v>5367</v>
      </c>
      <c r="C26" s="70">
        <v>396</v>
      </c>
      <c r="D26" s="69">
        <v>11570</v>
      </c>
      <c r="E26" s="70">
        <v>544</v>
      </c>
      <c r="F26" s="72">
        <v>2266</v>
      </c>
      <c r="G26" s="75">
        <v>296</v>
      </c>
    </row>
    <row r="27" spans="1:7" x14ac:dyDescent="0.2">
      <c r="A27" s="11" t="s">
        <v>25</v>
      </c>
      <c r="B27" s="69">
        <v>68958</v>
      </c>
      <c r="C27" s="70">
        <v>7456</v>
      </c>
      <c r="D27" s="69">
        <v>65599</v>
      </c>
      <c r="E27" s="70">
        <v>5196</v>
      </c>
      <c r="F27" s="72">
        <v>23359</v>
      </c>
      <c r="G27" s="75">
        <v>4168</v>
      </c>
    </row>
    <row r="28" spans="1:7" x14ac:dyDescent="0.2">
      <c r="A28" s="11" t="s">
        <v>26</v>
      </c>
      <c r="B28" s="69">
        <v>26674</v>
      </c>
      <c r="C28" s="70">
        <v>2740</v>
      </c>
      <c r="D28" s="69">
        <v>38834</v>
      </c>
      <c r="E28" s="70">
        <v>2472</v>
      </c>
      <c r="F28" s="72">
        <v>7633</v>
      </c>
      <c r="G28" s="75">
        <v>1164</v>
      </c>
    </row>
    <row r="29" spans="1:7" x14ac:dyDescent="0.2">
      <c r="A29" s="11" t="s">
        <v>27</v>
      </c>
      <c r="B29" s="69">
        <v>708</v>
      </c>
      <c r="C29" s="70">
        <v>79</v>
      </c>
      <c r="D29" s="69">
        <v>1924</v>
      </c>
      <c r="E29" s="70">
        <v>135</v>
      </c>
      <c r="F29" s="72">
        <v>354</v>
      </c>
      <c r="G29" s="75">
        <v>52</v>
      </c>
    </row>
    <row r="30" spans="1:7" x14ac:dyDescent="0.2">
      <c r="A30" s="11" t="s">
        <v>28</v>
      </c>
      <c r="B30" s="69">
        <v>21328</v>
      </c>
      <c r="C30" s="70">
        <v>2184</v>
      </c>
      <c r="D30" s="69">
        <v>60872</v>
      </c>
      <c r="E30" s="70">
        <v>3422</v>
      </c>
      <c r="F30" s="72">
        <v>15716</v>
      </c>
      <c r="G30" s="75">
        <v>1876</v>
      </c>
    </row>
    <row r="31" spans="1:7" x14ac:dyDescent="0.2">
      <c r="A31" s="11" t="s">
        <v>29</v>
      </c>
      <c r="B31" s="69">
        <v>1301</v>
      </c>
      <c r="C31" s="70">
        <v>172</v>
      </c>
      <c r="D31" s="69">
        <v>6977</v>
      </c>
      <c r="E31" s="70">
        <v>477</v>
      </c>
      <c r="F31" s="72">
        <v>977</v>
      </c>
      <c r="G31" s="75">
        <v>196</v>
      </c>
    </row>
    <row r="32" spans="1:7" x14ac:dyDescent="0.2">
      <c r="A32" s="11" t="s">
        <v>30</v>
      </c>
      <c r="B32" s="69">
        <v>6655</v>
      </c>
      <c r="C32" s="70">
        <v>685</v>
      </c>
      <c r="D32" s="69">
        <v>11350</v>
      </c>
      <c r="E32" s="70">
        <v>827</v>
      </c>
      <c r="F32" s="72">
        <v>1903</v>
      </c>
      <c r="G32" s="75">
        <v>361</v>
      </c>
    </row>
    <row r="33" spans="1:7" x14ac:dyDescent="0.2">
      <c r="A33" s="11" t="s">
        <v>31</v>
      </c>
      <c r="B33" s="69">
        <v>5172</v>
      </c>
      <c r="C33" s="70">
        <v>833</v>
      </c>
      <c r="D33" s="69">
        <v>17677</v>
      </c>
      <c r="E33" s="70">
        <v>1197</v>
      </c>
      <c r="F33" s="72">
        <v>2528</v>
      </c>
      <c r="G33" s="75">
        <v>450</v>
      </c>
    </row>
    <row r="34" spans="1:7" x14ac:dyDescent="0.2">
      <c r="A34" s="11" t="s">
        <v>32</v>
      </c>
      <c r="B34" s="69">
        <v>12939</v>
      </c>
      <c r="C34" s="70">
        <v>926</v>
      </c>
      <c r="D34" s="69">
        <v>27786</v>
      </c>
      <c r="E34" s="70">
        <v>1067</v>
      </c>
      <c r="F34" s="72">
        <v>5879</v>
      </c>
      <c r="G34" s="75">
        <v>494</v>
      </c>
    </row>
    <row r="35" spans="1:7" x14ac:dyDescent="0.2">
      <c r="A35" s="11" t="s">
        <v>33</v>
      </c>
      <c r="B35" s="69">
        <v>4946</v>
      </c>
      <c r="C35" s="70">
        <v>480</v>
      </c>
      <c r="D35" s="69">
        <v>18143</v>
      </c>
      <c r="E35" s="70">
        <v>1272</v>
      </c>
      <c r="F35" s="72">
        <v>2861</v>
      </c>
      <c r="G35" s="75">
        <v>362</v>
      </c>
    </row>
    <row r="36" spans="1:7" x14ac:dyDescent="0.2">
      <c r="A36" s="11" t="s">
        <v>34</v>
      </c>
      <c r="B36" s="69">
        <v>2320</v>
      </c>
      <c r="C36" s="70">
        <v>217</v>
      </c>
      <c r="D36" s="69">
        <v>9575</v>
      </c>
      <c r="E36" s="70">
        <v>442</v>
      </c>
      <c r="F36" s="72">
        <v>1355</v>
      </c>
      <c r="G36" s="75">
        <v>159</v>
      </c>
    </row>
    <row r="37" spans="1:7" x14ac:dyDescent="0.2">
      <c r="A37" s="11" t="s">
        <v>35</v>
      </c>
      <c r="B37" s="69">
        <v>70517</v>
      </c>
      <c r="C37" s="70">
        <v>6274</v>
      </c>
      <c r="D37" s="69">
        <v>48182</v>
      </c>
      <c r="E37" s="70">
        <v>4079</v>
      </c>
      <c r="F37" s="72">
        <v>17930</v>
      </c>
      <c r="G37" s="75">
        <v>2947</v>
      </c>
    </row>
    <row r="38" spans="1:7" x14ac:dyDescent="0.2">
      <c r="A38" s="11" t="s">
        <v>36</v>
      </c>
      <c r="B38" s="69">
        <v>101977</v>
      </c>
      <c r="C38" s="70">
        <v>11079</v>
      </c>
      <c r="D38" s="69">
        <v>171729</v>
      </c>
      <c r="E38" s="70">
        <v>11858</v>
      </c>
      <c r="F38" s="72">
        <v>59598</v>
      </c>
      <c r="G38" s="75">
        <v>8210</v>
      </c>
    </row>
    <row r="39" spans="1:7" x14ac:dyDescent="0.2">
      <c r="A39" s="11" t="s">
        <v>37</v>
      </c>
      <c r="B39" s="69">
        <v>17962</v>
      </c>
      <c r="C39" s="70">
        <v>1693</v>
      </c>
      <c r="D39" s="69">
        <v>28400</v>
      </c>
      <c r="E39" s="70">
        <v>1683</v>
      </c>
      <c r="F39" s="72">
        <v>6609</v>
      </c>
      <c r="G39" s="75">
        <v>940</v>
      </c>
    </row>
    <row r="40" spans="1:7" x14ac:dyDescent="0.2">
      <c r="A40" s="11" t="s">
        <v>38</v>
      </c>
      <c r="B40" s="69">
        <v>22738</v>
      </c>
      <c r="C40" s="70">
        <v>2723</v>
      </c>
      <c r="D40" s="69">
        <v>49556</v>
      </c>
      <c r="E40" s="70">
        <v>3076</v>
      </c>
      <c r="F40" s="72">
        <v>13934</v>
      </c>
      <c r="G40" s="75">
        <v>2121</v>
      </c>
    </row>
    <row r="41" spans="1:7" x14ac:dyDescent="0.2">
      <c r="A41" s="11" t="s">
        <v>39</v>
      </c>
      <c r="B41" s="69">
        <v>98938</v>
      </c>
      <c r="C41" s="70">
        <v>12867</v>
      </c>
      <c r="D41" s="69">
        <v>82929</v>
      </c>
      <c r="E41" s="70">
        <v>6518</v>
      </c>
      <c r="F41" s="72">
        <v>45510</v>
      </c>
      <c r="G41" s="75">
        <v>7650</v>
      </c>
    </row>
    <row r="42" spans="1:7" x14ac:dyDescent="0.2">
      <c r="A42" s="11" t="s">
        <v>40</v>
      </c>
      <c r="B42" s="69">
        <v>76718</v>
      </c>
      <c r="C42" s="70">
        <v>8715</v>
      </c>
      <c r="D42" s="69">
        <v>84325</v>
      </c>
      <c r="E42" s="70">
        <v>6461</v>
      </c>
      <c r="F42" s="72">
        <v>26953</v>
      </c>
      <c r="G42" s="75">
        <v>4643</v>
      </c>
    </row>
    <row r="43" spans="1:7" x14ac:dyDescent="0.2">
      <c r="A43" s="11" t="s">
        <v>41</v>
      </c>
      <c r="B43" s="69">
        <v>16530</v>
      </c>
      <c r="C43" s="70">
        <v>1674</v>
      </c>
      <c r="D43" s="69">
        <v>41594</v>
      </c>
      <c r="E43" s="70">
        <v>2112</v>
      </c>
      <c r="F43" s="72">
        <v>9518</v>
      </c>
      <c r="G43" s="75">
        <v>1211</v>
      </c>
    </row>
    <row r="44" spans="1:7" x14ac:dyDescent="0.2">
      <c r="A44" s="11" t="s">
        <v>42</v>
      </c>
      <c r="B44" s="69">
        <v>4702</v>
      </c>
      <c r="C44" s="70">
        <v>611</v>
      </c>
      <c r="D44" s="69">
        <v>14917</v>
      </c>
      <c r="E44" s="70">
        <v>1292</v>
      </c>
      <c r="F44" s="72">
        <v>3194</v>
      </c>
      <c r="G44" s="75">
        <v>591</v>
      </c>
    </row>
    <row r="45" spans="1:7" x14ac:dyDescent="0.2">
      <c r="A45" s="11" t="s">
        <v>43</v>
      </c>
      <c r="B45" s="69">
        <v>20955</v>
      </c>
      <c r="C45" s="70">
        <v>2164</v>
      </c>
      <c r="D45" s="69">
        <v>35829</v>
      </c>
      <c r="E45" s="70">
        <v>2455</v>
      </c>
      <c r="F45" s="72">
        <v>9105</v>
      </c>
      <c r="G45" s="75">
        <v>1361</v>
      </c>
    </row>
    <row r="46" spans="1:7" x14ac:dyDescent="0.2">
      <c r="A46" s="11" t="s">
        <v>44</v>
      </c>
      <c r="B46" s="69">
        <v>4830</v>
      </c>
      <c r="C46" s="70">
        <v>546</v>
      </c>
      <c r="D46" s="69">
        <v>17490</v>
      </c>
      <c r="E46" s="70">
        <v>1146</v>
      </c>
      <c r="F46" s="72">
        <v>2698</v>
      </c>
      <c r="G46" s="75">
        <v>434</v>
      </c>
    </row>
    <row r="47" spans="1:7" x14ac:dyDescent="0.2">
      <c r="A47" s="11" t="s">
        <v>45</v>
      </c>
      <c r="B47" s="69">
        <v>42230</v>
      </c>
      <c r="C47" s="70">
        <v>6384</v>
      </c>
      <c r="D47" s="69">
        <v>39534</v>
      </c>
      <c r="E47" s="70">
        <v>3797</v>
      </c>
      <c r="F47" s="72">
        <v>22171</v>
      </c>
      <c r="G47" s="75">
        <v>3574</v>
      </c>
    </row>
    <row r="48" spans="1:7" x14ac:dyDescent="0.2">
      <c r="A48" s="11" t="s">
        <v>46</v>
      </c>
      <c r="B48" s="69">
        <v>283809</v>
      </c>
      <c r="C48" s="70">
        <v>21860</v>
      </c>
      <c r="D48" s="69">
        <v>195834</v>
      </c>
      <c r="E48" s="70">
        <v>11763</v>
      </c>
      <c r="F48" s="72">
        <v>100423</v>
      </c>
      <c r="G48" s="75">
        <v>10544</v>
      </c>
    </row>
    <row r="49" spans="1:7" x14ac:dyDescent="0.2">
      <c r="A49" s="11" t="s">
        <v>47</v>
      </c>
      <c r="B49" s="69">
        <v>3415</v>
      </c>
      <c r="C49" s="70">
        <v>356</v>
      </c>
      <c r="D49" s="69">
        <v>6102</v>
      </c>
      <c r="E49" s="70">
        <v>452</v>
      </c>
      <c r="F49" s="72">
        <v>1772</v>
      </c>
      <c r="G49" s="75">
        <v>265</v>
      </c>
    </row>
    <row r="50" spans="1:7" x14ac:dyDescent="0.2">
      <c r="A50" s="11" t="s">
        <v>48</v>
      </c>
      <c r="B50" s="69">
        <v>85398</v>
      </c>
      <c r="C50" s="70">
        <v>10798</v>
      </c>
      <c r="D50" s="69">
        <v>80385</v>
      </c>
      <c r="E50" s="70">
        <v>6478</v>
      </c>
      <c r="F50" s="72">
        <v>42769</v>
      </c>
      <c r="G50" s="75">
        <v>6723</v>
      </c>
    </row>
    <row r="51" spans="1:7" x14ac:dyDescent="0.2">
      <c r="A51" s="11" t="s">
        <v>49</v>
      </c>
      <c r="B51" s="69">
        <v>12113</v>
      </c>
      <c r="C51" s="70">
        <v>3207</v>
      </c>
      <c r="D51" s="69">
        <v>27103</v>
      </c>
      <c r="E51" s="70">
        <v>4809</v>
      </c>
      <c r="F51" s="72">
        <v>5031</v>
      </c>
      <c r="G51" s="75">
        <v>3054</v>
      </c>
    </row>
    <row r="52" spans="1:7" x14ac:dyDescent="0.2">
      <c r="A52" s="11" t="s">
        <v>50</v>
      </c>
      <c r="B52" s="69">
        <v>5649</v>
      </c>
      <c r="C52" s="70">
        <v>369</v>
      </c>
      <c r="D52" s="69">
        <v>19986</v>
      </c>
      <c r="E52" s="70">
        <v>948</v>
      </c>
      <c r="F52" s="72">
        <v>3855</v>
      </c>
      <c r="G52" s="75">
        <v>438</v>
      </c>
    </row>
    <row r="53" spans="1:7" x14ac:dyDescent="0.2">
      <c r="A53" s="11" t="s">
        <v>51</v>
      </c>
      <c r="B53" s="69">
        <v>650712</v>
      </c>
      <c r="C53" s="70">
        <v>128435</v>
      </c>
      <c r="D53" s="69">
        <v>110870</v>
      </c>
      <c r="E53" s="70">
        <v>20310</v>
      </c>
      <c r="F53" s="72">
        <v>145679</v>
      </c>
      <c r="G53" s="75">
        <v>34649</v>
      </c>
    </row>
    <row r="54" spans="1:7" x14ac:dyDescent="0.2">
      <c r="A54" s="11" t="s">
        <v>52</v>
      </c>
      <c r="B54" s="69">
        <v>11808</v>
      </c>
      <c r="C54" s="70">
        <v>1809</v>
      </c>
      <c r="D54" s="69">
        <v>20949</v>
      </c>
      <c r="E54" s="70">
        <v>2176</v>
      </c>
      <c r="F54" s="72">
        <v>9159</v>
      </c>
      <c r="G54" s="75">
        <v>1514</v>
      </c>
    </row>
    <row r="55" spans="1:7" x14ac:dyDescent="0.2">
      <c r="A55" s="11" t="s">
        <v>53</v>
      </c>
      <c r="B55" s="69">
        <v>1595</v>
      </c>
      <c r="C55" s="70">
        <v>137</v>
      </c>
      <c r="D55" s="69">
        <v>7478</v>
      </c>
      <c r="E55" s="70">
        <v>511</v>
      </c>
      <c r="F55" s="72">
        <v>1096</v>
      </c>
      <c r="G55" s="75">
        <v>170</v>
      </c>
    </row>
    <row r="56" spans="1:7" x14ac:dyDescent="0.2">
      <c r="A56" s="11" t="s">
        <v>54</v>
      </c>
      <c r="B56" s="69">
        <v>23367</v>
      </c>
      <c r="C56" s="70">
        <v>2007</v>
      </c>
      <c r="D56" s="69">
        <v>50617</v>
      </c>
      <c r="E56" s="70">
        <v>2541</v>
      </c>
      <c r="F56" s="72">
        <v>12500</v>
      </c>
      <c r="G56" s="75">
        <v>1447</v>
      </c>
    </row>
    <row r="57" spans="1:7" x14ac:dyDescent="0.2">
      <c r="A57" s="11" t="s">
        <v>55</v>
      </c>
      <c r="B57" s="69">
        <v>4372</v>
      </c>
      <c r="C57" s="70">
        <v>512</v>
      </c>
      <c r="D57" s="69">
        <v>15051</v>
      </c>
      <c r="E57" s="70">
        <v>889</v>
      </c>
      <c r="F57" s="72">
        <v>2569</v>
      </c>
      <c r="G57" s="75">
        <v>453</v>
      </c>
    </row>
    <row r="58" spans="1:7" x14ac:dyDescent="0.2">
      <c r="A58" s="11" t="s">
        <v>56</v>
      </c>
      <c r="B58" s="69">
        <v>9688</v>
      </c>
      <c r="C58" s="70">
        <v>795</v>
      </c>
      <c r="D58" s="69">
        <v>31221</v>
      </c>
      <c r="E58" s="70">
        <v>1582</v>
      </c>
      <c r="F58" s="72">
        <v>4616</v>
      </c>
      <c r="G58" s="75">
        <v>577</v>
      </c>
    </row>
    <row r="59" spans="1:7" x14ac:dyDescent="0.2">
      <c r="A59" s="11" t="s">
        <v>57</v>
      </c>
      <c r="B59" s="69">
        <v>993</v>
      </c>
      <c r="C59" s="70">
        <v>74</v>
      </c>
      <c r="D59" s="69">
        <v>2701</v>
      </c>
      <c r="E59" s="70">
        <v>146</v>
      </c>
      <c r="F59" s="72">
        <v>491</v>
      </c>
      <c r="G59" s="75">
        <v>54</v>
      </c>
    </row>
    <row r="60" spans="1:7" x14ac:dyDescent="0.2">
      <c r="A60" s="11" t="s">
        <v>58</v>
      </c>
      <c r="B60" s="69">
        <v>5406</v>
      </c>
      <c r="C60" s="70">
        <v>751</v>
      </c>
      <c r="D60" s="69">
        <v>15964</v>
      </c>
      <c r="E60" s="70">
        <v>1346</v>
      </c>
      <c r="F60" s="72">
        <v>3416</v>
      </c>
      <c r="G60" s="75">
        <v>612</v>
      </c>
    </row>
    <row r="61" spans="1:7" x14ac:dyDescent="0.2">
      <c r="A61" s="11" t="s">
        <v>59</v>
      </c>
      <c r="B61" s="69">
        <v>4552</v>
      </c>
      <c r="C61" s="70">
        <v>376</v>
      </c>
      <c r="D61" s="69">
        <v>17060</v>
      </c>
      <c r="E61" s="70">
        <v>1042</v>
      </c>
      <c r="F61" s="72">
        <v>3316</v>
      </c>
      <c r="G61" s="75">
        <v>454</v>
      </c>
    </row>
    <row r="62" spans="1:7" x14ac:dyDescent="0.2">
      <c r="A62" s="11" t="s">
        <v>60</v>
      </c>
      <c r="B62" s="69">
        <v>6575</v>
      </c>
      <c r="C62" s="70">
        <v>1282</v>
      </c>
      <c r="D62" s="69">
        <v>13181</v>
      </c>
      <c r="E62" s="70">
        <v>1200</v>
      </c>
      <c r="F62" s="72">
        <v>3410</v>
      </c>
      <c r="G62" s="75">
        <v>834</v>
      </c>
    </row>
    <row r="63" spans="1:7" x14ac:dyDescent="0.2">
      <c r="A63" s="11" t="s">
        <v>61</v>
      </c>
      <c r="B63" s="69">
        <v>7356</v>
      </c>
      <c r="C63" s="70">
        <v>666</v>
      </c>
      <c r="D63" s="69">
        <v>18974</v>
      </c>
      <c r="E63" s="70">
        <v>1145</v>
      </c>
      <c r="F63" s="72">
        <v>4150</v>
      </c>
      <c r="G63" s="75">
        <v>522</v>
      </c>
    </row>
    <row r="64" spans="1:7" x14ac:dyDescent="0.2">
      <c r="A64" s="11" t="s">
        <v>62</v>
      </c>
      <c r="B64" s="69">
        <v>5886</v>
      </c>
      <c r="C64" s="70">
        <v>451</v>
      </c>
      <c r="D64" s="69">
        <v>14359</v>
      </c>
      <c r="E64" s="70">
        <v>871</v>
      </c>
      <c r="F64" s="72">
        <v>3473</v>
      </c>
      <c r="G64" s="75">
        <v>374</v>
      </c>
    </row>
    <row r="65" spans="1:7" x14ac:dyDescent="0.2">
      <c r="A65" s="11" t="s">
        <v>63</v>
      </c>
      <c r="B65" s="69">
        <v>48855</v>
      </c>
      <c r="C65" s="70">
        <v>3694</v>
      </c>
      <c r="D65" s="69">
        <v>69082</v>
      </c>
      <c r="E65" s="70">
        <v>3609</v>
      </c>
      <c r="F65" s="72">
        <v>17629</v>
      </c>
      <c r="G65" s="75">
        <v>2110</v>
      </c>
    </row>
    <row r="66" spans="1:7" x14ac:dyDescent="0.2">
      <c r="A66" s="11" t="s">
        <v>64</v>
      </c>
      <c r="B66" s="69">
        <v>7880</v>
      </c>
      <c r="C66" s="70">
        <v>826</v>
      </c>
      <c r="D66" s="69">
        <v>20348</v>
      </c>
      <c r="E66" s="70">
        <v>1396</v>
      </c>
      <c r="F66" s="72">
        <v>5493</v>
      </c>
      <c r="G66" s="75">
        <v>754</v>
      </c>
    </row>
    <row r="67" spans="1:7" x14ac:dyDescent="0.2">
      <c r="A67" s="11" t="s">
        <v>65</v>
      </c>
      <c r="B67" s="69">
        <v>80377</v>
      </c>
      <c r="C67" s="70">
        <v>6275</v>
      </c>
      <c r="D67" s="69">
        <v>123755</v>
      </c>
      <c r="E67" s="70">
        <v>6986</v>
      </c>
      <c r="F67" s="72">
        <v>29609</v>
      </c>
      <c r="G67" s="75">
        <v>3583</v>
      </c>
    </row>
    <row r="68" spans="1:7" x14ac:dyDescent="0.2">
      <c r="A68" s="11" t="s">
        <v>66</v>
      </c>
      <c r="B68" s="69">
        <v>4317</v>
      </c>
      <c r="C68" s="70">
        <v>369</v>
      </c>
      <c r="D68" s="69">
        <v>10678</v>
      </c>
      <c r="E68" s="70">
        <v>634</v>
      </c>
      <c r="F68" s="72">
        <v>2194</v>
      </c>
      <c r="G68" s="75">
        <v>293</v>
      </c>
    </row>
    <row r="69" spans="1:7" x14ac:dyDescent="0.2">
      <c r="A69" s="19" t="s">
        <v>67</v>
      </c>
      <c r="B69" s="68">
        <v>85892</v>
      </c>
      <c r="C69" s="71">
        <v>10751</v>
      </c>
      <c r="D69" s="68">
        <v>156148</v>
      </c>
      <c r="E69" s="71">
        <v>12115</v>
      </c>
      <c r="F69" s="73">
        <v>54902</v>
      </c>
      <c r="G69" s="76">
        <v>8200</v>
      </c>
    </row>
    <row r="70" spans="1:7" x14ac:dyDescent="0.2">
      <c r="A70" s="32" t="s">
        <v>68</v>
      </c>
      <c r="B70" s="14">
        <f>SUM(B3:B69)</f>
        <v>3420794</v>
      </c>
      <c r="C70" s="14">
        <f t="shared" ref="C70:G70" si="0">SUM(C3:C69)</f>
        <v>427210</v>
      </c>
      <c r="D70" s="14">
        <f t="shared" si="0"/>
        <v>3385930</v>
      </c>
      <c r="E70" s="14">
        <f t="shared" si="0"/>
        <v>247854</v>
      </c>
      <c r="F70" s="14">
        <f t="shared" si="0"/>
        <v>1303109</v>
      </c>
      <c r="G70" s="14">
        <f t="shared" si="0"/>
        <v>203521</v>
      </c>
    </row>
    <row r="71" spans="1:7" x14ac:dyDescent="0.2">
      <c r="G71" s="11"/>
    </row>
    <row r="72" spans="1:7" x14ac:dyDescent="0.2">
      <c r="G72" s="11"/>
    </row>
    <row r="73" spans="1:7" x14ac:dyDescent="0.2">
      <c r="A73" s="32" t="s">
        <v>80</v>
      </c>
      <c r="B73" s="14">
        <f>SUM(B70:G70)</f>
        <v>8988418</v>
      </c>
      <c r="D73" s="11"/>
      <c r="E73" s="11"/>
      <c r="G73" s="11"/>
    </row>
    <row r="74" spans="1:7" x14ac:dyDescent="0.2">
      <c r="D74" s="11"/>
      <c r="E74" s="11"/>
      <c r="G74" s="11"/>
    </row>
    <row r="75" spans="1:7" x14ac:dyDescent="0.2">
      <c r="D75" s="11"/>
      <c r="E75" s="11"/>
      <c r="G75" s="11"/>
    </row>
    <row r="76" spans="1:7" x14ac:dyDescent="0.2">
      <c r="D76" s="11"/>
      <c r="E76" s="11"/>
      <c r="G76" s="11"/>
    </row>
    <row r="77" spans="1:7" x14ac:dyDescent="0.2">
      <c r="D77" s="11"/>
      <c r="E77" s="11"/>
      <c r="G77" s="11"/>
    </row>
    <row r="78" spans="1:7" x14ac:dyDescent="0.2">
      <c r="D78" s="11"/>
      <c r="E78" s="11"/>
      <c r="G78" s="11"/>
    </row>
    <row r="79" spans="1:7" x14ac:dyDescent="0.2">
      <c r="D79" s="11"/>
      <c r="E79" s="11"/>
      <c r="G79" s="11"/>
    </row>
    <row r="80" spans="1:7" x14ac:dyDescent="0.2">
      <c r="D80" s="11"/>
      <c r="E80" s="11"/>
      <c r="G80" s="11"/>
    </row>
    <row r="81" spans="2:7" x14ac:dyDescent="0.2">
      <c r="D81" s="11"/>
      <c r="E81" s="11"/>
      <c r="G81" s="11"/>
    </row>
    <row r="82" spans="2:7" x14ac:dyDescent="0.2">
      <c r="B82" s="11"/>
      <c r="G82" s="11"/>
    </row>
    <row r="83" spans="2:7" x14ac:dyDescent="0.2">
      <c r="B83" s="11"/>
      <c r="G83" s="11"/>
    </row>
    <row r="84" spans="2:7" x14ac:dyDescent="0.2">
      <c r="G84" s="11"/>
    </row>
    <row r="85" spans="2:7" x14ac:dyDescent="0.2">
      <c r="B85" s="11"/>
      <c r="G85" s="11"/>
    </row>
    <row r="86" spans="2:7" x14ac:dyDescent="0.2">
      <c r="B86" s="11"/>
      <c r="G86" s="11"/>
    </row>
    <row r="87" spans="2:7" x14ac:dyDescent="0.2">
      <c r="G87" s="11"/>
    </row>
    <row r="88" spans="2:7" x14ac:dyDescent="0.2">
      <c r="G88" s="11"/>
    </row>
    <row r="89" spans="2:7" x14ac:dyDescent="0.2">
      <c r="G89" s="11"/>
    </row>
    <row r="90" spans="2:7" x14ac:dyDescent="0.2">
      <c r="G90" s="11"/>
    </row>
    <row r="91" spans="2:7" x14ac:dyDescent="0.2">
      <c r="G91" s="11"/>
    </row>
    <row r="92" spans="2:7" x14ac:dyDescent="0.2">
      <c r="G92" s="11"/>
    </row>
    <row r="93" spans="2:7" x14ac:dyDescent="0.2">
      <c r="G93" s="11"/>
    </row>
    <row r="94" spans="2:7" x14ac:dyDescent="0.2">
      <c r="G94" s="11"/>
    </row>
    <row r="95" spans="2:7" x14ac:dyDescent="0.2">
      <c r="G95" s="11"/>
    </row>
    <row r="96" spans="2:7" x14ac:dyDescent="0.2">
      <c r="G96" s="11"/>
    </row>
    <row r="97" spans="7:7" x14ac:dyDescent="0.2">
      <c r="G97" s="11"/>
    </row>
    <row r="98" spans="7:7" x14ac:dyDescent="0.2">
      <c r="G98" s="11"/>
    </row>
    <row r="99" spans="7:7" x14ac:dyDescent="0.2">
      <c r="G99" s="11"/>
    </row>
    <row r="100" spans="7:7" x14ac:dyDescent="0.2">
      <c r="G100" s="11"/>
    </row>
    <row r="101" spans="7:7" x14ac:dyDescent="0.2">
      <c r="G101" s="11"/>
    </row>
    <row r="102" spans="7:7" x14ac:dyDescent="0.2">
      <c r="G102" s="11"/>
    </row>
    <row r="103" spans="7:7" x14ac:dyDescent="0.2">
      <c r="G103" s="11"/>
    </row>
    <row r="104" spans="7:7" x14ac:dyDescent="0.2">
      <c r="G104" s="11"/>
    </row>
    <row r="105" spans="7:7" x14ac:dyDescent="0.2">
      <c r="G105" s="11"/>
    </row>
    <row r="106" spans="7:7" x14ac:dyDescent="0.2">
      <c r="G106" s="11"/>
    </row>
    <row r="107" spans="7:7" x14ac:dyDescent="0.2">
      <c r="G107" s="11"/>
    </row>
    <row r="108" spans="7:7" x14ac:dyDescent="0.2">
      <c r="G108" s="11"/>
    </row>
    <row r="109" spans="7:7" x14ac:dyDescent="0.2">
      <c r="G109" s="11"/>
    </row>
    <row r="110" spans="7:7" x14ac:dyDescent="0.2">
      <c r="G110" s="11"/>
    </row>
    <row r="111" spans="7:7" x14ac:dyDescent="0.2">
      <c r="G111" s="11"/>
    </row>
    <row r="112" spans="7:7" x14ac:dyDescent="0.2">
      <c r="G112" s="11"/>
    </row>
    <row r="113" spans="7:7" x14ac:dyDescent="0.2">
      <c r="G113" s="11"/>
    </row>
    <row r="114" spans="7:7" x14ac:dyDescent="0.2">
      <c r="G114" s="11"/>
    </row>
    <row r="115" spans="7:7" x14ac:dyDescent="0.2">
      <c r="G115" s="11"/>
    </row>
    <row r="116" spans="7:7" x14ac:dyDescent="0.2">
      <c r="G116" s="11"/>
    </row>
    <row r="117" spans="7:7" x14ac:dyDescent="0.2">
      <c r="G117" s="11"/>
    </row>
    <row r="118" spans="7:7" x14ac:dyDescent="0.2">
      <c r="G118" s="11"/>
    </row>
    <row r="119" spans="7:7" x14ac:dyDescent="0.2">
      <c r="G119" s="11"/>
    </row>
    <row r="120" spans="7:7" x14ac:dyDescent="0.2">
      <c r="G120" s="11"/>
    </row>
    <row r="121" spans="7:7" x14ac:dyDescent="0.2">
      <c r="G121" s="11"/>
    </row>
    <row r="122" spans="7:7" x14ac:dyDescent="0.2">
      <c r="G122" s="11"/>
    </row>
    <row r="123" spans="7:7" x14ac:dyDescent="0.2">
      <c r="G123" s="11"/>
    </row>
    <row r="124" spans="7:7" x14ac:dyDescent="0.2">
      <c r="G124" s="11"/>
    </row>
    <row r="125" spans="7:7" x14ac:dyDescent="0.2">
      <c r="G125" s="11"/>
    </row>
    <row r="126" spans="7:7" x14ac:dyDescent="0.2">
      <c r="G126" s="11"/>
    </row>
    <row r="127" spans="7:7" x14ac:dyDescent="0.2">
      <c r="G127" s="11"/>
    </row>
    <row r="128" spans="7:7" x14ac:dyDescent="0.2">
      <c r="G128" s="11"/>
    </row>
    <row r="129" spans="7:7" x14ac:dyDescent="0.2">
      <c r="G129" s="11"/>
    </row>
    <row r="130" spans="7:7" x14ac:dyDescent="0.2">
      <c r="G130" s="11"/>
    </row>
    <row r="131" spans="7:7" x14ac:dyDescent="0.2">
      <c r="G131" s="11"/>
    </row>
    <row r="132" spans="7:7" x14ac:dyDescent="0.2">
      <c r="G132" s="11"/>
    </row>
    <row r="133" spans="7:7" x14ac:dyDescent="0.2">
      <c r="G133" s="11"/>
    </row>
    <row r="134" spans="7:7" x14ac:dyDescent="0.2">
      <c r="G134" s="11"/>
    </row>
    <row r="135" spans="7:7" x14ac:dyDescent="0.2">
      <c r="G135" s="11"/>
    </row>
    <row r="136" spans="7:7" x14ac:dyDescent="0.2">
      <c r="G136" s="11"/>
    </row>
    <row r="137" spans="7:7" x14ac:dyDescent="0.2">
      <c r="G137" s="11"/>
    </row>
    <row r="138" spans="7:7" x14ac:dyDescent="0.2">
      <c r="G138" s="11"/>
    </row>
    <row r="139" spans="7:7" x14ac:dyDescent="0.2">
      <c r="G139" s="11"/>
    </row>
    <row r="140" spans="7:7" x14ac:dyDescent="0.2">
      <c r="G140" s="11"/>
    </row>
    <row r="141" spans="7:7" x14ac:dyDescent="0.2">
      <c r="G141" s="11"/>
    </row>
    <row r="142" spans="7:7" x14ac:dyDescent="0.2">
      <c r="G142" s="11"/>
    </row>
    <row r="143" spans="7:7" x14ac:dyDescent="0.2">
      <c r="G143" s="11"/>
    </row>
    <row r="144" spans="7:7" x14ac:dyDescent="0.2">
      <c r="G144" s="11"/>
    </row>
    <row r="145" spans="7:7" x14ac:dyDescent="0.2">
      <c r="G145" s="11"/>
    </row>
    <row r="146" spans="7:7" x14ac:dyDescent="0.2">
      <c r="G146" s="11"/>
    </row>
    <row r="147" spans="7:7" x14ac:dyDescent="0.2">
      <c r="G147" s="11"/>
    </row>
    <row r="148" spans="7:7" x14ac:dyDescent="0.2">
      <c r="G148" s="11"/>
    </row>
    <row r="149" spans="7:7" x14ac:dyDescent="0.2">
      <c r="G149" s="11"/>
    </row>
    <row r="150" spans="7:7" x14ac:dyDescent="0.2">
      <c r="G150" s="11"/>
    </row>
    <row r="151" spans="7:7" x14ac:dyDescent="0.2">
      <c r="G151" s="11"/>
    </row>
    <row r="152" spans="7:7" x14ac:dyDescent="0.2">
      <c r="G152" s="11"/>
    </row>
    <row r="153" spans="7:7" x14ac:dyDescent="0.2">
      <c r="G153" s="11"/>
    </row>
    <row r="154" spans="7:7" x14ac:dyDescent="0.2">
      <c r="G154" s="11"/>
    </row>
    <row r="155" spans="7:7" x14ac:dyDescent="0.2">
      <c r="G155" s="11"/>
    </row>
    <row r="156" spans="7:7" x14ac:dyDescent="0.2">
      <c r="G156" s="11"/>
    </row>
    <row r="157" spans="7:7" x14ac:dyDescent="0.2">
      <c r="G157" s="11"/>
    </row>
    <row r="158" spans="7:7" x14ac:dyDescent="0.2">
      <c r="G158" s="11"/>
    </row>
    <row r="159" spans="7:7" x14ac:dyDescent="0.2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4.25" x14ac:dyDescent="0.2"/>
  <cols>
    <col min="1" max="1" width="19.85546875" style="24" customWidth="1"/>
    <col min="2" max="2" width="9" style="10" customWidth="1"/>
    <col min="3" max="8" width="12.28515625" style="10" customWidth="1"/>
    <col min="10" max="10" width="6.42578125" customWidth="1"/>
    <col min="12" max="12" width="5.28515625" customWidth="1"/>
  </cols>
  <sheetData>
    <row r="1" spans="1:9" ht="15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5" thickBot="1" x14ac:dyDescent="0.25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ht="15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ht="15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Scinta, Natalie</cp:lastModifiedBy>
  <cp:lastPrinted>2013-07-08T13:20:55Z</cp:lastPrinted>
  <dcterms:created xsi:type="dcterms:W3CDTF">2008-03-11T20:46:20Z</dcterms:created>
  <dcterms:modified xsi:type="dcterms:W3CDTF">2026-09-08T13:27:19Z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