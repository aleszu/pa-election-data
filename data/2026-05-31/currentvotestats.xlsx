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9AEBFE35-E008-45F9-9210-EE069B763D71}" xr6:coauthVersionLast="47" xr6:coauthVersionMax="47" xr10:uidLastSave="{00000000-0000-0000-0000-000000000000}"/>
  <bookViews>
    <workbookView xWindow="-28920" yWindow="-6885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0" i="8" l="1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69" i="7"/>
  <c r="C69" i="7"/>
  <c r="D69" i="7"/>
  <c r="E69" i="7"/>
  <c r="F69" i="7"/>
  <c r="G69" i="7"/>
  <c r="H69" i="7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<sst xmlns="http://schemas.openxmlformats.org/spreadsheetml/2006/main" count="1139" uniqueCount="131">
  <si>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</si>
  <si>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</si>
  <si>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</si>
  <si>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</si>
  <si>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</si>
  <si>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</si>
  <si>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</si>
  <si>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</si>
  <si>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</si>
  <si>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</si>
  <si>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</si>
  <si>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</si>
  <si>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</si>
  <si>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</si>
  <si>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</si>
  <si>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</si>
  <si>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</si>
  <si>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</si>
  <si>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</si>
  <si>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</si>
  <si>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</si>
  <si>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</si>
  <si>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</si>
  <si>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</si>
  <si>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</si>
  <si>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</si>
  <si>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</si>
  <si>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</si>
  <si>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</si>
  <si>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</si>
  <si>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</si>
  <si>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</si>
  <si>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</si>
  <si>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</si>
  <si>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</si>
  <si>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</si>
  <si>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</si>
  <si>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</si>
  <si>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</si>
  <si>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</si>
  <si>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</si>
  <si>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</si>
  <si>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</si>
  <si>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</si>
  <si>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</si>
  <si>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</si>
  <si>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</si>
  <si>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</si>
  <si>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</si>
  <si>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</si>
  <si>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</si>
  <si>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</si>
  <si>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</si>
  <si>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</si>
  <si>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</si>
  <si>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</si>
  <si>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</si>
  <si>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</si>
  <si>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</si>
  <si>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</si>
  <si>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</si>
  <si>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</si>
  <si>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</si>
  <si>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</si>
  <si>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</si>
  <si>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</si>
  <si>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</si>
  <si>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</si>
  <si>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</si>
  <si>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</si>
  <si>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</si>
  <si>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</si>
  <si>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</si>
  <si>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</si>
  <si>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</si>
  <si>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</si>
  <si>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</si>
  <si>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</si>
  <si>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</si>
  <si>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</si>
  <si>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</si>
  <si>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</si>
  <si>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</si>
  <si>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</si>
  <si>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</si>
  <si>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</si>
  <si>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</si>
  <si>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</si>
  <si>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</si>
  <si>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</si>
  <si>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</si>
  <si>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</si>
  <si>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</si>
  <si>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</si>
  <si>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</si>
  <si>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</si>
  <si>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</si>
  <si>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</si>
  <si>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</si>
  <si>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</si>
  <si>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</si>
  <si>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</si>
  <si>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</si>
  <si>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</si>
  <si>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</si>
  <si>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</si>
  <si>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</si>
  <si>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</si>
  <si>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</si>
  <si>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</si>
  <si>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</si>
  <si>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</si>
  <si>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</si>
  <si>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</si>
  <si>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</si>
  <si>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</si>
  <si>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</si>
  <si>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</si>
  <si>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</si>
  <si>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</si>
  <si>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</si>
  <si>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</si>
  <si>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</si>
  <si>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</si>
  <si>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</si>
  <si>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</si>
  <si>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</si>
  <si>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</si>
  <si>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</si>
  <si>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05/25/2026</t>
  </si>
  <si>
    <t>Week Of 05-18-2026 to 05-25-2026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</si>
</sst>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1" sqref="L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19106</v>
      </c>
      <c r="D3"/>
      <c r="E3">
        <v>43967</v>
      </c>
      <c r="F3"/>
      <c r="G3">
        <v>10368</v>
      </c>
      <c r="H3"/>
      <c r="I3">
        <v>2795</v>
      </c>
      <c r="K3" s="10">
        <f t="shared" ref="K3:K34" si="0">SUM(C3+E3+G3+I3)</f>
        <v>76236</v>
      </c>
    </row>
    <row r="4" spans="1:12" x14ac:dyDescent="0.25">
      <c r="A4" t="s">
        <v>2</v>
      </c>
      <c r="B4" s="1">
        <v>2291</v>
      </c>
      <c r="C4">
        <v>502317</v>
      </c>
      <c r="D4"/>
      <c r="E4">
        <v>263762</v>
      </c>
      <c r="F4"/>
      <c r="G4">
        <v>112023</v>
      </c>
      <c r="H4"/>
      <c r="I4">
        <v>37035</v>
      </c>
      <c r="K4" s="10">
        <f t="shared" si="0"/>
        <v>915137</v>
      </c>
    </row>
    <row r="5" spans="1:12" x14ac:dyDescent="0.25">
      <c r="A5" t="s">
        <v>3</v>
      </c>
      <c r="B5" s="1">
        <v>2292</v>
      </c>
      <c r="C5">
        <v>10697</v>
      </c>
      <c r="D5"/>
      <c r="E5">
        <v>27639</v>
      </c>
      <c r="F5"/>
      <c r="G5">
        <v>3656</v>
      </c>
      <c r="H5"/>
      <c r="I5">
        <v>1580</v>
      </c>
      <c r="K5" s="10">
        <f t="shared" si="0"/>
        <v>43572</v>
      </c>
    </row>
    <row r="6" spans="1:12" x14ac:dyDescent="0.25">
      <c r="A6" t="s">
        <v>4</v>
      </c>
      <c r="B6" s="1">
        <v>2293</v>
      </c>
      <c r="C6">
        <v>45846</v>
      </c>
      <c r="D6"/>
      <c r="E6">
        <v>51938</v>
      </c>
      <c r="F6"/>
      <c r="G6">
        <v>11683</v>
      </c>
      <c r="H6"/>
      <c r="I6">
        <v>4736</v>
      </c>
      <c r="K6" s="10">
        <f t="shared" si="0"/>
        <v>114203</v>
      </c>
    </row>
    <row r="7" spans="1:12" x14ac:dyDescent="0.25">
      <c r="A7" t="s">
        <v>5</v>
      </c>
      <c r="B7" s="1">
        <v>2294</v>
      </c>
      <c r="C7">
        <v>5282</v>
      </c>
      <c r="D7"/>
      <c r="E7">
        <v>24567</v>
      </c>
      <c r="F7"/>
      <c r="G7">
        <v>2283</v>
      </c>
      <c r="H7"/>
      <c r="I7">
        <v>889</v>
      </c>
      <c r="K7" s="10">
        <f t="shared" si="0"/>
        <v>33021</v>
      </c>
    </row>
    <row r="8" spans="1:12" x14ac:dyDescent="0.25">
      <c r="A8" t="s">
        <v>6</v>
      </c>
      <c r="B8" s="1">
        <v>2295</v>
      </c>
      <c r="C8">
        <v>104183</v>
      </c>
      <c r="D8"/>
      <c r="E8">
        <v>118142</v>
      </c>
      <c r="F8"/>
      <c r="G8">
        <v>40642</v>
      </c>
      <c r="H8"/>
      <c r="I8">
        <v>10407</v>
      </c>
      <c r="K8" s="10">
        <f t="shared" si="0"/>
        <v>273374</v>
      </c>
    </row>
    <row r="9" spans="1:12" x14ac:dyDescent="0.25">
      <c r="A9" t="s">
        <v>7</v>
      </c>
      <c r="B9" s="1">
        <v>2296</v>
      </c>
      <c r="C9">
        <v>19745</v>
      </c>
      <c r="D9"/>
      <c r="E9">
        <v>50707</v>
      </c>
      <c r="F9"/>
      <c r="G9">
        <v>8339</v>
      </c>
      <c r="H9"/>
      <c r="I9">
        <v>2723</v>
      </c>
      <c r="K9" s="10">
        <f t="shared" si="0"/>
        <v>81514</v>
      </c>
    </row>
    <row r="10" spans="1:12" x14ac:dyDescent="0.25">
      <c r="A10" t="s">
        <v>8</v>
      </c>
      <c r="B10" s="1">
        <v>2297</v>
      </c>
      <c r="C10">
        <v>7797</v>
      </c>
      <c r="D10"/>
      <c r="E10">
        <v>25622</v>
      </c>
      <c r="F10"/>
      <c r="G10">
        <v>3816</v>
      </c>
      <c r="H10"/>
      <c r="I10">
        <v>1537</v>
      </c>
      <c r="K10" s="10">
        <f t="shared" si="0"/>
        <v>38772</v>
      </c>
    </row>
    <row r="11" spans="1:12" x14ac:dyDescent="0.25">
      <c r="A11" t="s">
        <v>9</v>
      </c>
      <c r="B11" s="1">
        <v>2298</v>
      </c>
      <c r="C11">
        <v>193708</v>
      </c>
      <c r="D11"/>
      <c r="E11">
        <v>202400</v>
      </c>
      <c r="F11"/>
      <c r="G11">
        <v>69121</v>
      </c>
      <c r="H11"/>
      <c r="I11">
        <v>18525</v>
      </c>
      <c r="K11" s="10">
        <f t="shared" si="0"/>
        <v>483754</v>
      </c>
    </row>
    <row r="12" spans="1:12" x14ac:dyDescent="0.25">
      <c r="A12" t="s">
        <v>10</v>
      </c>
      <c r="B12" s="1">
        <v>2299</v>
      </c>
      <c r="C12">
        <v>39020</v>
      </c>
      <c r="D12"/>
      <c r="E12">
        <v>82856</v>
      </c>
      <c r="F12"/>
      <c r="G12">
        <v>16072</v>
      </c>
      <c r="H12"/>
      <c r="I12">
        <v>5166</v>
      </c>
      <c r="K12" s="10">
        <f t="shared" si="0"/>
        <v>143114</v>
      </c>
    </row>
    <row r="13" spans="1:12" x14ac:dyDescent="0.25">
      <c r="A13" t="s">
        <v>11</v>
      </c>
      <c r="B13" s="1">
        <v>2300</v>
      </c>
      <c r="C13">
        <v>29506</v>
      </c>
      <c r="D13"/>
      <c r="E13">
        <v>46538</v>
      </c>
      <c r="F13"/>
      <c r="G13">
        <v>7778</v>
      </c>
      <c r="H13"/>
      <c r="I13">
        <v>2119</v>
      </c>
      <c r="K13" s="10">
        <f t="shared" si="0"/>
        <v>85941</v>
      </c>
    </row>
    <row r="14" spans="1:12" x14ac:dyDescent="0.25">
      <c r="A14" t="s">
        <v>12</v>
      </c>
      <c r="B14" s="1">
        <v>2301</v>
      </c>
      <c r="C14">
        <v>665</v>
      </c>
      <c r="D14"/>
      <c r="E14">
        <v>1838</v>
      </c>
      <c r="F14"/>
      <c r="G14">
        <v>249</v>
      </c>
      <c r="H14"/>
      <c r="I14">
        <v>125</v>
      </c>
      <c r="K14" s="10">
        <f t="shared" si="0"/>
        <v>2877</v>
      </c>
    </row>
    <row r="15" spans="1:12" x14ac:dyDescent="0.25">
      <c r="A15" t="s">
        <v>13</v>
      </c>
      <c r="B15" s="1">
        <v>2302</v>
      </c>
      <c r="C15">
        <v>14063</v>
      </c>
      <c r="D15"/>
      <c r="E15">
        <v>23851</v>
      </c>
      <c r="F15"/>
      <c r="G15">
        <v>5716</v>
      </c>
      <c r="H15"/>
      <c r="I15">
        <v>1922</v>
      </c>
      <c r="K15" s="10">
        <f t="shared" si="0"/>
        <v>45552</v>
      </c>
    </row>
    <row r="16" spans="1:12" x14ac:dyDescent="0.25">
      <c r="A16" t="s">
        <v>14</v>
      </c>
      <c r="B16" s="1">
        <v>2303</v>
      </c>
      <c r="C16">
        <v>41460</v>
      </c>
      <c r="D16"/>
      <c r="E16">
        <v>41890</v>
      </c>
      <c r="F16"/>
      <c r="G16">
        <v>15983</v>
      </c>
      <c r="H16"/>
      <c r="I16">
        <v>2703</v>
      </c>
      <c r="K16" s="10">
        <f t="shared" si="0"/>
        <v>102036</v>
      </c>
    </row>
    <row r="17" spans="1:11" x14ac:dyDescent="0.25">
      <c r="A17" t="s">
        <v>15</v>
      </c>
      <c r="B17" s="1">
        <v>2304</v>
      </c>
      <c r="C17">
        <v>160419</v>
      </c>
      <c r="D17"/>
      <c r="E17">
        <v>152138</v>
      </c>
      <c r="F17"/>
      <c r="G17">
        <v>58109</v>
      </c>
      <c r="H17"/>
      <c r="I17">
        <v>18011</v>
      </c>
      <c r="K17" s="10">
        <f t="shared" si="0"/>
        <v>388677</v>
      </c>
    </row>
    <row r="18" spans="1:11" x14ac:dyDescent="0.25">
      <c r="A18" t="s">
        <v>16</v>
      </c>
      <c r="B18" s="1">
        <v>2305</v>
      </c>
      <c r="C18">
        <v>5066</v>
      </c>
      <c r="D18"/>
      <c r="E18">
        <v>15566</v>
      </c>
      <c r="F18"/>
      <c r="G18">
        <v>2072</v>
      </c>
      <c r="H18"/>
      <c r="I18">
        <v>646</v>
      </c>
      <c r="K18" s="10">
        <f t="shared" si="0"/>
        <v>23350</v>
      </c>
    </row>
    <row r="19" spans="1:11" x14ac:dyDescent="0.25">
      <c r="A19" t="s">
        <v>17</v>
      </c>
      <c r="B19" s="1">
        <v>2306</v>
      </c>
      <c r="C19">
        <v>12077</v>
      </c>
      <c r="D19"/>
      <c r="E19">
        <v>31468</v>
      </c>
      <c r="F19"/>
      <c r="G19">
        <v>4280</v>
      </c>
      <c r="H19"/>
      <c r="I19">
        <v>1786</v>
      </c>
      <c r="K19" s="10">
        <f t="shared" si="0"/>
        <v>49611</v>
      </c>
    </row>
    <row r="20" spans="1:11" x14ac:dyDescent="0.25">
      <c r="A20" t="s">
        <v>18</v>
      </c>
      <c r="B20" s="1">
        <v>2307</v>
      </c>
      <c r="C20">
        <v>6061</v>
      </c>
      <c r="D20"/>
      <c r="E20">
        <v>13320</v>
      </c>
      <c r="F20"/>
      <c r="G20">
        <v>2392</v>
      </c>
      <c r="H20"/>
      <c r="I20">
        <v>743</v>
      </c>
      <c r="K20" s="10">
        <f t="shared" si="0"/>
        <v>22516</v>
      </c>
    </row>
    <row r="21" spans="1:11" x14ac:dyDescent="0.25">
      <c r="A21" t="s">
        <v>19</v>
      </c>
      <c r="B21" s="1">
        <v>2308</v>
      </c>
      <c r="C21">
        <v>11821</v>
      </c>
      <c r="D21"/>
      <c r="E21">
        <v>22459</v>
      </c>
      <c r="F21"/>
      <c r="G21">
        <v>4833</v>
      </c>
      <c r="H21"/>
      <c r="I21">
        <v>1491</v>
      </c>
      <c r="K21" s="10">
        <f t="shared" si="0"/>
        <v>40604</v>
      </c>
    </row>
    <row r="22" spans="1:11" x14ac:dyDescent="0.25">
      <c r="A22" t="s">
        <v>20</v>
      </c>
      <c r="B22" s="1">
        <v>2309</v>
      </c>
      <c r="C22">
        <v>14461</v>
      </c>
      <c r="D22"/>
      <c r="E22">
        <v>31855</v>
      </c>
      <c r="F22"/>
      <c r="G22">
        <v>4906</v>
      </c>
      <c r="H22"/>
      <c r="I22">
        <v>1842</v>
      </c>
      <c r="K22" s="10">
        <f t="shared" si="0"/>
        <v>53064</v>
      </c>
    </row>
    <row r="23" spans="1:11" x14ac:dyDescent="0.25">
      <c r="A23" t="s">
        <v>21</v>
      </c>
      <c r="B23" s="1">
        <v>2310</v>
      </c>
      <c r="C23">
        <v>61214</v>
      </c>
      <c r="D23"/>
      <c r="E23">
        <v>88446</v>
      </c>
      <c r="F23"/>
      <c r="G23">
        <v>26607</v>
      </c>
      <c r="H23"/>
      <c r="I23">
        <v>6502</v>
      </c>
      <c r="K23" s="10">
        <f t="shared" si="0"/>
        <v>182769</v>
      </c>
    </row>
    <row r="24" spans="1:11" x14ac:dyDescent="0.25">
      <c r="A24" t="s">
        <v>22</v>
      </c>
      <c r="B24" s="1">
        <v>2311</v>
      </c>
      <c r="C24">
        <v>85626</v>
      </c>
      <c r="D24"/>
      <c r="E24">
        <v>76263</v>
      </c>
      <c r="F24"/>
      <c r="G24">
        <v>30433</v>
      </c>
      <c r="H24"/>
      <c r="I24">
        <v>7273</v>
      </c>
      <c r="K24" s="10">
        <f t="shared" si="0"/>
        <v>199595</v>
      </c>
    </row>
    <row r="25" spans="1:11" x14ac:dyDescent="0.25">
      <c r="A25" t="s">
        <v>23</v>
      </c>
      <c r="B25" s="1">
        <v>2312</v>
      </c>
      <c r="C25">
        <v>202460</v>
      </c>
      <c r="D25"/>
      <c r="E25">
        <v>143519</v>
      </c>
      <c r="F25"/>
      <c r="G25">
        <v>48471</v>
      </c>
      <c r="H25"/>
      <c r="I25">
        <v>15784</v>
      </c>
      <c r="K25" s="10">
        <f t="shared" si="0"/>
        <v>410234</v>
      </c>
    </row>
    <row r="26" spans="1:11" x14ac:dyDescent="0.25">
      <c r="A26" t="s">
        <v>24</v>
      </c>
      <c r="B26" s="1">
        <v>2313</v>
      </c>
      <c r="C26">
        <v>5817</v>
      </c>
      <c r="D26"/>
      <c r="E26">
        <v>12123</v>
      </c>
      <c r="F26"/>
      <c r="G26">
        <v>1749</v>
      </c>
      <c r="H26"/>
      <c r="I26">
        <v>787</v>
      </c>
      <c r="K26" s="10">
        <f t="shared" si="0"/>
        <v>20476</v>
      </c>
    </row>
    <row r="27" spans="1:11" x14ac:dyDescent="0.25">
      <c r="A27" t="s">
        <v>25</v>
      </c>
      <c r="B27" s="1">
        <v>2314</v>
      </c>
      <c r="C27">
        <v>76557</v>
      </c>
      <c r="D27"/>
      <c r="E27">
        <v>70999</v>
      </c>
      <c r="F27"/>
      <c r="G27">
        <v>20645</v>
      </c>
      <c r="H27"/>
      <c r="I27">
        <v>6670</v>
      </c>
      <c r="K27" s="10">
        <f t="shared" si="0"/>
        <v>174871</v>
      </c>
    </row>
    <row r="28" spans="1:11" x14ac:dyDescent="0.25">
      <c r="A28" t="s">
        <v>26</v>
      </c>
      <c r="B28" s="1">
        <v>2315</v>
      </c>
      <c r="C28">
        <v>29616</v>
      </c>
      <c r="D28"/>
      <c r="E28">
        <v>41286</v>
      </c>
      <c r="F28"/>
      <c r="G28">
        <v>6601</v>
      </c>
      <c r="H28"/>
      <c r="I28">
        <v>2070</v>
      </c>
      <c r="K28" s="10">
        <f t="shared" si="0"/>
        <v>79573</v>
      </c>
    </row>
    <row r="29" spans="1:11" x14ac:dyDescent="0.25">
      <c r="A29" t="s">
        <v>27</v>
      </c>
      <c r="B29" s="1">
        <v>2316</v>
      </c>
      <c r="C29">
        <v>773</v>
      </c>
      <c r="D29"/>
      <c r="E29">
        <v>2032</v>
      </c>
      <c r="F29"/>
      <c r="G29">
        <v>267</v>
      </c>
      <c r="H29"/>
      <c r="I29">
        <v>123</v>
      </c>
      <c r="K29" s="10">
        <f t="shared" si="0"/>
        <v>3195</v>
      </c>
    </row>
    <row r="30" spans="1:11" x14ac:dyDescent="0.25">
      <c r="A30" t="s">
        <v>28</v>
      </c>
      <c r="B30" s="1">
        <v>2317</v>
      </c>
      <c r="C30">
        <v>23421</v>
      </c>
      <c r="D30"/>
      <c r="E30">
        <v>64415</v>
      </c>
      <c r="F30"/>
      <c r="G30">
        <v>13708</v>
      </c>
      <c r="H30"/>
      <c r="I30">
        <v>3420</v>
      </c>
      <c r="K30" s="10">
        <f t="shared" si="0"/>
        <v>104964</v>
      </c>
    </row>
    <row r="31" spans="1:11" x14ac:dyDescent="0.25">
      <c r="A31" t="s">
        <v>29</v>
      </c>
      <c r="B31" s="1">
        <v>2318</v>
      </c>
      <c r="C31">
        <v>1475</v>
      </c>
      <c r="D31"/>
      <c r="E31">
        <v>7484</v>
      </c>
      <c r="F31"/>
      <c r="G31">
        <v>890</v>
      </c>
      <c r="H31"/>
      <c r="I31">
        <v>266</v>
      </c>
      <c r="K31" s="10">
        <f t="shared" si="0"/>
        <v>10115</v>
      </c>
    </row>
    <row r="32" spans="1:11" x14ac:dyDescent="0.25">
      <c r="A32" t="s">
        <v>30</v>
      </c>
      <c r="B32" s="1">
        <v>2319</v>
      </c>
      <c r="C32">
        <v>7411</v>
      </c>
      <c r="D32"/>
      <c r="E32">
        <v>12116</v>
      </c>
      <c r="F32"/>
      <c r="G32">
        <v>1626</v>
      </c>
      <c r="H32"/>
      <c r="I32">
        <v>599</v>
      </c>
      <c r="K32" s="10">
        <f t="shared" si="0"/>
        <v>21752</v>
      </c>
    </row>
    <row r="33" spans="1:11" x14ac:dyDescent="0.25">
      <c r="A33" t="s">
        <v>31</v>
      </c>
      <c r="B33" s="1">
        <v>2320</v>
      </c>
      <c r="C33">
        <v>6038</v>
      </c>
      <c r="D33"/>
      <c r="E33">
        <v>18935</v>
      </c>
      <c r="F33"/>
      <c r="G33">
        <v>2359</v>
      </c>
      <c r="H33"/>
      <c r="I33">
        <v>592</v>
      </c>
      <c r="K33" s="10">
        <f t="shared" si="0"/>
        <v>27924</v>
      </c>
    </row>
    <row r="34" spans="1:11" x14ac:dyDescent="0.25">
      <c r="A34" t="s">
        <v>32</v>
      </c>
      <c r="B34" s="1">
        <v>2321</v>
      </c>
      <c r="C34">
        <v>13994</v>
      </c>
      <c r="D34"/>
      <c r="E34">
        <v>28904</v>
      </c>
      <c r="F34"/>
      <c r="G34">
        <v>4632</v>
      </c>
      <c r="H34"/>
      <c r="I34">
        <v>1677</v>
      </c>
      <c r="K34" s="10">
        <f t="shared" si="0"/>
        <v>49207</v>
      </c>
    </row>
    <row r="35" spans="1:11" x14ac:dyDescent="0.25">
      <c r="A35" t="s">
        <v>33</v>
      </c>
      <c r="B35" s="1">
        <v>2322</v>
      </c>
      <c r="C35">
        <v>5432</v>
      </c>
      <c r="D35"/>
      <c r="E35">
        <v>19456</v>
      </c>
      <c r="F35"/>
      <c r="G35">
        <v>2279</v>
      </c>
      <c r="H35"/>
      <c r="I35">
        <v>929</v>
      </c>
      <c r="K35" s="10">
        <f t="shared" ref="K35:K69" si="1">SUM(C35+E35+G35+I35)</f>
        <v>28096</v>
      </c>
    </row>
    <row r="36" spans="1:11" x14ac:dyDescent="0.25">
      <c r="A36" t="s">
        <v>34</v>
      </c>
      <c r="B36" s="1">
        <v>2323</v>
      </c>
      <c r="C36">
        <v>2549</v>
      </c>
      <c r="D36"/>
      <c r="E36">
        <v>10036</v>
      </c>
      <c r="F36"/>
      <c r="G36">
        <v>1163</v>
      </c>
      <c r="H36"/>
      <c r="I36">
        <v>330</v>
      </c>
      <c r="K36" s="10">
        <f t="shared" si="1"/>
        <v>14078</v>
      </c>
    </row>
    <row r="37" spans="1:11" x14ac:dyDescent="0.25">
      <c r="A37" t="s">
        <v>35</v>
      </c>
      <c r="B37" s="1">
        <v>2324</v>
      </c>
      <c r="C37">
        <v>76271</v>
      </c>
      <c r="D37"/>
      <c r="E37">
        <v>52281</v>
      </c>
      <c r="F37"/>
      <c r="G37">
        <v>16985</v>
      </c>
      <c r="H37"/>
      <c r="I37">
        <v>3450</v>
      </c>
      <c r="K37" s="10">
        <f t="shared" si="1"/>
        <v>148987</v>
      </c>
    </row>
    <row r="38" spans="1:11" x14ac:dyDescent="0.25">
      <c r="A38" t="s">
        <v>36</v>
      </c>
      <c r="B38" s="1">
        <v>2325</v>
      </c>
      <c r="C38">
        <v>112212</v>
      </c>
      <c r="D38"/>
      <c r="E38">
        <v>183856</v>
      </c>
      <c r="F38"/>
      <c r="G38">
        <v>50633</v>
      </c>
      <c r="H38"/>
      <c r="I38">
        <v>16058</v>
      </c>
      <c r="K38" s="10">
        <f t="shared" si="1"/>
        <v>362759</v>
      </c>
    </row>
    <row r="39" spans="1:11" x14ac:dyDescent="0.25">
      <c r="A39" t="s">
        <v>37</v>
      </c>
      <c r="B39" s="1">
        <v>2326</v>
      </c>
      <c r="C39">
        <v>19709</v>
      </c>
      <c r="D39"/>
      <c r="E39">
        <v>30165</v>
      </c>
      <c r="F39"/>
      <c r="G39">
        <v>5575</v>
      </c>
      <c r="H39"/>
      <c r="I39">
        <v>1909</v>
      </c>
      <c r="K39" s="10">
        <f t="shared" si="1"/>
        <v>57358</v>
      </c>
    </row>
    <row r="40" spans="1:11" x14ac:dyDescent="0.25">
      <c r="A40" t="s">
        <v>38</v>
      </c>
      <c r="B40" s="1">
        <v>2327</v>
      </c>
      <c r="C40">
        <v>25324</v>
      </c>
      <c r="D40"/>
      <c r="E40">
        <v>52645</v>
      </c>
      <c r="F40"/>
      <c r="G40">
        <v>12058</v>
      </c>
      <c r="H40"/>
      <c r="I40">
        <v>3700</v>
      </c>
      <c r="K40" s="10">
        <f t="shared" si="1"/>
        <v>93727</v>
      </c>
    </row>
    <row r="41" spans="1:11" x14ac:dyDescent="0.25">
      <c r="A41" t="s">
        <v>39</v>
      </c>
      <c r="B41" s="1">
        <v>2328</v>
      </c>
      <c r="C41">
        <v>110945</v>
      </c>
      <c r="D41"/>
      <c r="E41">
        <v>89749</v>
      </c>
      <c r="F41"/>
      <c r="G41">
        <v>45010</v>
      </c>
      <c r="H41"/>
      <c r="I41">
        <v>7330</v>
      </c>
      <c r="K41" s="10">
        <f t="shared" si="1"/>
        <v>253034</v>
      </c>
    </row>
    <row r="42" spans="1:11" x14ac:dyDescent="0.25">
      <c r="A42" t="s">
        <v>40</v>
      </c>
      <c r="B42" s="1">
        <v>2329</v>
      </c>
      <c r="C42">
        <v>84111</v>
      </c>
      <c r="D42"/>
      <c r="E42">
        <v>91205</v>
      </c>
      <c r="F42"/>
      <c r="G42">
        <v>25244</v>
      </c>
      <c r="H42"/>
      <c r="I42">
        <v>5670</v>
      </c>
      <c r="K42" s="10">
        <f t="shared" si="1"/>
        <v>206230</v>
      </c>
    </row>
    <row r="43" spans="1:11" x14ac:dyDescent="0.25">
      <c r="A43" t="s">
        <v>41</v>
      </c>
      <c r="B43" s="1">
        <v>2330</v>
      </c>
      <c r="C43">
        <v>18145</v>
      </c>
      <c r="D43"/>
      <c r="E43">
        <v>43877</v>
      </c>
      <c r="F43"/>
      <c r="G43">
        <v>7776</v>
      </c>
      <c r="H43"/>
      <c r="I43">
        <v>2731</v>
      </c>
      <c r="K43" s="10">
        <f t="shared" si="1"/>
        <v>72529</v>
      </c>
    </row>
    <row r="44" spans="1:11" x14ac:dyDescent="0.25">
      <c r="A44" t="s">
        <v>91</v>
      </c>
      <c r="B44" s="1">
        <v>2331</v>
      </c>
      <c r="C44">
        <v>5286</v>
      </c>
      <c r="D44"/>
      <c r="E44">
        <v>16169</v>
      </c>
      <c r="F44"/>
      <c r="G44">
        <v>2699</v>
      </c>
      <c r="H44"/>
      <c r="I44">
        <v>1026</v>
      </c>
      <c r="K44" s="10">
        <f t="shared" si="1"/>
        <v>25180</v>
      </c>
    </row>
    <row r="45" spans="1:11" x14ac:dyDescent="0.25">
      <c r="A45" t="s">
        <v>43</v>
      </c>
      <c r="B45" s="1">
        <v>2332</v>
      </c>
      <c r="C45">
        <v>23178</v>
      </c>
      <c r="D45"/>
      <c r="E45">
        <v>38321</v>
      </c>
      <c r="F45"/>
      <c r="G45">
        <v>8338</v>
      </c>
      <c r="H45"/>
      <c r="I45">
        <v>2034</v>
      </c>
      <c r="K45" s="10">
        <f t="shared" si="1"/>
        <v>71871</v>
      </c>
    </row>
    <row r="46" spans="1:11" x14ac:dyDescent="0.25">
      <c r="A46" t="s">
        <v>44</v>
      </c>
      <c r="B46" s="1">
        <v>2333</v>
      </c>
      <c r="C46">
        <v>5366</v>
      </c>
      <c r="D46"/>
      <c r="E46">
        <v>18634</v>
      </c>
      <c r="F46"/>
      <c r="G46">
        <v>2493</v>
      </c>
      <c r="H46"/>
      <c r="I46">
        <v>618</v>
      </c>
      <c r="K46" s="10">
        <f t="shared" si="1"/>
        <v>27111</v>
      </c>
    </row>
    <row r="47" spans="1:11" x14ac:dyDescent="0.25">
      <c r="A47" t="s">
        <v>45</v>
      </c>
      <c r="B47" s="1">
        <v>2334</v>
      </c>
      <c r="C47">
        <v>48317</v>
      </c>
      <c r="D47"/>
      <c r="E47">
        <v>43206</v>
      </c>
      <c r="F47"/>
      <c r="G47">
        <v>20272</v>
      </c>
      <c r="H47"/>
      <c r="I47">
        <v>5025</v>
      </c>
      <c r="K47" s="10">
        <f t="shared" si="1"/>
        <v>116820</v>
      </c>
    </row>
    <row r="48" spans="1:11" x14ac:dyDescent="0.25">
      <c r="A48" t="s">
        <v>46</v>
      </c>
      <c r="B48" s="1">
        <v>2335</v>
      </c>
      <c r="C48">
        <v>304533</v>
      </c>
      <c r="D48"/>
      <c r="E48">
        <v>208196</v>
      </c>
      <c r="F48"/>
      <c r="G48">
        <v>82983</v>
      </c>
      <c r="H48"/>
      <c r="I48">
        <v>26241</v>
      </c>
      <c r="K48" s="10">
        <f t="shared" si="1"/>
        <v>621953</v>
      </c>
    </row>
    <row r="49" spans="1:11" x14ac:dyDescent="0.25">
      <c r="A49" t="s">
        <v>47</v>
      </c>
      <c r="B49" s="1">
        <v>2336</v>
      </c>
      <c r="C49">
        <v>3747</v>
      </c>
      <c r="D49"/>
      <c r="E49">
        <v>6558</v>
      </c>
      <c r="F49"/>
      <c r="G49">
        <v>1594</v>
      </c>
      <c r="H49"/>
      <c r="I49">
        <v>402</v>
      </c>
      <c r="K49" s="10">
        <f t="shared" si="1"/>
        <v>12301</v>
      </c>
    </row>
    <row r="50" spans="1:11" x14ac:dyDescent="0.25">
      <c r="A50" t="s">
        <v>48</v>
      </c>
      <c r="B50" s="1">
        <v>2337</v>
      </c>
      <c r="C50">
        <v>95601</v>
      </c>
      <c r="D50"/>
      <c r="E50">
        <v>86925</v>
      </c>
      <c r="F50"/>
      <c r="G50">
        <v>39092</v>
      </c>
      <c r="H50"/>
      <c r="I50">
        <v>9608</v>
      </c>
      <c r="K50" s="10">
        <f t="shared" si="1"/>
        <v>231226</v>
      </c>
    </row>
    <row r="51" spans="1:11" x14ac:dyDescent="0.25">
      <c r="A51" t="s">
        <v>49</v>
      </c>
      <c r="B51" s="1">
        <v>2338</v>
      </c>
      <c r="C51">
        <v>15322</v>
      </c>
      <c r="D51"/>
      <c r="E51">
        <v>31953</v>
      </c>
      <c r="F51"/>
      <c r="G51">
        <v>5763</v>
      </c>
      <c r="H51"/>
      <c r="I51">
        <v>2242</v>
      </c>
      <c r="K51" s="10">
        <f t="shared" si="1"/>
        <v>55280</v>
      </c>
    </row>
    <row r="52" spans="1:11" x14ac:dyDescent="0.25">
      <c r="A52" t="s">
        <v>50</v>
      </c>
      <c r="B52" s="1">
        <v>2339</v>
      </c>
      <c r="C52">
        <v>5991</v>
      </c>
      <c r="D52"/>
      <c r="E52">
        <v>20995</v>
      </c>
      <c r="F52"/>
      <c r="G52">
        <v>3364</v>
      </c>
      <c r="H52"/>
      <c r="I52">
        <v>851</v>
      </c>
      <c r="K52" s="10">
        <f t="shared" si="1"/>
        <v>31201</v>
      </c>
    </row>
    <row r="53" spans="1:11" x14ac:dyDescent="0.25">
      <c r="A53" t="s">
        <v>51</v>
      </c>
      <c r="B53" s="1">
        <v>2340</v>
      </c>
      <c r="C53">
        <v>774360</v>
      </c>
      <c r="D53"/>
      <c r="E53">
        <v>131428</v>
      </c>
      <c r="F53"/>
      <c r="G53">
        <v>148494</v>
      </c>
      <c r="H53"/>
      <c r="I53">
        <v>26374</v>
      </c>
      <c r="K53" s="10">
        <f t="shared" si="1"/>
        <v>1080656</v>
      </c>
    </row>
    <row r="54" spans="1:11" x14ac:dyDescent="0.25">
      <c r="A54" t="s">
        <v>52</v>
      </c>
      <c r="B54" s="1">
        <v>2341</v>
      </c>
      <c r="C54">
        <v>13544</v>
      </c>
      <c r="D54"/>
      <c r="E54">
        <v>22949</v>
      </c>
      <c r="F54"/>
      <c r="G54">
        <v>8348</v>
      </c>
      <c r="H54"/>
      <c r="I54">
        <v>2159</v>
      </c>
      <c r="K54" s="10">
        <f t="shared" si="1"/>
        <v>47000</v>
      </c>
    </row>
    <row r="55" spans="1:11" x14ac:dyDescent="0.25">
      <c r="A55" t="s">
        <v>53</v>
      </c>
      <c r="B55" s="1">
        <v>2342</v>
      </c>
      <c r="C55">
        <v>1741</v>
      </c>
      <c r="D55"/>
      <c r="E55">
        <v>8037</v>
      </c>
      <c r="F55"/>
      <c r="G55">
        <v>991</v>
      </c>
      <c r="H55"/>
      <c r="I55">
        <v>275</v>
      </c>
      <c r="K55" s="10">
        <f t="shared" si="1"/>
        <v>11044</v>
      </c>
    </row>
    <row r="56" spans="1:11" x14ac:dyDescent="0.25">
      <c r="A56" t="s">
        <v>54</v>
      </c>
      <c r="B56" s="1">
        <v>2343</v>
      </c>
      <c r="C56">
        <v>25365</v>
      </c>
      <c r="D56"/>
      <c r="E56">
        <v>53186</v>
      </c>
      <c r="F56"/>
      <c r="G56">
        <v>9922</v>
      </c>
      <c r="H56"/>
      <c r="I56">
        <v>3782</v>
      </c>
      <c r="K56" s="10">
        <f t="shared" si="1"/>
        <v>92255</v>
      </c>
    </row>
    <row r="57" spans="1:11" x14ac:dyDescent="0.25">
      <c r="A57" t="s">
        <v>55</v>
      </c>
      <c r="B57" s="1">
        <v>2344</v>
      </c>
      <c r="C57">
        <v>4877</v>
      </c>
      <c r="D57"/>
      <c r="E57">
        <v>15960</v>
      </c>
      <c r="F57"/>
      <c r="G57">
        <v>2338</v>
      </c>
      <c r="H57"/>
      <c r="I57">
        <v>671</v>
      </c>
      <c r="K57" s="10">
        <f t="shared" si="1"/>
        <v>23846</v>
      </c>
    </row>
    <row r="58" spans="1:11" x14ac:dyDescent="0.25">
      <c r="A58" t="s">
        <v>56</v>
      </c>
      <c r="B58" s="1">
        <v>2345</v>
      </c>
      <c r="C58">
        <v>10512</v>
      </c>
      <c r="D58"/>
      <c r="E58">
        <v>32849</v>
      </c>
      <c r="F58"/>
      <c r="G58">
        <v>4351</v>
      </c>
      <c r="H58"/>
      <c r="I58">
        <v>765</v>
      </c>
      <c r="K58" s="10">
        <f t="shared" si="1"/>
        <v>48477</v>
      </c>
    </row>
    <row r="59" spans="1:11" x14ac:dyDescent="0.25">
      <c r="A59" t="s">
        <v>57</v>
      </c>
      <c r="B59" s="1">
        <v>2346</v>
      </c>
      <c r="C59">
        <v>1063</v>
      </c>
      <c r="D59"/>
      <c r="E59">
        <v>2845</v>
      </c>
      <c r="F59"/>
      <c r="G59">
        <v>371</v>
      </c>
      <c r="H59"/>
      <c r="I59">
        <v>161</v>
      </c>
      <c r="K59" s="10">
        <f t="shared" si="1"/>
        <v>4440</v>
      </c>
    </row>
    <row r="60" spans="1:11" x14ac:dyDescent="0.25">
      <c r="A60" t="s">
        <v>58</v>
      </c>
      <c r="B60" s="1">
        <v>2347</v>
      </c>
      <c r="C60">
        <v>6257</v>
      </c>
      <c r="D60"/>
      <c r="E60">
        <v>17568</v>
      </c>
      <c r="F60"/>
      <c r="G60">
        <v>2916</v>
      </c>
      <c r="H60"/>
      <c r="I60">
        <v>1156</v>
      </c>
      <c r="K60" s="10">
        <f t="shared" si="1"/>
        <v>27897</v>
      </c>
    </row>
    <row r="61" spans="1:11" x14ac:dyDescent="0.25">
      <c r="A61" t="s">
        <v>59</v>
      </c>
      <c r="B61" s="1">
        <v>2348</v>
      </c>
      <c r="C61">
        <v>4925</v>
      </c>
      <c r="D61"/>
      <c r="E61">
        <v>18113</v>
      </c>
      <c r="F61"/>
      <c r="G61">
        <v>2918</v>
      </c>
      <c r="H61"/>
      <c r="I61">
        <v>794</v>
      </c>
      <c r="K61" s="10">
        <f t="shared" si="1"/>
        <v>26750</v>
      </c>
    </row>
    <row r="62" spans="1:11" x14ac:dyDescent="0.25">
      <c r="A62" t="s">
        <v>60</v>
      </c>
      <c r="B62" s="1">
        <v>2349</v>
      </c>
      <c r="C62">
        <v>7764</v>
      </c>
      <c r="D62"/>
      <c r="E62">
        <v>14410</v>
      </c>
      <c r="F62"/>
      <c r="G62">
        <v>3203</v>
      </c>
      <c r="H62"/>
      <c r="I62">
        <v>980</v>
      </c>
      <c r="K62" s="10">
        <f t="shared" si="1"/>
        <v>26357</v>
      </c>
    </row>
    <row r="63" spans="1:11" x14ac:dyDescent="0.25">
      <c r="A63" t="s">
        <v>61</v>
      </c>
      <c r="B63" s="1">
        <v>2350</v>
      </c>
      <c r="C63">
        <v>8052</v>
      </c>
      <c r="D63"/>
      <c r="E63">
        <v>20174</v>
      </c>
      <c r="F63"/>
      <c r="G63">
        <v>3367</v>
      </c>
      <c r="H63"/>
      <c r="I63">
        <v>1217</v>
      </c>
      <c r="K63" s="10">
        <f t="shared" si="1"/>
        <v>32810</v>
      </c>
    </row>
    <row r="64" spans="1:11" x14ac:dyDescent="0.25">
      <c r="A64" t="s">
        <v>62</v>
      </c>
      <c r="B64" s="1">
        <v>2351</v>
      </c>
      <c r="C64">
        <v>6360</v>
      </c>
      <c r="D64"/>
      <c r="E64">
        <v>15263</v>
      </c>
      <c r="F64"/>
      <c r="G64">
        <v>2550</v>
      </c>
      <c r="H64"/>
      <c r="I64">
        <v>1259</v>
      </c>
      <c r="K64" s="10">
        <f t="shared" si="1"/>
        <v>25432</v>
      </c>
    </row>
    <row r="65" spans="1:11" x14ac:dyDescent="0.25">
      <c r="A65" t="s">
        <v>63</v>
      </c>
      <c r="B65" s="1">
        <v>2352</v>
      </c>
      <c r="C65">
        <v>52883</v>
      </c>
      <c r="D65"/>
      <c r="E65">
        <v>72956</v>
      </c>
      <c r="F65"/>
      <c r="G65">
        <v>15832</v>
      </c>
      <c r="H65"/>
      <c r="I65">
        <v>3801</v>
      </c>
      <c r="K65" s="10">
        <f t="shared" si="1"/>
        <v>145472</v>
      </c>
    </row>
    <row r="66" spans="1:11" x14ac:dyDescent="0.25">
      <c r="A66" t="s">
        <v>64</v>
      </c>
      <c r="B66" s="1">
        <v>2353</v>
      </c>
      <c r="C66">
        <v>8667</v>
      </c>
      <c r="D66"/>
      <c r="E66">
        <v>21695</v>
      </c>
      <c r="F66"/>
      <c r="G66">
        <v>5086</v>
      </c>
      <c r="H66"/>
      <c r="I66">
        <v>1056</v>
      </c>
      <c r="K66" s="10">
        <f t="shared" si="1"/>
        <v>36504</v>
      </c>
    </row>
    <row r="67" spans="1:11" x14ac:dyDescent="0.25">
      <c r="A67" t="s">
        <v>65</v>
      </c>
      <c r="B67" s="1">
        <v>2354</v>
      </c>
      <c r="C67">
        <v>86901</v>
      </c>
      <c r="D67"/>
      <c r="E67">
        <v>130919</v>
      </c>
      <c r="F67"/>
      <c r="G67">
        <v>23589</v>
      </c>
      <c r="H67"/>
      <c r="I67">
        <v>9230</v>
      </c>
      <c r="K67" s="10">
        <f t="shared" si="1"/>
        <v>250639</v>
      </c>
    </row>
    <row r="68" spans="1:11" x14ac:dyDescent="0.25">
      <c r="A68" t="s">
        <v>66</v>
      </c>
      <c r="B68" s="1">
        <v>2355</v>
      </c>
      <c r="C68">
        <v>4688</v>
      </c>
      <c r="D68"/>
      <c r="E68">
        <v>11339</v>
      </c>
      <c r="F68"/>
      <c r="G68">
        <v>1772</v>
      </c>
      <c r="H68"/>
      <c r="I68">
        <v>660</v>
      </c>
      <c r="K68" s="10">
        <f t="shared" si="1"/>
        <v>18459</v>
      </c>
    </row>
    <row r="69" spans="1:11" ht="13.8" thickBot="1" x14ac:dyDescent="0.3">
      <c r="A69" s="2" t="s">
        <v>67</v>
      </c>
      <c r="B69" s="5">
        <v>2356</v>
      </c>
      <c r="C69">
        <v>95971</v>
      </c>
      <c r="D69"/>
      <c r="E69">
        <v>168333</v>
      </c>
      <c r="F69"/>
      <c r="G69">
        <v>52759</v>
      </c>
      <c r="H69"/>
      <c r="I69">
        <v>8789</v>
      </c>
      <c r="J69" s="13"/>
      <c r="K69" s="10">
        <f t="shared" si="1"/>
        <v>325852</v>
      </c>
    </row>
    <row r="70" spans="1:11" ht="21.75" customHeight="1" x14ac:dyDescent="0.25">
      <c r="A70" s="6" t="s">
        <v>68</v>
      </c>
      <c r="C70" s="14">
        <f>SUM(C3:C69)</f>
        <v>3833671</v>
      </c>
      <c r="D70" s="14"/>
      <c r="E70" s="14">
        <f>SUM(E3:E69)</f>
        <v>3641296</v>
      </c>
      <c r="F70" s="14"/>
      <c r="G70" s="14">
        <f>SUM(G3:G69)</f>
        <v>1164437</v>
      </c>
      <c r="H70" s="14"/>
      <c r="I70" s="14">
        <f>SUM(I3:I69)</f>
        <v>315827</v>
      </c>
      <c r="J70" s="14"/>
      <c r="K70" s="44">
        <f>SUM(K3:K69)</f>
        <v>8955231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C5" sqref="C5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0</v>
      </c>
      <c r="C4" s="42">
        <v>0</v>
      </c>
      <c r="D4" s="42">
        <v>0</v>
      </c>
      <c r="E4" s="42">
        <v>0</v>
      </c>
      <c r="F4" s="42">
        <v>71</v>
      </c>
      <c r="G4" s="42">
        <v>93</v>
      </c>
      <c r="H4" s="42">
        <v>74</v>
      </c>
      <c r="I4" s="42">
        <v>102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0</v>
      </c>
      <c r="C5" s="42">
        <v>5</v>
      </c>
      <c r="D5" s="42">
        <v>0</v>
      </c>
      <c r="E5" s="42">
        <v>0</v>
      </c>
      <c r="F5" s="42">
        <v>787</v>
      </c>
      <c r="G5" s="42">
        <v>1329</v>
      </c>
      <c r="H5" s="42">
        <v>810</v>
      </c>
      <c r="I5" s="42">
        <v>391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0</v>
      </c>
      <c r="C6" s="42">
        <v>0</v>
      </c>
      <c r="D6" s="42">
        <v>0</v>
      </c>
      <c r="E6" s="42">
        <v>0</v>
      </c>
      <c r="F6" s="42">
        <v>23</v>
      </c>
      <c r="G6" s="42">
        <v>28</v>
      </c>
      <c r="H6" s="42">
        <v>65</v>
      </c>
      <c r="I6" s="42">
        <v>26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0</v>
      </c>
      <c r="C7" s="42">
        <v>1</v>
      </c>
      <c r="D7" s="42">
        <v>0</v>
      </c>
      <c r="E7" s="42">
        <v>1</v>
      </c>
      <c r="F7" s="42">
        <v>77</v>
      </c>
      <c r="G7" s="42">
        <v>128</v>
      </c>
      <c r="H7" s="42">
        <v>151</v>
      </c>
      <c r="I7" s="42">
        <v>56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0</v>
      </c>
      <c r="C8" s="42">
        <v>0</v>
      </c>
      <c r="D8" s="42">
        <v>0</v>
      </c>
      <c r="E8" s="42">
        <v>0</v>
      </c>
      <c r="F8" s="42">
        <v>13</v>
      </c>
      <c r="G8" s="42">
        <v>14</v>
      </c>
      <c r="H8" s="42">
        <v>21</v>
      </c>
      <c r="I8" s="42">
        <v>16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0</v>
      </c>
      <c r="C9" s="42">
        <v>0</v>
      </c>
      <c r="D9" s="42">
        <v>0</v>
      </c>
      <c r="E9" s="42">
        <v>0</v>
      </c>
      <c r="F9" s="42">
        <v>337</v>
      </c>
      <c r="G9" s="42">
        <v>495</v>
      </c>
      <c r="H9" s="42">
        <v>423</v>
      </c>
      <c r="I9" s="42">
        <v>335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0</v>
      </c>
      <c r="C10" s="42">
        <v>0</v>
      </c>
      <c r="D10" s="42">
        <v>0</v>
      </c>
      <c r="E10" s="42">
        <v>0</v>
      </c>
      <c r="F10" s="42">
        <v>60</v>
      </c>
      <c r="G10" s="42">
        <v>83</v>
      </c>
      <c r="H10" s="42">
        <v>63</v>
      </c>
      <c r="I10" s="42">
        <v>54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0</v>
      </c>
      <c r="C11" s="42">
        <v>0</v>
      </c>
      <c r="D11" s="42">
        <v>0</v>
      </c>
      <c r="E11" s="42">
        <v>0</v>
      </c>
      <c r="F11" s="42">
        <v>32</v>
      </c>
      <c r="G11" s="42">
        <v>28</v>
      </c>
      <c r="H11" s="42">
        <v>40</v>
      </c>
      <c r="I11" s="42">
        <v>46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0</v>
      </c>
      <c r="C12" s="42">
        <v>0</v>
      </c>
      <c r="D12" s="42">
        <v>0</v>
      </c>
      <c r="E12" s="42">
        <v>1</v>
      </c>
      <c r="F12" s="42">
        <v>626</v>
      </c>
      <c r="G12" s="42">
        <v>1054</v>
      </c>
      <c r="H12" s="42">
        <v>550</v>
      </c>
      <c r="I12" s="42">
        <v>558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0</v>
      </c>
      <c r="C13" s="42">
        <v>0</v>
      </c>
      <c r="D13" s="42">
        <v>0</v>
      </c>
      <c r="E13" s="42">
        <v>0</v>
      </c>
      <c r="F13" s="42">
        <v>131</v>
      </c>
      <c r="G13" s="42">
        <v>170</v>
      </c>
      <c r="H13" s="42">
        <v>101</v>
      </c>
      <c r="I13" s="42">
        <v>111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0</v>
      </c>
      <c r="C14" s="42">
        <v>0</v>
      </c>
      <c r="D14" s="42">
        <v>0</v>
      </c>
      <c r="E14" s="42">
        <v>0</v>
      </c>
      <c r="F14" s="42">
        <v>83</v>
      </c>
      <c r="G14" s="42">
        <v>71</v>
      </c>
      <c r="H14" s="42">
        <v>174</v>
      </c>
      <c r="I14" s="42">
        <v>64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1</v>
      </c>
      <c r="G15" s="42">
        <v>1</v>
      </c>
      <c r="H15" s="42">
        <v>7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0</v>
      </c>
      <c r="C16" s="42">
        <v>0</v>
      </c>
      <c r="D16" s="42">
        <v>0</v>
      </c>
      <c r="E16" s="42">
        <v>0</v>
      </c>
      <c r="F16" s="42">
        <v>34</v>
      </c>
      <c r="G16" s="42">
        <v>70</v>
      </c>
      <c r="H16" s="42">
        <v>54</v>
      </c>
      <c r="I16" s="42">
        <v>43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89</v>
      </c>
      <c r="G17" s="42">
        <v>130</v>
      </c>
      <c r="H17" s="42">
        <v>48</v>
      </c>
      <c r="I17" s="42">
        <v>75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1</v>
      </c>
      <c r="C18" s="42">
        <v>3</v>
      </c>
      <c r="D18" s="42">
        <v>0</v>
      </c>
      <c r="E18" s="42">
        <v>0</v>
      </c>
      <c r="F18" s="42">
        <v>577</v>
      </c>
      <c r="G18" s="42">
        <v>981</v>
      </c>
      <c r="H18" s="42">
        <v>316</v>
      </c>
      <c r="I18" s="42">
        <v>497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0</v>
      </c>
      <c r="C19" s="42">
        <v>0</v>
      </c>
      <c r="D19" s="42">
        <v>0</v>
      </c>
      <c r="E19" s="42">
        <v>0</v>
      </c>
      <c r="F19" s="42">
        <v>11</v>
      </c>
      <c r="G19" s="42">
        <v>14</v>
      </c>
      <c r="H19" s="42">
        <v>18</v>
      </c>
      <c r="I19" s="42">
        <v>10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4</v>
      </c>
      <c r="C20" s="42">
        <v>6</v>
      </c>
      <c r="D20" s="42">
        <v>10</v>
      </c>
      <c r="E20" s="42">
        <v>7</v>
      </c>
      <c r="F20" s="42">
        <v>26</v>
      </c>
      <c r="G20" s="42">
        <v>36</v>
      </c>
      <c r="H20" s="42">
        <v>77</v>
      </c>
      <c r="I20" s="42">
        <v>46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0</v>
      </c>
      <c r="C21" s="42">
        <v>0</v>
      </c>
      <c r="D21" s="42">
        <v>1</v>
      </c>
      <c r="E21" s="42">
        <v>0</v>
      </c>
      <c r="F21" s="42">
        <v>14</v>
      </c>
      <c r="G21" s="42">
        <v>28</v>
      </c>
      <c r="H21" s="42">
        <v>23</v>
      </c>
      <c r="I21" s="42">
        <v>24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0</v>
      </c>
      <c r="C22" s="42">
        <v>0</v>
      </c>
      <c r="D22" s="42">
        <v>1</v>
      </c>
      <c r="E22" s="42">
        <v>0</v>
      </c>
      <c r="F22" s="42">
        <v>30</v>
      </c>
      <c r="G22" s="42">
        <v>36</v>
      </c>
      <c r="H22" s="42">
        <v>34</v>
      </c>
      <c r="I22" s="42">
        <v>26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0</v>
      </c>
      <c r="C23" s="42">
        <v>0</v>
      </c>
      <c r="D23" s="42">
        <v>0</v>
      </c>
      <c r="E23" s="42">
        <v>0</v>
      </c>
      <c r="F23" s="42">
        <v>44</v>
      </c>
      <c r="G23" s="42">
        <v>29</v>
      </c>
      <c r="H23" s="42">
        <v>47</v>
      </c>
      <c r="I23" s="42">
        <v>26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0</v>
      </c>
      <c r="C24" s="42">
        <v>0</v>
      </c>
      <c r="D24" s="42">
        <v>0</v>
      </c>
      <c r="E24" s="42">
        <v>1</v>
      </c>
      <c r="F24" s="42">
        <v>267</v>
      </c>
      <c r="G24" s="42">
        <v>392</v>
      </c>
      <c r="H24" s="42">
        <v>172</v>
      </c>
      <c r="I24" s="42">
        <v>271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0</v>
      </c>
      <c r="C25" s="42">
        <v>0</v>
      </c>
      <c r="D25" s="42">
        <v>0</v>
      </c>
      <c r="E25" s="42">
        <v>0</v>
      </c>
      <c r="F25" s="42">
        <v>403</v>
      </c>
      <c r="G25" s="42">
        <v>736</v>
      </c>
      <c r="H25" s="42">
        <v>235</v>
      </c>
      <c r="I25" s="42">
        <v>203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0</v>
      </c>
      <c r="C26" s="42">
        <v>0</v>
      </c>
      <c r="D26" s="42">
        <v>0</v>
      </c>
      <c r="E26" s="42">
        <v>0</v>
      </c>
      <c r="F26" s="42">
        <v>477</v>
      </c>
      <c r="G26" s="42">
        <v>570</v>
      </c>
      <c r="H26" s="42">
        <v>302</v>
      </c>
      <c r="I26" s="42">
        <v>160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18</v>
      </c>
      <c r="G27" s="42">
        <v>12</v>
      </c>
      <c r="H27" s="42">
        <v>31</v>
      </c>
      <c r="I27" s="42">
        <v>8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0</v>
      </c>
      <c r="C28" s="42">
        <v>1</v>
      </c>
      <c r="D28" s="42">
        <v>0</v>
      </c>
      <c r="E28" s="42">
        <v>0</v>
      </c>
      <c r="F28" s="42">
        <v>198</v>
      </c>
      <c r="G28" s="42">
        <v>214</v>
      </c>
      <c r="H28" s="42">
        <v>209</v>
      </c>
      <c r="I28" s="42">
        <v>93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0</v>
      </c>
      <c r="C29" s="42">
        <v>0</v>
      </c>
      <c r="D29" s="42">
        <v>0</v>
      </c>
      <c r="E29" s="42">
        <v>0</v>
      </c>
      <c r="F29" s="42">
        <v>80</v>
      </c>
      <c r="G29" s="42">
        <v>53</v>
      </c>
      <c r="H29" s="42">
        <v>190</v>
      </c>
      <c r="I29" s="42">
        <v>59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2</v>
      </c>
      <c r="G30" s="42">
        <v>0</v>
      </c>
      <c r="H30" s="42">
        <v>3</v>
      </c>
      <c r="I30" s="42">
        <v>1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1</v>
      </c>
      <c r="C31" s="42">
        <v>0</v>
      </c>
      <c r="D31" s="42">
        <v>0</v>
      </c>
      <c r="E31" s="42">
        <v>0</v>
      </c>
      <c r="F31" s="42">
        <v>116</v>
      </c>
      <c r="G31" s="42">
        <v>127</v>
      </c>
      <c r="H31" s="42">
        <v>92</v>
      </c>
      <c r="I31" s="42">
        <v>137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0</v>
      </c>
      <c r="D32" s="42">
        <v>0</v>
      </c>
      <c r="E32" s="42">
        <v>0</v>
      </c>
      <c r="F32" s="42">
        <v>4</v>
      </c>
      <c r="G32" s="42">
        <v>2</v>
      </c>
      <c r="H32" s="42">
        <v>15</v>
      </c>
      <c r="I32" s="42">
        <v>9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0</v>
      </c>
      <c r="C33" s="42">
        <v>0</v>
      </c>
      <c r="D33" s="42">
        <v>0</v>
      </c>
      <c r="E33" s="42">
        <v>3</v>
      </c>
      <c r="F33" s="42">
        <v>12</v>
      </c>
      <c r="G33" s="42">
        <v>9</v>
      </c>
      <c r="H33" s="42">
        <v>76</v>
      </c>
      <c r="I33" s="42">
        <v>34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15</v>
      </c>
      <c r="G34" s="42">
        <v>23</v>
      </c>
      <c r="H34" s="42">
        <v>32</v>
      </c>
      <c r="I34" s="42">
        <v>17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0</v>
      </c>
      <c r="C35" s="42">
        <v>0</v>
      </c>
      <c r="D35" s="42">
        <v>1</v>
      </c>
      <c r="E35" s="42">
        <v>1</v>
      </c>
      <c r="F35" s="42">
        <v>26</v>
      </c>
      <c r="G35" s="42">
        <v>36</v>
      </c>
      <c r="H35" s="42">
        <v>63</v>
      </c>
      <c r="I35" s="42">
        <v>45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0</v>
      </c>
      <c r="D36" s="42">
        <v>0</v>
      </c>
      <c r="E36" s="42">
        <v>0</v>
      </c>
      <c r="F36" s="42">
        <v>15</v>
      </c>
      <c r="G36" s="42">
        <v>22</v>
      </c>
      <c r="H36" s="42">
        <v>11</v>
      </c>
      <c r="I36" s="42">
        <v>14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0</v>
      </c>
      <c r="C37" s="42">
        <v>0</v>
      </c>
      <c r="D37" s="42">
        <v>0</v>
      </c>
      <c r="E37" s="42">
        <v>0</v>
      </c>
      <c r="F37" s="42">
        <v>9</v>
      </c>
      <c r="G37" s="42">
        <v>8</v>
      </c>
      <c r="H37" s="42">
        <v>7</v>
      </c>
      <c r="I37" s="42">
        <v>7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0</v>
      </c>
      <c r="C38" s="42">
        <v>0</v>
      </c>
      <c r="D38" s="42">
        <v>0</v>
      </c>
      <c r="E38" s="42">
        <v>0</v>
      </c>
      <c r="F38" s="42">
        <v>220</v>
      </c>
      <c r="G38" s="42">
        <v>215</v>
      </c>
      <c r="H38" s="42">
        <v>246</v>
      </c>
      <c r="I38" s="42">
        <v>94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0</v>
      </c>
      <c r="C39" s="42">
        <v>1</v>
      </c>
      <c r="D39" s="42">
        <v>1</v>
      </c>
      <c r="E39" s="42">
        <v>2</v>
      </c>
      <c r="F39" s="42">
        <v>494</v>
      </c>
      <c r="G39" s="42">
        <v>683</v>
      </c>
      <c r="H39" s="42">
        <v>353</v>
      </c>
      <c r="I39" s="42">
        <v>460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0</v>
      </c>
      <c r="C40" s="42">
        <v>0</v>
      </c>
      <c r="D40" s="42">
        <v>0</v>
      </c>
      <c r="E40" s="42">
        <v>0</v>
      </c>
      <c r="F40" s="42">
        <v>35</v>
      </c>
      <c r="G40" s="42">
        <v>37</v>
      </c>
      <c r="H40" s="42">
        <v>73</v>
      </c>
      <c r="I40" s="42">
        <v>40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0</v>
      </c>
      <c r="C41" s="42">
        <v>0</v>
      </c>
      <c r="D41" s="42">
        <v>0</v>
      </c>
      <c r="E41" s="42">
        <v>0</v>
      </c>
      <c r="F41" s="42">
        <v>117</v>
      </c>
      <c r="G41" s="42">
        <v>118</v>
      </c>
      <c r="H41" s="42">
        <v>102</v>
      </c>
      <c r="I41" s="42">
        <v>106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0</v>
      </c>
      <c r="C42" s="42">
        <v>1</v>
      </c>
      <c r="D42" s="42">
        <v>0</v>
      </c>
      <c r="E42" s="42">
        <v>0</v>
      </c>
      <c r="F42" s="42">
        <v>412</v>
      </c>
      <c r="G42" s="42">
        <v>580</v>
      </c>
      <c r="H42" s="42">
        <v>244</v>
      </c>
      <c r="I42" s="42">
        <v>192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0</v>
      </c>
      <c r="C43" s="42">
        <v>0</v>
      </c>
      <c r="D43" s="42">
        <v>0</v>
      </c>
      <c r="E43" s="42">
        <v>0</v>
      </c>
      <c r="F43" s="42">
        <v>228</v>
      </c>
      <c r="G43" s="42">
        <v>219</v>
      </c>
      <c r="H43" s="42">
        <v>366</v>
      </c>
      <c r="I43" s="42">
        <v>165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0</v>
      </c>
      <c r="C44" s="42">
        <v>0</v>
      </c>
      <c r="D44" s="42">
        <v>0</v>
      </c>
      <c r="E44" s="42">
        <v>0</v>
      </c>
      <c r="F44" s="42">
        <v>75</v>
      </c>
      <c r="G44" s="42">
        <v>74</v>
      </c>
      <c r="H44" s="42">
        <v>80</v>
      </c>
      <c r="I44" s="42">
        <v>85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0</v>
      </c>
      <c r="D45" s="42">
        <v>1</v>
      </c>
      <c r="E45" s="42">
        <v>1</v>
      </c>
      <c r="F45" s="42">
        <v>16</v>
      </c>
      <c r="G45" s="42">
        <v>10</v>
      </c>
      <c r="H45" s="42">
        <v>7</v>
      </c>
      <c r="I45" s="42">
        <v>7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0</v>
      </c>
      <c r="C46" s="42">
        <v>0</v>
      </c>
      <c r="D46" s="42">
        <v>0</v>
      </c>
      <c r="E46" s="42">
        <v>0</v>
      </c>
      <c r="F46" s="42">
        <v>58</v>
      </c>
      <c r="G46" s="42">
        <v>73</v>
      </c>
      <c r="H46" s="42">
        <v>73</v>
      </c>
      <c r="I46" s="42">
        <v>43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22</v>
      </c>
      <c r="G47" s="42">
        <v>26</v>
      </c>
      <c r="H47" s="42">
        <v>19</v>
      </c>
      <c r="I47" s="42">
        <v>16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0</v>
      </c>
      <c r="C48" s="42">
        <v>0</v>
      </c>
      <c r="D48" s="42">
        <v>1</v>
      </c>
      <c r="E48" s="42">
        <v>0</v>
      </c>
      <c r="F48" s="42">
        <v>87</v>
      </c>
      <c r="G48" s="42">
        <v>177</v>
      </c>
      <c r="H48" s="42">
        <v>122</v>
      </c>
      <c r="I48" s="42">
        <v>142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1</v>
      </c>
      <c r="C49" s="42">
        <v>0</v>
      </c>
      <c r="D49" s="42">
        <v>4</v>
      </c>
      <c r="E49" s="42">
        <v>1</v>
      </c>
      <c r="F49" s="42">
        <v>853</v>
      </c>
      <c r="G49" s="42">
        <v>1202</v>
      </c>
      <c r="H49" s="42">
        <v>606</v>
      </c>
      <c r="I49" s="42">
        <v>500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0</v>
      </c>
      <c r="C50" s="42">
        <v>0</v>
      </c>
      <c r="D50" s="42">
        <v>1</v>
      </c>
      <c r="E50" s="42">
        <v>0</v>
      </c>
      <c r="F50" s="42">
        <v>9</v>
      </c>
      <c r="G50" s="42">
        <v>5</v>
      </c>
      <c r="H50" s="42">
        <v>8</v>
      </c>
      <c r="I50" s="42">
        <v>4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0</v>
      </c>
      <c r="C51" s="42">
        <v>1</v>
      </c>
      <c r="D51" s="42">
        <v>1</v>
      </c>
      <c r="E51" s="42">
        <v>1</v>
      </c>
      <c r="F51" s="42">
        <v>285</v>
      </c>
      <c r="G51" s="42">
        <v>517</v>
      </c>
      <c r="H51" s="42">
        <v>298</v>
      </c>
      <c r="I51" s="42">
        <v>269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53</v>
      </c>
      <c r="G52" s="42">
        <v>50</v>
      </c>
      <c r="H52" s="42">
        <v>57</v>
      </c>
      <c r="I52" s="42">
        <v>33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0</v>
      </c>
      <c r="C53" s="42">
        <v>0</v>
      </c>
      <c r="D53" s="42">
        <v>0</v>
      </c>
      <c r="E53" s="42">
        <v>0</v>
      </c>
      <c r="F53" s="42">
        <v>25</v>
      </c>
      <c r="G53" s="42">
        <v>39</v>
      </c>
      <c r="H53" s="42">
        <v>28</v>
      </c>
      <c r="I53" s="42">
        <v>36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2</v>
      </c>
      <c r="C54" s="42">
        <v>1</v>
      </c>
      <c r="D54" s="42">
        <v>1</v>
      </c>
      <c r="E54" s="42">
        <v>0</v>
      </c>
      <c r="F54" s="42">
        <v>1085</v>
      </c>
      <c r="G54" s="42">
        <v>3177</v>
      </c>
      <c r="H54" s="42">
        <v>1181</v>
      </c>
      <c r="I54" s="42">
        <v>490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0</v>
      </c>
      <c r="C55" s="42">
        <v>0</v>
      </c>
      <c r="D55" s="42">
        <v>0</v>
      </c>
      <c r="E55" s="42">
        <v>0</v>
      </c>
      <c r="F55" s="42">
        <v>35</v>
      </c>
      <c r="G55" s="42">
        <v>59</v>
      </c>
      <c r="H55" s="42">
        <v>42</v>
      </c>
      <c r="I55" s="42">
        <v>66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4</v>
      </c>
      <c r="G56" s="42">
        <v>2</v>
      </c>
      <c r="H56" s="42">
        <v>7</v>
      </c>
      <c r="I56" s="42">
        <v>6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88</v>
      </c>
      <c r="G57" s="42">
        <v>86</v>
      </c>
      <c r="H57" s="42">
        <v>134</v>
      </c>
      <c r="I57" s="42">
        <v>78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0</v>
      </c>
      <c r="C58" s="42">
        <v>0</v>
      </c>
      <c r="D58" s="42">
        <v>0</v>
      </c>
      <c r="E58" s="42">
        <v>0</v>
      </c>
      <c r="F58" s="42">
        <v>12</v>
      </c>
      <c r="G58" s="42">
        <v>14</v>
      </c>
      <c r="H58" s="42">
        <v>5</v>
      </c>
      <c r="I58" s="42">
        <v>18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0</v>
      </c>
      <c r="C59" s="42">
        <v>0</v>
      </c>
      <c r="D59" s="42">
        <v>0</v>
      </c>
      <c r="E59" s="42">
        <v>0</v>
      </c>
      <c r="F59" s="42">
        <v>39</v>
      </c>
      <c r="G59" s="42">
        <v>37</v>
      </c>
      <c r="H59" s="42">
        <v>97</v>
      </c>
      <c r="I59" s="42">
        <v>70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6</v>
      </c>
      <c r="G60" s="42">
        <v>2</v>
      </c>
      <c r="H60" s="42">
        <v>4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0</v>
      </c>
      <c r="C61" s="42">
        <v>0</v>
      </c>
      <c r="D61" s="42">
        <v>0</v>
      </c>
      <c r="E61" s="42">
        <v>0</v>
      </c>
      <c r="F61" s="42">
        <v>23</v>
      </c>
      <c r="G61" s="42">
        <v>21</v>
      </c>
      <c r="H61" s="42">
        <v>21</v>
      </c>
      <c r="I61" s="42">
        <v>20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0</v>
      </c>
      <c r="C62" s="42">
        <v>0</v>
      </c>
      <c r="D62" s="42">
        <v>0</v>
      </c>
      <c r="E62" s="42">
        <v>0</v>
      </c>
      <c r="F62" s="42">
        <v>24</v>
      </c>
      <c r="G62" s="42">
        <v>29</v>
      </c>
      <c r="H62" s="42">
        <v>28</v>
      </c>
      <c r="I62" s="42">
        <v>33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0</v>
      </c>
      <c r="C63" s="42">
        <v>0</v>
      </c>
      <c r="D63" s="42">
        <v>0</v>
      </c>
      <c r="E63" s="42">
        <v>0</v>
      </c>
      <c r="F63" s="42">
        <v>10</v>
      </c>
      <c r="G63" s="42">
        <v>29</v>
      </c>
      <c r="H63" s="42">
        <v>17</v>
      </c>
      <c r="I63" s="42">
        <v>15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28</v>
      </c>
      <c r="G64" s="42">
        <v>35</v>
      </c>
      <c r="H64" s="42">
        <v>30</v>
      </c>
      <c r="I64" s="42">
        <v>27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0</v>
      </c>
      <c r="C65" s="42">
        <v>0</v>
      </c>
      <c r="D65" s="42">
        <v>0</v>
      </c>
      <c r="E65" s="42">
        <v>0</v>
      </c>
      <c r="F65" s="42">
        <v>24</v>
      </c>
      <c r="G65" s="42">
        <v>32</v>
      </c>
      <c r="H65" s="42">
        <v>15</v>
      </c>
      <c r="I65" s="42">
        <v>24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0</v>
      </c>
      <c r="C66" s="42">
        <v>0</v>
      </c>
      <c r="D66" s="42">
        <v>0</v>
      </c>
      <c r="E66" s="42">
        <v>0</v>
      </c>
      <c r="F66" s="42">
        <v>112</v>
      </c>
      <c r="G66" s="42">
        <v>143</v>
      </c>
      <c r="H66" s="42">
        <v>189</v>
      </c>
      <c r="I66" s="42">
        <v>111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22</v>
      </c>
      <c r="G67" s="42">
        <v>35</v>
      </c>
      <c r="H67" s="42">
        <v>41</v>
      </c>
      <c r="I67" s="42">
        <v>39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0</v>
      </c>
      <c r="C68" s="42">
        <v>0</v>
      </c>
      <c r="D68" s="42">
        <v>0</v>
      </c>
      <c r="E68" s="42">
        <v>0</v>
      </c>
      <c r="F68" s="42">
        <v>211</v>
      </c>
      <c r="G68" s="42">
        <v>238</v>
      </c>
      <c r="H68" s="42">
        <v>303</v>
      </c>
      <c r="I68" s="42">
        <v>168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0</v>
      </c>
      <c r="C69" s="42">
        <v>0</v>
      </c>
      <c r="D69" s="42">
        <v>0</v>
      </c>
      <c r="E69" s="42">
        <v>0</v>
      </c>
      <c r="F69" s="42">
        <v>22</v>
      </c>
      <c r="G69" s="42">
        <v>22</v>
      </c>
      <c r="H69" s="42">
        <v>27</v>
      </c>
      <c r="I69" s="42">
        <v>17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0</v>
      </c>
      <c r="C70" s="42">
        <v>2</v>
      </c>
      <c r="D70" s="42">
        <v>0</v>
      </c>
      <c r="E70" s="42">
        <v>0</v>
      </c>
      <c r="F70" s="42">
        <v>418</v>
      </c>
      <c r="G70" s="42">
        <v>659</v>
      </c>
      <c r="H70" s="42">
        <v>325</v>
      </c>
      <c r="I70" s="42">
        <v>393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9</v>
      </c>
      <c r="C71" s="67">
        <f>SUM(C4:C70)</f>
        <v>22</v>
      </c>
      <c r="D71" s="67">
        <f>SUM(D4:D70)</f>
        <v>23</v>
      </c>
      <c r="E71" s="67">
        <f>SUM(E4:E70)</f>
        <v>19</v>
      </c>
      <c r="F71" s="67">
        <f t="shared" ref="F71:I71" si="0">SUM(F4:F70)</f>
        <v>9860</v>
      </c>
      <c r="G71" s="67">
        <f t="shared" si="0"/>
        <v>15667</v>
      </c>
      <c r="H71" s="67">
        <f t="shared" si="0"/>
        <v>9682</v>
      </c>
      <c r="I71" s="67">
        <f t="shared" si="0"/>
        <v>7336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5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G74" sqref="G74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0" t="s">
        <v>130</v>
      </c>
      <c r="C1" s="91"/>
      <c r="D1" s="92" t="s">
        <v>126</v>
      </c>
      <c r="E1" s="93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0</v>
      </c>
      <c r="C3" s="53">
        <v>0</v>
      </c>
      <c r="D3" s="53">
        <v>67</v>
      </c>
      <c r="E3" s="53">
        <v>118</v>
      </c>
    </row>
    <row r="4" spans="1:5" x14ac:dyDescent="0.25">
      <c r="A4" s="42" t="s">
        <v>2</v>
      </c>
      <c r="B4" s="53">
        <v>0</v>
      </c>
      <c r="C4" s="53">
        <v>0</v>
      </c>
      <c r="D4" s="53">
        <v>821</v>
      </c>
      <c r="E4" s="53">
        <v>591</v>
      </c>
    </row>
    <row r="5" spans="1:5" x14ac:dyDescent="0.25">
      <c r="A5" s="42" t="s">
        <v>3</v>
      </c>
      <c r="B5" s="53">
        <v>0</v>
      </c>
      <c r="C5" s="53">
        <v>0</v>
      </c>
      <c r="D5" s="53">
        <v>15</v>
      </c>
      <c r="E5" s="53">
        <v>28</v>
      </c>
    </row>
    <row r="6" spans="1:5" x14ac:dyDescent="0.25">
      <c r="A6" s="42" t="s">
        <v>4</v>
      </c>
      <c r="B6" s="53">
        <v>0</v>
      </c>
      <c r="C6" s="53">
        <v>0</v>
      </c>
      <c r="D6" s="53">
        <v>42</v>
      </c>
      <c r="E6" s="53">
        <v>66</v>
      </c>
    </row>
    <row r="7" spans="1:5" x14ac:dyDescent="0.25">
      <c r="A7" s="42" t="s">
        <v>5</v>
      </c>
      <c r="B7" s="53">
        <v>0</v>
      </c>
      <c r="C7" s="53">
        <v>0</v>
      </c>
      <c r="D7" s="53">
        <v>5</v>
      </c>
      <c r="E7" s="53">
        <v>8</v>
      </c>
    </row>
    <row r="8" spans="1:5" x14ac:dyDescent="0.25">
      <c r="A8" s="42" t="s">
        <v>6</v>
      </c>
      <c r="B8" s="53">
        <v>0</v>
      </c>
      <c r="C8" s="53">
        <v>0</v>
      </c>
      <c r="D8" s="53">
        <v>558</v>
      </c>
      <c r="E8" s="53">
        <v>446</v>
      </c>
    </row>
    <row r="9" spans="1:5" x14ac:dyDescent="0.25">
      <c r="A9" s="42" t="s">
        <v>7</v>
      </c>
      <c r="B9" s="53">
        <v>1</v>
      </c>
      <c r="C9" s="53">
        <v>0</v>
      </c>
      <c r="D9" s="53">
        <v>41</v>
      </c>
      <c r="E9" s="53">
        <v>62</v>
      </c>
    </row>
    <row r="10" spans="1:5" x14ac:dyDescent="0.25">
      <c r="A10" s="42" t="s">
        <v>8</v>
      </c>
      <c r="B10" s="53">
        <v>0</v>
      </c>
      <c r="C10" s="53">
        <v>0</v>
      </c>
      <c r="D10" s="53">
        <v>26</v>
      </c>
      <c r="E10" s="53">
        <v>33</v>
      </c>
    </row>
    <row r="11" spans="1:5" x14ac:dyDescent="0.25">
      <c r="A11" s="42" t="s">
        <v>9</v>
      </c>
      <c r="B11" s="53">
        <v>4</v>
      </c>
      <c r="C11" s="53">
        <v>0</v>
      </c>
      <c r="D11" s="53">
        <v>619</v>
      </c>
      <c r="E11" s="53">
        <v>707</v>
      </c>
    </row>
    <row r="12" spans="1:5" x14ac:dyDescent="0.25">
      <c r="A12" s="42" t="s">
        <v>10</v>
      </c>
      <c r="B12" s="53">
        <v>0</v>
      </c>
      <c r="C12" s="53">
        <v>0</v>
      </c>
      <c r="D12" s="53">
        <v>71</v>
      </c>
      <c r="E12" s="53">
        <v>130</v>
      </c>
    </row>
    <row r="13" spans="1:5" x14ac:dyDescent="0.25">
      <c r="A13" s="42" t="s">
        <v>11</v>
      </c>
      <c r="B13" s="53">
        <v>0</v>
      </c>
      <c r="C13" s="53">
        <v>0</v>
      </c>
      <c r="D13" s="53">
        <v>63</v>
      </c>
      <c r="E13" s="53">
        <v>62</v>
      </c>
    </row>
    <row r="14" spans="1:5" x14ac:dyDescent="0.25">
      <c r="A14" s="42" t="s">
        <v>12</v>
      </c>
      <c r="B14" s="53">
        <v>0</v>
      </c>
      <c r="C14" s="53">
        <v>0</v>
      </c>
      <c r="D14" s="53">
        <v>1</v>
      </c>
      <c r="E14" s="53">
        <v>2</v>
      </c>
    </row>
    <row r="15" spans="1:5" x14ac:dyDescent="0.25">
      <c r="A15" s="42" t="s">
        <v>13</v>
      </c>
      <c r="B15" s="53">
        <v>0</v>
      </c>
      <c r="C15" s="53">
        <v>0</v>
      </c>
      <c r="D15" s="53">
        <v>31</v>
      </c>
      <c r="E15" s="53">
        <v>38</v>
      </c>
    </row>
    <row r="16" spans="1:5" x14ac:dyDescent="0.25">
      <c r="A16" s="42" t="s">
        <v>14</v>
      </c>
      <c r="B16" s="53">
        <v>0</v>
      </c>
      <c r="C16" s="53">
        <v>0</v>
      </c>
      <c r="D16" s="53">
        <v>80</v>
      </c>
      <c r="E16" s="53">
        <v>74</v>
      </c>
    </row>
    <row r="17" spans="1:5" x14ac:dyDescent="0.25">
      <c r="A17" s="42" t="s">
        <v>15</v>
      </c>
      <c r="B17" s="53">
        <v>1</v>
      </c>
      <c r="C17" s="53">
        <v>0</v>
      </c>
      <c r="D17" s="53">
        <v>592</v>
      </c>
      <c r="E17" s="53">
        <v>610</v>
      </c>
    </row>
    <row r="18" spans="1:5" x14ac:dyDescent="0.25">
      <c r="A18" s="42" t="s">
        <v>16</v>
      </c>
      <c r="B18" s="53">
        <v>0</v>
      </c>
      <c r="C18" s="53">
        <v>0</v>
      </c>
      <c r="D18" s="53">
        <v>11</v>
      </c>
      <c r="E18" s="53">
        <v>14</v>
      </c>
    </row>
    <row r="19" spans="1:5" x14ac:dyDescent="0.25">
      <c r="A19" s="42" t="s">
        <v>17</v>
      </c>
      <c r="B19" s="53">
        <v>1</v>
      </c>
      <c r="C19" s="53">
        <v>4</v>
      </c>
      <c r="D19" s="53">
        <v>24</v>
      </c>
      <c r="E19" s="53">
        <v>35</v>
      </c>
    </row>
    <row r="20" spans="1:5" x14ac:dyDescent="0.25">
      <c r="A20" s="42" t="s">
        <v>18</v>
      </c>
      <c r="B20" s="53">
        <v>0</v>
      </c>
      <c r="C20" s="53">
        <v>0</v>
      </c>
      <c r="D20" s="53">
        <v>23</v>
      </c>
      <c r="E20" s="53">
        <v>24</v>
      </c>
    </row>
    <row r="21" spans="1:5" x14ac:dyDescent="0.25">
      <c r="A21" s="42" t="s">
        <v>19</v>
      </c>
      <c r="B21" s="53">
        <v>0</v>
      </c>
      <c r="C21" s="53">
        <v>0</v>
      </c>
      <c r="D21" s="53">
        <v>18</v>
      </c>
      <c r="E21" s="53">
        <v>35</v>
      </c>
    </row>
    <row r="22" spans="1:5" x14ac:dyDescent="0.25">
      <c r="A22" s="42" t="s">
        <v>20</v>
      </c>
      <c r="B22" s="53">
        <v>0</v>
      </c>
      <c r="C22" s="53">
        <v>0</v>
      </c>
      <c r="D22" s="53">
        <v>30</v>
      </c>
      <c r="E22" s="53">
        <v>41</v>
      </c>
    </row>
    <row r="23" spans="1:5" x14ac:dyDescent="0.25">
      <c r="A23" s="42" t="s">
        <v>21</v>
      </c>
      <c r="B23" s="53">
        <v>0</v>
      </c>
      <c r="C23" s="53">
        <v>0</v>
      </c>
      <c r="D23" s="53">
        <v>251</v>
      </c>
      <c r="E23" s="53">
        <v>293</v>
      </c>
    </row>
    <row r="24" spans="1:5" x14ac:dyDescent="0.25">
      <c r="A24" s="42" t="s">
        <v>22</v>
      </c>
      <c r="B24" s="53">
        <v>1</v>
      </c>
      <c r="C24" s="53">
        <v>0</v>
      </c>
      <c r="D24" s="53">
        <v>478</v>
      </c>
      <c r="E24" s="53">
        <v>313</v>
      </c>
    </row>
    <row r="25" spans="1:5" x14ac:dyDescent="0.25">
      <c r="A25" s="42" t="s">
        <v>23</v>
      </c>
      <c r="B25" s="53">
        <v>1</v>
      </c>
      <c r="C25" s="53">
        <v>0</v>
      </c>
      <c r="D25" s="53">
        <v>409</v>
      </c>
      <c r="E25" s="53">
        <v>294</v>
      </c>
    </row>
    <row r="26" spans="1:5" x14ac:dyDescent="0.25">
      <c r="A26" s="42" t="s">
        <v>24</v>
      </c>
      <c r="B26" s="53">
        <v>0</v>
      </c>
      <c r="C26" s="53">
        <v>0</v>
      </c>
      <c r="D26" s="53">
        <v>4</v>
      </c>
      <c r="E26" s="53">
        <v>15</v>
      </c>
    </row>
    <row r="27" spans="1:5" x14ac:dyDescent="0.25">
      <c r="A27" s="42" t="s">
        <v>25</v>
      </c>
      <c r="B27" s="53">
        <v>0</v>
      </c>
      <c r="C27" s="53">
        <v>0</v>
      </c>
      <c r="D27" s="53">
        <v>141</v>
      </c>
      <c r="E27" s="53">
        <v>126</v>
      </c>
    </row>
    <row r="28" spans="1:5" x14ac:dyDescent="0.25">
      <c r="A28" s="42" t="s">
        <v>26</v>
      </c>
      <c r="B28" s="53">
        <v>0</v>
      </c>
      <c r="C28" s="53">
        <v>0</v>
      </c>
      <c r="D28" s="53">
        <v>49</v>
      </c>
      <c r="E28" s="53">
        <v>60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5">
      <c r="A30" s="42" t="s">
        <v>28</v>
      </c>
      <c r="B30" s="53">
        <v>1</v>
      </c>
      <c r="C30" s="53">
        <v>0</v>
      </c>
      <c r="D30" s="53">
        <v>103</v>
      </c>
      <c r="E30" s="53">
        <v>190</v>
      </c>
    </row>
    <row r="31" spans="1:5" x14ac:dyDescent="0.25">
      <c r="A31" s="42" t="s">
        <v>29</v>
      </c>
      <c r="B31" s="53">
        <v>0</v>
      </c>
      <c r="C31" s="53">
        <v>0</v>
      </c>
      <c r="D31" s="53">
        <v>7</v>
      </c>
      <c r="E31" s="53">
        <v>8</v>
      </c>
    </row>
    <row r="32" spans="1:5" x14ac:dyDescent="0.25">
      <c r="A32" s="42" t="s">
        <v>30</v>
      </c>
      <c r="B32" s="53">
        <v>0</v>
      </c>
      <c r="C32" s="53">
        <v>0</v>
      </c>
      <c r="D32" s="53">
        <v>14</v>
      </c>
      <c r="E32" s="53">
        <v>14</v>
      </c>
    </row>
    <row r="33" spans="1:5" x14ac:dyDescent="0.25">
      <c r="A33" s="42" t="s">
        <v>31</v>
      </c>
      <c r="B33" s="53">
        <v>0</v>
      </c>
      <c r="C33" s="53">
        <v>0</v>
      </c>
      <c r="D33" s="53">
        <v>11</v>
      </c>
      <c r="E33" s="53">
        <v>11</v>
      </c>
    </row>
    <row r="34" spans="1:5" x14ac:dyDescent="0.25">
      <c r="A34" s="42" t="s">
        <v>32</v>
      </c>
      <c r="B34" s="53">
        <v>0</v>
      </c>
      <c r="C34" s="53">
        <v>0</v>
      </c>
      <c r="D34" s="53">
        <v>26</v>
      </c>
      <c r="E34" s="53">
        <v>21</v>
      </c>
    </row>
    <row r="35" spans="1:5" x14ac:dyDescent="0.25">
      <c r="A35" s="42" t="s">
        <v>33</v>
      </c>
      <c r="B35" s="53">
        <v>0</v>
      </c>
      <c r="C35" s="53">
        <v>0</v>
      </c>
      <c r="D35" s="53">
        <v>6</v>
      </c>
      <c r="E35" s="53">
        <v>11</v>
      </c>
    </row>
    <row r="36" spans="1:5" x14ac:dyDescent="0.25">
      <c r="A36" s="42" t="s">
        <v>34</v>
      </c>
      <c r="B36" s="53">
        <v>0</v>
      </c>
      <c r="C36" s="53">
        <v>0</v>
      </c>
      <c r="D36" s="53">
        <v>12</v>
      </c>
      <c r="E36" s="53">
        <v>4</v>
      </c>
    </row>
    <row r="37" spans="1:5" x14ac:dyDescent="0.25">
      <c r="A37" s="42" t="s">
        <v>35</v>
      </c>
      <c r="B37" s="53">
        <v>0</v>
      </c>
      <c r="C37" s="53">
        <v>0</v>
      </c>
      <c r="D37" s="53">
        <v>181</v>
      </c>
      <c r="E37" s="53">
        <v>150</v>
      </c>
    </row>
    <row r="38" spans="1:5" x14ac:dyDescent="0.25">
      <c r="A38" s="42" t="s">
        <v>36</v>
      </c>
      <c r="B38" s="53">
        <v>0</v>
      </c>
      <c r="C38" s="53">
        <v>0</v>
      </c>
      <c r="D38" s="53">
        <v>547</v>
      </c>
      <c r="E38" s="53">
        <v>608</v>
      </c>
    </row>
    <row r="39" spans="1:5" x14ac:dyDescent="0.25">
      <c r="A39" s="42" t="s">
        <v>37</v>
      </c>
      <c r="B39" s="53">
        <v>0</v>
      </c>
      <c r="C39" s="53">
        <v>0</v>
      </c>
      <c r="D39" s="53">
        <v>27</v>
      </c>
      <c r="E39" s="53">
        <v>34</v>
      </c>
    </row>
    <row r="40" spans="1:5" x14ac:dyDescent="0.25">
      <c r="A40" s="42" t="s">
        <v>38</v>
      </c>
      <c r="B40" s="53">
        <v>0</v>
      </c>
      <c r="C40" s="53">
        <v>0</v>
      </c>
      <c r="D40" s="53">
        <v>80</v>
      </c>
      <c r="E40" s="53">
        <v>79</v>
      </c>
    </row>
    <row r="41" spans="1:5" x14ac:dyDescent="0.25">
      <c r="A41" s="42" t="s">
        <v>39</v>
      </c>
      <c r="B41" s="53">
        <v>2</v>
      </c>
      <c r="C41" s="53">
        <v>0</v>
      </c>
      <c r="D41" s="53">
        <v>356</v>
      </c>
      <c r="E41" s="53">
        <v>264</v>
      </c>
    </row>
    <row r="42" spans="1:5" x14ac:dyDescent="0.25">
      <c r="A42" s="42" t="s">
        <v>40</v>
      </c>
      <c r="B42" s="53">
        <v>0</v>
      </c>
      <c r="C42" s="53">
        <v>0</v>
      </c>
      <c r="D42" s="53">
        <v>211</v>
      </c>
      <c r="E42" s="53">
        <v>161</v>
      </c>
    </row>
    <row r="43" spans="1:5" x14ac:dyDescent="0.25">
      <c r="A43" s="42" t="s">
        <v>41</v>
      </c>
      <c r="B43" s="53">
        <v>0</v>
      </c>
      <c r="C43" s="53">
        <v>0</v>
      </c>
      <c r="D43" s="53">
        <v>57</v>
      </c>
      <c r="E43" s="53">
        <v>84</v>
      </c>
    </row>
    <row r="44" spans="1:5" x14ac:dyDescent="0.25">
      <c r="A44" s="42" t="s">
        <v>42</v>
      </c>
      <c r="B44" s="53">
        <v>0</v>
      </c>
      <c r="C44" s="53">
        <v>0</v>
      </c>
      <c r="D44" s="53">
        <v>10</v>
      </c>
      <c r="E44" s="53">
        <v>10</v>
      </c>
    </row>
    <row r="45" spans="1:5" x14ac:dyDescent="0.25">
      <c r="A45" s="42" t="s">
        <v>43</v>
      </c>
      <c r="B45" s="53">
        <v>0</v>
      </c>
      <c r="C45" s="53">
        <v>0</v>
      </c>
      <c r="D45" s="53">
        <v>49</v>
      </c>
      <c r="E45" s="53">
        <v>48</v>
      </c>
    </row>
    <row r="46" spans="1:5" x14ac:dyDescent="0.25">
      <c r="A46" s="42" t="s">
        <v>44</v>
      </c>
      <c r="B46" s="53">
        <v>0</v>
      </c>
      <c r="C46" s="53">
        <v>0</v>
      </c>
      <c r="D46" s="53">
        <v>4</v>
      </c>
      <c r="E46" s="53">
        <v>18</v>
      </c>
    </row>
    <row r="47" spans="1:5" x14ac:dyDescent="0.25">
      <c r="A47" s="42" t="s">
        <v>45</v>
      </c>
      <c r="B47" s="53">
        <v>0</v>
      </c>
      <c r="C47" s="53">
        <v>0</v>
      </c>
      <c r="D47" s="53">
        <v>174</v>
      </c>
      <c r="E47" s="53">
        <v>130</v>
      </c>
    </row>
    <row r="48" spans="1:5" x14ac:dyDescent="0.25">
      <c r="A48" s="42" t="s">
        <v>46</v>
      </c>
      <c r="B48" s="53">
        <v>0</v>
      </c>
      <c r="C48" s="53">
        <v>0</v>
      </c>
      <c r="D48" s="53">
        <v>911</v>
      </c>
      <c r="E48" s="53">
        <v>773</v>
      </c>
    </row>
    <row r="49" spans="1:5" x14ac:dyDescent="0.25">
      <c r="A49" s="42" t="s">
        <v>47</v>
      </c>
      <c r="B49" s="53">
        <v>0</v>
      </c>
      <c r="C49" s="53">
        <v>0</v>
      </c>
      <c r="D49" s="53">
        <v>4</v>
      </c>
      <c r="E49" s="53">
        <v>7</v>
      </c>
    </row>
    <row r="50" spans="1:5" x14ac:dyDescent="0.25">
      <c r="A50" s="42" t="s">
        <v>48</v>
      </c>
      <c r="B50" s="53">
        <v>0</v>
      </c>
      <c r="C50" s="53">
        <v>0</v>
      </c>
      <c r="D50" s="53">
        <v>364</v>
      </c>
      <c r="E50" s="53">
        <v>281</v>
      </c>
    </row>
    <row r="51" spans="1:5" x14ac:dyDescent="0.25">
      <c r="A51" s="42" t="s">
        <v>49</v>
      </c>
      <c r="B51" s="53">
        <v>0</v>
      </c>
      <c r="C51" s="53">
        <v>0</v>
      </c>
      <c r="D51" s="53">
        <v>36</v>
      </c>
      <c r="E51" s="53">
        <v>41</v>
      </c>
    </row>
    <row r="52" spans="1:5" x14ac:dyDescent="0.25">
      <c r="A52" s="42" t="s">
        <v>50</v>
      </c>
      <c r="B52" s="53">
        <v>0</v>
      </c>
      <c r="C52" s="53">
        <v>0</v>
      </c>
      <c r="D52" s="53">
        <v>31</v>
      </c>
      <c r="E52" s="53">
        <v>51</v>
      </c>
    </row>
    <row r="53" spans="1:5" x14ac:dyDescent="0.25">
      <c r="A53" s="42" t="s">
        <v>51</v>
      </c>
      <c r="B53" s="53">
        <v>1</v>
      </c>
      <c r="C53" s="53">
        <v>0</v>
      </c>
      <c r="D53" s="53">
        <v>2123</v>
      </c>
      <c r="E53" s="53">
        <v>622</v>
      </c>
    </row>
    <row r="54" spans="1:5" x14ac:dyDescent="0.25">
      <c r="A54" s="42" t="s">
        <v>52</v>
      </c>
      <c r="B54" s="53">
        <v>0</v>
      </c>
      <c r="C54" s="53">
        <v>0</v>
      </c>
      <c r="D54" s="53">
        <v>40</v>
      </c>
      <c r="E54" s="53">
        <v>52</v>
      </c>
    </row>
    <row r="55" spans="1:5" x14ac:dyDescent="0.25">
      <c r="A55" s="42" t="s">
        <v>53</v>
      </c>
      <c r="B55" s="53">
        <v>0</v>
      </c>
      <c r="C55" s="53">
        <v>0</v>
      </c>
      <c r="D55" s="53">
        <v>5</v>
      </c>
      <c r="E55" s="53">
        <v>10</v>
      </c>
    </row>
    <row r="56" spans="1:5" x14ac:dyDescent="0.25">
      <c r="A56" s="42" t="s">
        <v>54</v>
      </c>
      <c r="B56" s="53">
        <v>0</v>
      </c>
      <c r="C56" s="53">
        <v>0</v>
      </c>
      <c r="D56" s="53">
        <v>80</v>
      </c>
      <c r="E56" s="53">
        <v>85</v>
      </c>
    </row>
    <row r="57" spans="1:5" x14ac:dyDescent="0.25">
      <c r="A57" s="42" t="s">
        <v>55</v>
      </c>
      <c r="B57" s="53">
        <v>0</v>
      </c>
      <c r="C57" s="53">
        <v>0</v>
      </c>
      <c r="D57" s="53">
        <v>4</v>
      </c>
      <c r="E57" s="53">
        <v>5</v>
      </c>
    </row>
    <row r="58" spans="1:5" x14ac:dyDescent="0.25">
      <c r="A58" s="42" t="s">
        <v>56</v>
      </c>
      <c r="B58" s="53">
        <v>0</v>
      </c>
      <c r="C58" s="53">
        <v>0</v>
      </c>
      <c r="D58" s="53">
        <v>43</v>
      </c>
      <c r="E58" s="53">
        <v>51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5</v>
      </c>
    </row>
    <row r="60" spans="1:5" x14ac:dyDescent="0.25">
      <c r="A60" s="42" t="s">
        <v>58</v>
      </c>
      <c r="B60" s="53">
        <v>0</v>
      </c>
      <c r="C60" s="53">
        <v>0</v>
      </c>
      <c r="D60" s="53">
        <v>12</v>
      </c>
      <c r="E60" s="53">
        <v>16</v>
      </c>
    </row>
    <row r="61" spans="1:5" x14ac:dyDescent="0.25">
      <c r="A61" s="42" t="s">
        <v>59</v>
      </c>
      <c r="B61" s="53">
        <v>0</v>
      </c>
      <c r="C61" s="53">
        <v>0</v>
      </c>
      <c r="D61" s="53">
        <v>17</v>
      </c>
      <c r="E61" s="53">
        <v>20</v>
      </c>
    </row>
    <row r="62" spans="1:5" x14ac:dyDescent="0.25">
      <c r="A62" s="42" t="s">
        <v>60</v>
      </c>
      <c r="B62" s="53">
        <v>0</v>
      </c>
      <c r="C62" s="53">
        <v>0</v>
      </c>
      <c r="D62" s="53">
        <v>7</v>
      </c>
      <c r="E62" s="53">
        <v>16</v>
      </c>
    </row>
    <row r="63" spans="1:5" x14ac:dyDescent="0.25">
      <c r="A63" s="42" t="s">
        <v>61</v>
      </c>
      <c r="B63" s="53">
        <v>0</v>
      </c>
      <c r="C63" s="53">
        <v>0</v>
      </c>
      <c r="D63" s="53">
        <v>22</v>
      </c>
      <c r="E63" s="53">
        <v>36</v>
      </c>
    </row>
    <row r="64" spans="1:5" x14ac:dyDescent="0.25">
      <c r="A64" s="42" t="s">
        <v>62</v>
      </c>
      <c r="B64" s="53">
        <v>0</v>
      </c>
      <c r="C64" s="53">
        <v>0</v>
      </c>
      <c r="D64" s="53">
        <v>17</v>
      </c>
      <c r="E64" s="53">
        <v>24</v>
      </c>
    </row>
    <row r="65" spans="1:5" x14ac:dyDescent="0.25">
      <c r="A65" s="42" t="s">
        <v>63</v>
      </c>
      <c r="B65" s="53">
        <v>0</v>
      </c>
      <c r="C65" s="53">
        <v>0</v>
      </c>
      <c r="D65" s="53">
        <v>101</v>
      </c>
      <c r="E65" s="53">
        <v>111</v>
      </c>
    </row>
    <row r="66" spans="1:5" x14ac:dyDescent="0.25">
      <c r="A66" s="42" t="s">
        <v>64</v>
      </c>
      <c r="B66" s="53">
        <v>0</v>
      </c>
      <c r="C66" s="53">
        <v>0</v>
      </c>
      <c r="D66" s="53">
        <v>29</v>
      </c>
      <c r="E66" s="53">
        <v>22</v>
      </c>
    </row>
    <row r="67" spans="1:5" x14ac:dyDescent="0.25">
      <c r="A67" s="42" t="s">
        <v>65</v>
      </c>
      <c r="B67" s="53">
        <v>0</v>
      </c>
      <c r="C67" s="53">
        <v>0</v>
      </c>
      <c r="D67" s="53">
        <v>163</v>
      </c>
      <c r="E67" s="53">
        <v>155</v>
      </c>
    </row>
    <row r="68" spans="1:5" x14ac:dyDescent="0.25">
      <c r="A68" s="42" t="s">
        <v>66</v>
      </c>
      <c r="B68" s="53">
        <v>0</v>
      </c>
      <c r="C68" s="53">
        <v>0</v>
      </c>
      <c r="D68" s="53">
        <v>21</v>
      </c>
      <c r="E68" s="53">
        <v>29</v>
      </c>
    </row>
    <row r="69" spans="1:5" x14ac:dyDescent="0.25">
      <c r="A69" s="42" t="s">
        <v>67</v>
      </c>
      <c r="B69" s="53">
        <v>0</v>
      </c>
      <c r="C69" s="53">
        <v>0</v>
      </c>
      <c r="D69" s="53">
        <v>433</v>
      </c>
      <c r="E69" s="53">
        <v>493</v>
      </c>
    </row>
    <row r="70" spans="1:5" x14ac:dyDescent="0.25">
      <c r="A70" s="39" t="s">
        <v>68</v>
      </c>
      <c r="B70" s="43">
        <f>SUM(B3:B69)</f>
        <v>13</v>
      </c>
      <c r="C70" s="43">
        <f>SUM(C3:C69)</f>
        <v>4</v>
      </c>
      <c r="D70" s="43">
        <f t="shared" ref="D70:E70" si="0">SUM(D3:D69)</f>
        <v>10809</v>
      </c>
      <c r="E70" s="43">
        <f t="shared" si="0"/>
        <v>8976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4"/>
      <c r="E137" s="94"/>
    </row>
    <row r="138" spans="4:5" ht="14.4" x14ac:dyDescent="0.25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H3" sqref="AH3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4"/>
      <c r="AA137" s="94"/>
    </row>
    <row r="138" spans="26:27" ht="14.4" x14ac:dyDescent="0.25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" sqref="J1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6371</v>
      </c>
      <c r="C2" s="11">
        <v>10576</v>
      </c>
      <c r="D2" s="11">
        <v>10829</v>
      </c>
      <c r="E2" s="11">
        <v>10020</v>
      </c>
      <c r="F2" s="11">
        <v>13680</v>
      </c>
      <c r="G2" s="11">
        <v>13915</v>
      </c>
      <c r="H2" s="11">
        <v>10845</v>
      </c>
    </row>
    <row r="3" spans="1:8" x14ac:dyDescent="0.25">
      <c r="A3" s="11" t="s">
        <v>2</v>
      </c>
      <c r="B3" s="11">
        <v>80331</v>
      </c>
      <c r="C3" s="11">
        <v>171361</v>
      </c>
      <c r="D3" s="11">
        <v>161022</v>
      </c>
      <c r="E3" s="11">
        <v>122528</v>
      </c>
      <c r="F3" s="11">
        <v>132492</v>
      </c>
      <c r="G3" s="11">
        <v>139528</v>
      </c>
      <c r="H3" s="11">
        <v>107875</v>
      </c>
    </row>
    <row r="4" spans="1:8" x14ac:dyDescent="0.25">
      <c r="A4" s="11" t="s">
        <v>3</v>
      </c>
      <c r="B4" s="11">
        <v>3120</v>
      </c>
      <c r="C4" s="11">
        <v>5640</v>
      </c>
      <c r="D4" s="11">
        <v>6152</v>
      </c>
      <c r="E4" s="11">
        <v>6398</v>
      </c>
      <c r="F4" s="11">
        <v>7759</v>
      </c>
      <c r="G4" s="11">
        <v>8199</v>
      </c>
      <c r="H4" s="11">
        <v>6304</v>
      </c>
    </row>
    <row r="5" spans="1:8" x14ac:dyDescent="0.25">
      <c r="A5" s="11" t="s">
        <v>4</v>
      </c>
      <c r="B5" s="11">
        <v>7715</v>
      </c>
      <c r="C5" s="11">
        <v>16104</v>
      </c>
      <c r="D5" s="11">
        <v>17881</v>
      </c>
      <c r="E5" s="11">
        <v>16264</v>
      </c>
      <c r="F5" s="11">
        <v>19690</v>
      </c>
      <c r="G5" s="11">
        <v>20930</v>
      </c>
      <c r="H5" s="11">
        <v>15619</v>
      </c>
    </row>
    <row r="6" spans="1:8" x14ac:dyDescent="0.25">
      <c r="A6" s="11" t="s">
        <v>5</v>
      </c>
      <c r="B6" s="11">
        <v>2263</v>
      </c>
      <c r="C6" s="11">
        <v>4285</v>
      </c>
      <c r="D6" s="11">
        <v>4416</v>
      </c>
      <c r="E6" s="11">
        <v>4816</v>
      </c>
      <c r="F6" s="11">
        <v>6042</v>
      </c>
      <c r="G6" s="11">
        <v>6338</v>
      </c>
      <c r="H6" s="11">
        <v>4861</v>
      </c>
    </row>
    <row r="7" spans="1:8" x14ac:dyDescent="0.25">
      <c r="A7" s="11" t="s">
        <v>6</v>
      </c>
      <c r="B7" s="11">
        <v>23404</v>
      </c>
      <c r="C7" s="11">
        <v>41699</v>
      </c>
      <c r="D7" s="11">
        <v>43831</v>
      </c>
      <c r="E7" s="11">
        <v>40549</v>
      </c>
      <c r="F7" s="11">
        <v>47819</v>
      </c>
      <c r="G7" s="11">
        <v>42679</v>
      </c>
      <c r="H7" s="11">
        <v>33393</v>
      </c>
    </row>
    <row r="8" spans="1:8" x14ac:dyDescent="0.25">
      <c r="A8" s="11" t="s">
        <v>7</v>
      </c>
      <c r="B8" s="11">
        <v>6339</v>
      </c>
      <c r="C8" s="11">
        <v>11236</v>
      </c>
      <c r="D8" s="11">
        <v>12280</v>
      </c>
      <c r="E8" s="11">
        <v>12232</v>
      </c>
      <c r="F8" s="11">
        <v>13672</v>
      </c>
      <c r="G8" s="11">
        <v>13943</v>
      </c>
      <c r="H8" s="11">
        <v>11812</v>
      </c>
    </row>
    <row r="9" spans="1:8" x14ac:dyDescent="0.25">
      <c r="A9" s="11" t="s">
        <v>8</v>
      </c>
      <c r="B9" s="11">
        <v>2905</v>
      </c>
      <c r="C9" s="11">
        <v>5258</v>
      </c>
      <c r="D9" s="11">
        <v>5734</v>
      </c>
      <c r="E9" s="11">
        <v>5410</v>
      </c>
      <c r="F9" s="11">
        <v>6999</v>
      </c>
      <c r="G9" s="11">
        <v>6873</v>
      </c>
      <c r="H9" s="11">
        <v>5593</v>
      </c>
    </row>
    <row r="10" spans="1:8" x14ac:dyDescent="0.25">
      <c r="A10" s="11" t="s">
        <v>9</v>
      </c>
      <c r="B10" s="11">
        <v>39846</v>
      </c>
      <c r="C10" s="11">
        <v>68058</v>
      </c>
      <c r="D10" s="11">
        <v>73716</v>
      </c>
      <c r="E10" s="11">
        <v>71042</v>
      </c>
      <c r="F10" s="11">
        <v>87209</v>
      </c>
      <c r="G10" s="11">
        <v>81927</v>
      </c>
      <c r="H10" s="11">
        <v>61956</v>
      </c>
    </row>
    <row r="11" spans="1:8" x14ac:dyDescent="0.25">
      <c r="A11" s="11" t="s">
        <v>10</v>
      </c>
      <c r="B11" s="11">
        <v>11269</v>
      </c>
      <c r="C11" s="11">
        <v>20264</v>
      </c>
      <c r="D11" s="11">
        <v>22532</v>
      </c>
      <c r="E11" s="11">
        <v>20724</v>
      </c>
      <c r="F11" s="11">
        <v>25172</v>
      </c>
      <c r="G11" s="11">
        <v>24505</v>
      </c>
      <c r="H11" s="11">
        <v>18648</v>
      </c>
    </row>
    <row r="12" spans="1:8" x14ac:dyDescent="0.25">
      <c r="A12" s="11" t="s">
        <v>11</v>
      </c>
      <c r="B12" s="11">
        <v>6442</v>
      </c>
      <c r="C12" s="11">
        <v>11168</v>
      </c>
      <c r="D12" s="11">
        <v>12016</v>
      </c>
      <c r="E12" s="11">
        <v>12656</v>
      </c>
      <c r="F12" s="11">
        <v>14541</v>
      </c>
      <c r="G12" s="11">
        <v>16439</v>
      </c>
      <c r="H12" s="11">
        <v>12679</v>
      </c>
    </row>
    <row r="13" spans="1:8" x14ac:dyDescent="0.25">
      <c r="A13" s="11" t="s">
        <v>12</v>
      </c>
      <c r="B13" s="11">
        <v>147</v>
      </c>
      <c r="C13" s="11">
        <v>291</v>
      </c>
      <c r="D13" s="11">
        <v>361</v>
      </c>
      <c r="E13" s="11">
        <v>357</v>
      </c>
      <c r="F13" s="11">
        <v>544</v>
      </c>
      <c r="G13" s="11">
        <v>649</v>
      </c>
      <c r="H13" s="11">
        <v>528</v>
      </c>
    </row>
    <row r="14" spans="1:8" x14ac:dyDescent="0.25">
      <c r="A14" s="11" t="s">
        <v>13</v>
      </c>
      <c r="B14" s="11">
        <v>3154</v>
      </c>
      <c r="C14" s="11">
        <v>6157</v>
      </c>
      <c r="D14" s="11">
        <v>6761</v>
      </c>
      <c r="E14" s="11">
        <v>6819</v>
      </c>
      <c r="F14" s="11">
        <v>8646</v>
      </c>
      <c r="G14" s="11">
        <v>8253</v>
      </c>
      <c r="H14" s="11">
        <v>5762</v>
      </c>
    </row>
    <row r="15" spans="1:8" x14ac:dyDescent="0.25">
      <c r="A15" s="11" t="s">
        <v>14</v>
      </c>
      <c r="B15" s="11">
        <v>18094</v>
      </c>
      <c r="C15" s="11">
        <v>19119</v>
      </c>
      <c r="D15" s="11">
        <v>13770</v>
      </c>
      <c r="E15" s="11">
        <v>12263</v>
      </c>
      <c r="F15" s="11">
        <v>13948</v>
      </c>
      <c r="G15" s="11">
        <v>13482</v>
      </c>
      <c r="H15" s="11">
        <v>11360</v>
      </c>
    </row>
    <row r="16" spans="1:8" x14ac:dyDescent="0.25">
      <c r="A16" s="11" t="s">
        <v>15</v>
      </c>
      <c r="B16" s="11">
        <v>37430</v>
      </c>
      <c r="C16" s="11">
        <v>60249</v>
      </c>
      <c r="D16" s="11">
        <v>60032</v>
      </c>
      <c r="E16" s="11">
        <v>58774</v>
      </c>
      <c r="F16" s="11">
        <v>66905</v>
      </c>
      <c r="G16" s="11">
        <v>59514</v>
      </c>
      <c r="H16" s="11">
        <v>45773</v>
      </c>
    </row>
    <row r="17" spans="1:8" x14ac:dyDescent="0.25">
      <c r="A17" s="11" t="s">
        <v>16</v>
      </c>
      <c r="B17" s="11">
        <v>1730</v>
      </c>
      <c r="C17" s="11">
        <v>3071</v>
      </c>
      <c r="D17" s="11">
        <v>3275</v>
      </c>
      <c r="E17" s="11">
        <v>3394</v>
      </c>
      <c r="F17" s="11">
        <v>4210</v>
      </c>
      <c r="G17" s="11">
        <v>4311</v>
      </c>
      <c r="H17" s="11">
        <v>3359</v>
      </c>
    </row>
    <row r="18" spans="1:8" x14ac:dyDescent="0.25">
      <c r="A18" s="11" t="s">
        <v>17</v>
      </c>
      <c r="B18" s="11">
        <v>3399</v>
      </c>
      <c r="C18" s="11">
        <v>6458</v>
      </c>
      <c r="D18" s="11">
        <v>7091</v>
      </c>
      <c r="E18" s="11">
        <v>7498</v>
      </c>
      <c r="F18" s="11">
        <v>9190</v>
      </c>
      <c r="G18" s="11">
        <v>8988</v>
      </c>
      <c r="H18" s="11">
        <v>6987</v>
      </c>
    </row>
    <row r="19" spans="1:8" x14ac:dyDescent="0.25">
      <c r="A19" s="11" t="s">
        <v>18</v>
      </c>
      <c r="B19" s="11">
        <v>1737</v>
      </c>
      <c r="C19" s="11">
        <v>3276</v>
      </c>
      <c r="D19" s="11">
        <v>3291</v>
      </c>
      <c r="E19" s="11">
        <v>3358</v>
      </c>
      <c r="F19" s="11">
        <v>3819</v>
      </c>
      <c r="G19" s="11">
        <v>3964</v>
      </c>
      <c r="H19" s="11">
        <v>3071</v>
      </c>
    </row>
    <row r="20" spans="1:8" x14ac:dyDescent="0.25">
      <c r="A20" s="11" t="s">
        <v>19</v>
      </c>
      <c r="B20" s="11">
        <v>3882</v>
      </c>
      <c r="C20" s="11">
        <v>5907</v>
      </c>
      <c r="D20" s="11">
        <v>5884</v>
      </c>
      <c r="E20" s="11">
        <v>5794</v>
      </c>
      <c r="F20" s="11">
        <v>6777</v>
      </c>
      <c r="G20" s="11">
        <v>6923</v>
      </c>
      <c r="H20" s="11">
        <v>5437</v>
      </c>
    </row>
    <row r="21" spans="1:8" x14ac:dyDescent="0.25">
      <c r="A21" s="11" t="s">
        <v>20</v>
      </c>
      <c r="B21" s="11">
        <v>4032</v>
      </c>
      <c r="C21" s="11">
        <v>6979</v>
      </c>
      <c r="D21" s="11">
        <v>7478</v>
      </c>
      <c r="E21" s="11">
        <v>7369</v>
      </c>
      <c r="F21" s="11">
        <v>9351</v>
      </c>
      <c r="G21" s="11">
        <v>9767</v>
      </c>
      <c r="H21" s="11">
        <v>8088</v>
      </c>
    </row>
    <row r="22" spans="1:8" x14ac:dyDescent="0.25">
      <c r="A22" s="11" t="s">
        <v>21</v>
      </c>
      <c r="B22" s="11">
        <v>16038</v>
      </c>
      <c r="C22" s="11">
        <v>27836</v>
      </c>
      <c r="D22" s="11">
        <v>30155</v>
      </c>
      <c r="E22" s="11">
        <v>27157</v>
      </c>
      <c r="F22" s="11">
        <v>29274</v>
      </c>
      <c r="G22" s="11">
        <v>28150</v>
      </c>
      <c r="H22" s="11">
        <v>24159</v>
      </c>
    </row>
    <row r="23" spans="1:8" x14ac:dyDescent="0.25">
      <c r="A23" s="11" t="s">
        <v>22</v>
      </c>
      <c r="B23" s="11">
        <v>16735</v>
      </c>
      <c r="C23" s="11">
        <v>34362</v>
      </c>
      <c r="D23" s="11">
        <v>34344</v>
      </c>
      <c r="E23" s="11">
        <v>29880</v>
      </c>
      <c r="F23" s="11">
        <v>32537</v>
      </c>
      <c r="G23" s="11">
        <v>30210</v>
      </c>
      <c r="H23" s="11">
        <v>21527</v>
      </c>
    </row>
    <row r="24" spans="1:8" x14ac:dyDescent="0.25">
      <c r="A24" s="11" t="s">
        <v>23</v>
      </c>
      <c r="B24" s="11">
        <v>38156</v>
      </c>
      <c r="C24" s="11">
        <v>66416</v>
      </c>
      <c r="D24" s="11">
        <v>72212</v>
      </c>
      <c r="E24" s="11">
        <v>60719</v>
      </c>
      <c r="F24" s="11">
        <v>65576</v>
      </c>
      <c r="G24" s="11">
        <v>61799</v>
      </c>
      <c r="H24" s="11">
        <v>45356</v>
      </c>
    </row>
    <row r="25" spans="1:8" x14ac:dyDescent="0.25">
      <c r="A25" s="11" t="s">
        <v>24</v>
      </c>
      <c r="B25" s="11">
        <v>1488</v>
      </c>
      <c r="C25" s="11">
        <v>2548</v>
      </c>
      <c r="D25" s="11">
        <v>2741</v>
      </c>
      <c r="E25" s="11">
        <v>2845</v>
      </c>
      <c r="F25" s="11">
        <v>3925</v>
      </c>
      <c r="G25" s="11">
        <v>3945</v>
      </c>
      <c r="H25" s="11">
        <v>2984</v>
      </c>
    </row>
    <row r="26" spans="1:8" x14ac:dyDescent="0.25">
      <c r="A26" s="11" t="s">
        <v>25</v>
      </c>
      <c r="B26" s="11">
        <v>14773</v>
      </c>
      <c r="C26" s="11">
        <v>27101</v>
      </c>
      <c r="D26" s="11">
        <v>27151</v>
      </c>
      <c r="E26" s="11">
        <v>25223</v>
      </c>
      <c r="F26" s="11">
        <v>28791</v>
      </c>
      <c r="G26" s="11">
        <v>29565</v>
      </c>
      <c r="H26" s="11">
        <v>22267</v>
      </c>
    </row>
    <row r="27" spans="1:8" x14ac:dyDescent="0.25">
      <c r="A27" s="11" t="s">
        <v>26</v>
      </c>
      <c r="B27" s="11">
        <v>5160</v>
      </c>
      <c r="C27" s="11">
        <v>10760</v>
      </c>
      <c r="D27" s="11">
        <v>11634</v>
      </c>
      <c r="E27" s="11">
        <v>12055</v>
      </c>
      <c r="F27" s="11">
        <v>14147</v>
      </c>
      <c r="G27" s="11">
        <v>14645</v>
      </c>
      <c r="H27" s="11">
        <v>11172</v>
      </c>
    </row>
    <row r="28" spans="1:8" x14ac:dyDescent="0.25">
      <c r="A28" s="11" t="s">
        <v>27</v>
      </c>
      <c r="B28" s="11">
        <v>148</v>
      </c>
      <c r="C28" s="11">
        <v>238</v>
      </c>
      <c r="D28" s="11">
        <v>288</v>
      </c>
      <c r="E28" s="11">
        <v>391</v>
      </c>
      <c r="F28" s="11">
        <v>662</v>
      </c>
      <c r="G28" s="11">
        <v>836</v>
      </c>
      <c r="H28" s="11">
        <v>632</v>
      </c>
    </row>
    <row r="29" spans="1:8" x14ac:dyDescent="0.25">
      <c r="A29" s="11" t="s">
        <v>28</v>
      </c>
      <c r="B29" s="11">
        <v>8303</v>
      </c>
      <c r="C29" s="11">
        <v>15315</v>
      </c>
      <c r="D29" s="11">
        <v>16001</v>
      </c>
      <c r="E29" s="11">
        <v>15752</v>
      </c>
      <c r="F29" s="11">
        <v>18036</v>
      </c>
      <c r="G29" s="11">
        <v>16876</v>
      </c>
      <c r="H29" s="11">
        <v>14681</v>
      </c>
    </row>
    <row r="30" spans="1:8" x14ac:dyDescent="0.25">
      <c r="A30" s="11" t="s">
        <v>29</v>
      </c>
      <c r="B30" s="11">
        <v>732</v>
      </c>
      <c r="C30" s="11">
        <v>1365</v>
      </c>
      <c r="D30" s="11">
        <v>1394</v>
      </c>
      <c r="E30" s="11">
        <v>1540</v>
      </c>
      <c r="F30" s="11">
        <v>1885</v>
      </c>
      <c r="G30" s="11">
        <v>1754</v>
      </c>
      <c r="H30" s="11">
        <v>1445</v>
      </c>
    </row>
    <row r="31" spans="1:8" x14ac:dyDescent="0.25">
      <c r="A31" s="11" t="s">
        <v>30</v>
      </c>
      <c r="B31" s="11">
        <v>1534</v>
      </c>
      <c r="C31" s="11">
        <v>2975</v>
      </c>
      <c r="D31" s="11">
        <v>3063</v>
      </c>
      <c r="E31" s="11">
        <v>3414</v>
      </c>
      <c r="F31" s="11">
        <v>3793</v>
      </c>
      <c r="G31" s="11">
        <v>3989</v>
      </c>
      <c r="H31" s="11">
        <v>2984</v>
      </c>
    </row>
    <row r="32" spans="1:8" x14ac:dyDescent="0.25">
      <c r="A32" s="11" t="s">
        <v>31</v>
      </c>
      <c r="B32" s="11">
        <v>2356</v>
      </c>
      <c r="C32" s="11">
        <v>3700</v>
      </c>
      <c r="D32" s="11">
        <v>3664</v>
      </c>
      <c r="E32" s="11">
        <v>3984</v>
      </c>
      <c r="F32" s="11">
        <v>4973</v>
      </c>
      <c r="G32" s="11">
        <v>5056</v>
      </c>
      <c r="H32" s="11">
        <v>4191</v>
      </c>
    </row>
    <row r="33" spans="1:8" x14ac:dyDescent="0.25">
      <c r="A33" s="11" t="s">
        <v>32</v>
      </c>
      <c r="B33" s="11">
        <v>4611</v>
      </c>
      <c r="C33" s="11">
        <v>6603</v>
      </c>
      <c r="D33" s="11">
        <v>6764</v>
      </c>
      <c r="E33" s="11">
        <v>6920</v>
      </c>
      <c r="F33" s="11">
        <v>8372</v>
      </c>
      <c r="G33" s="11">
        <v>9005</v>
      </c>
      <c r="H33" s="11">
        <v>6932</v>
      </c>
    </row>
    <row r="34" spans="1:8" x14ac:dyDescent="0.25">
      <c r="A34" s="11" t="s">
        <v>33</v>
      </c>
      <c r="B34" s="11">
        <v>2143</v>
      </c>
      <c r="C34" s="11">
        <v>3566</v>
      </c>
      <c r="D34" s="11">
        <v>4142</v>
      </c>
      <c r="E34" s="11">
        <v>4071</v>
      </c>
      <c r="F34" s="11">
        <v>4936</v>
      </c>
      <c r="G34" s="11">
        <v>5276</v>
      </c>
      <c r="H34" s="11">
        <v>3962</v>
      </c>
    </row>
    <row r="35" spans="1:8" x14ac:dyDescent="0.25">
      <c r="A35" s="11" t="s">
        <v>34</v>
      </c>
      <c r="B35" s="11">
        <v>975</v>
      </c>
      <c r="C35" s="11">
        <v>1755</v>
      </c>
      <c r="D35" s="11">
        <v>2003</v>
      </c>
      <c r="E35" s="11">
        <v>2095</v>
      </c>
      <c r="F35" s="11">
        <v>2625</v>
      </c>
      <c r="G35" s="11">
        <v>2553</v>
      </c>
      <c r="H35" s="11">
        <v>2072</v>
      </c>
    </row>
    <row r="36" spans="1:8" x14ac:dyDescent="0.25">
      <c r="A36" s="11" t="s">
        <v>35</v>
      </c>
      <c r="B36" s="11">
        <v>12001</v>
      </c>
      <c r="C36" s="11">
        <v>22625</v>
      </c>
      <c r="D36" s="11">
        <v>24002</v>
      </c>
      <c r="E36" s="11">
        <v>21588</v>
      </c>
      <c r="F36" s="11">
        <v>25003</v>
      </c>
      <c r="G36" s="11">
        <v>24128</v>
      </c>
      <c r="H36" s="11">
        <v>19640</v>
      </c>
    </row>
    <row r="37" spans="1:8" x14ac:dyDescent="0.25">
      <c r="A37" s="11" t="s">
        <v>36</v>
      </c>
      <c r="B37" s="11">
        <v>30763</v>
      </c>
      <c r="C37" s="11">
        <v>58556</v>
      </c>
      <c r="D37" s="11">
        <v>59219</v>
      </c>
      <c r="E37" s="11">
        <v>50813</v>
      </c>
      <c r="F37" s="11">
        <v>56914</v>
      </c>
      <c r="G37" s="11">
        <v>57257</v>
      </c>
      <c r="H37" s="11">
        <v>49237</v>
      </c>
    </row>
    <row r="38" spans="1:8" x14ac:dyDescent="0.25">
      <c r="A38" s="11" t="s">
        <v>37</v>
      </c>
      <c r="B38" s="11">
        <v>4348</v>
      </c>
      <c r="C38" s="11">
        <v>7849</v>
      </c>
      <c r="D38" s="11">
        <v>8333</v>
      </c>
      <c r="E38" s="11">
        <v>8291</v>
      </c>
      <c r="F38" s="11">
        <v>9807</v>
      </c>
      <c r="G38" s="11">
        <v>10399</v>
      </c>
      <c r="H38" s="11">
        <v>8331</v>
      </c>
    </row>
    <row r="39" spans="1:8" x14ac:dyDescent="0.25">
      <c r="A39" s="11" t="s">
        <v>38</v>
      </c>
      <c r="B39" s="11">
        <v>7251</v>
      </c>
      <c r="C39" s="11">
        <v>13038</v>
      </c>
      <c r="D39" s="11">
        <v>14432</v>
      </c>
      <c r="E39" s="11">
        <v>14065</v>
      </c>
      <c r="F39" s="11">
        <v>15947</v>
      </c>
      <c r="G39" s="11">
        <v>15628</v>
      </c>
      <c r="H39" s="11">
        <v>13366</v>
      </c>
    </row>
    <row r="40" spans="1:8" x14ac:dyDescent="0.25">
      <c r="A40" s="11" t="s">
        <v>39</v>
      </c>
      <c r="B40" s="11">
        <v>21539</v>
      </c>
      <c r="C40" s="11">
        <v>41583</v>
      </c>
      <c r="D40" s="11">
        <v>42242</v>
      </c>
      <c r="E40" s="11">
        <v>38501</v>
      </c>
      <c r="F40" s="11">
        <v>41382</v>
      </c>
      <c r="G40" s="11">
        <v>38230</v>
      </c>
      <c r="H40" s="11">
        <v>29557</v>
      </c>
    </row>
    <row r="41" spans="1:8" x14ac:dyDescent="0.25">
      <c r="A41" s="11" t="s">
        <v>40</v>
      </c>
      <c r="B41" s="11">
        <v>15754</v>
      </c>
      <c r="C41" s="11">
        <v>30556</v>
      </c>
      <c r="D41" s="11">
        <v>32870</v>
      </c>
      <c r="E41" s="11">
        <v>30608</v>
      </c>
      <c r="F41" s="11">
        <v>35918</v>
      </c>
      <c r="G41" s="11">
        <v>33360</v>
      </c>
      <c r="H41" s="11">
        <v>27163</v>
      </c>
    </row>
    <row r="42" spans="1:8" x14ac:dyDescent="0.25">
      <c r="A42" s="11" t="s">
        <v>41</v>
      </c>
      <c r="B42" s="11">
        <v>5553</v>
      </c>
      <c r="C42" s="11">
        <v>9983</v>
      </c>
      <c r="D42" s="11">
        <v>11441</v>
      </c>
      <c r="E42" s="11">
        <v>10429</v>
      </c>
      <c r="F42" s="11">
        <v>12223</v>
      </c>
      <c r="G42" s="11">
        <v>12972</v>
      </c>
      <c r="H42" s="11">
        <v>9928</v>
      </c>
    </row>
    <row r="43" spans="1:8" x14ac:dyDescent="0.25">
      <c r="A43" s="11" t="s">
        <v>91</v>
      </c>
      <c r="B43" s="11">
        <v>1828</v>
      </c>
      <c r="C43" s="11">
        <v>3248</v>
      </c>
      <c r="D43" s="11">
        <v>3645</v>
      </c>
      <c r="E43" s="11">
        <v>3762</v>
      </c>
      <c r="F43" s="11">
        <v>4545</v>
      </c>
      <c r="G43" s="11">
        <v>4634</v>
      </c>
      <c r="H43" s="11">
        <v>3518</v>
      </c>
    </row>
    <row r="44" spans="1:8" x14ac:dyDescent="0.25">
      <c r="A44" s="11" t="s">
        <v>43</v>
      </c>
      <c r="B44" s="11">
        <v>5572</v>
      </c>
      <c r="C44" s="11">
        <v>9821</v>
      </c>
      <c r="D44" s="11">
        <v>9964</v>
      </c>
      <c r="E44" s="11">
        <v>9875</v>
      </c>
      <c r="F44" s="11">
        <v>12389</v>
      </c>
      <c r="G44" s="11">
        <v>13474</v>
      </c>
      <c r="H44" s="11">
        <v>10776</v>
      </c>
    </row>
    <row r="45" spans="1:8" x14ac:dyDescent="0.25">
      <c r="A45" s="11" t="s">
        <v>44</v>
      </c>
      <c r="B45" s="11">
        <v>1762</v>
      </c>
      <c r="C45" s="11">
        <v>3667</v>
      </c>
      <c r="D45" s="11">
        <v>3848</v>
      </c>
      <c r="E45" s="11">
        <v>3925</v>
      </c>
      <c r="F45" s="11">
        <v>5034</v>
      </c>
      <c r="G45" s="11">
        <v>4732</v>
      </c>
      <c r="H45" s="11">
        <v>4143</v>
      </c>
    </row>
    <row r="46" spans="1:8" x14ac:dyDescent="0.25">
      <c r="A46" s="11" t="s">
        <v>45</v>
      </c>
      <c r="B46" s="11">
        <v>9608</v>
      </c>
      <c r="C46" s="11">
        <v>17404</v>
      </c>
      <c r="D46" s="11">
        <v>17585</v>
      </c>
      <c r="E46" s="11">
        <v>17364</v>
      </c>
      <c r="F46" s="11">
        <v>22575</v>
      </c>
      <c r="G46" s="11">
        <v>20050</v>
      </c>
      <c r="H46" s="11">
        <v>12234</v>
      </c>
    </row>
    <row r="47" spans="1:8" x14ac:dyDescent="0.25">
      <c r="A47" s="11" t="s">
        <v>46</v>
      </c>
      <c r="B47" s="11">
        <v>53981</v>
      </c>
      <c r="C47" s="11">
        <v>96369</v>
      </c>
      <c r="D47" s="11">
        <v>104609</v>
      </c>
      <c r="E47" s="11">
        <v>93336</v>
      </c>
      <c r="F47" s="11">
        <v>102018</v>
      </c>
      <c r="G47" s="11">
        <v>94826</v>
      </c>
      <c r="H47" s="11">
        <v>76814</v>
      </c>
    </row>
    <row r="48" spans="1:8" x14ac:dyDescent="0.25">
      <c r="A48" s="11" t="s">
        <v>47</v>
      </c>
      <c r="B48" s="11">
        <v>836</v>
      </c>
      <c r="C48" s="11">
        <v>1836</v>
      </c>
      <c r="D48" s="11">
        <v>2002</v>
      </c>
      <c r="E48" s="11">
        <v>1631</v>
      </c>
      <c r="F48" s="11">
        <v>2006</v>
      </c>
      <c r="G48" s="11">
        <v>2148</v>
      </c>
      <c r="H48" s="11">
        <v>1842</v>
      </c>
    </row>
    <row r="49" spans="1:8" x14ac:dyDescent="0.25">
      <c r="A49" s="11" t="s">
        <v>48</v>
      </c>
      <c r="B49" s="11">
        <v>22647</v>
      </c>
      <c r="C49" s="11">
        <v>36529</v>
      </c>
      <c r="D49" s="11">
        <v>35575</v>
      </c>
      <c r="E49" s="11">
        <v>33005</v>
      </c>
      <c r="F49" s="11">
        <v>38531</v>
      </c>
      <c r="G49" s="11">
        <v>36221</v>
      </c>
      <c r="H49" s="11">
        <v>28718</v>
      </c>
    </row>
    <row r="50" spans="1:8" x14ac:dyDescent="0.25">
      <c r="A50" s="11" t="s">
        <v>49</v>
      </c>
      <c r="B50" s="11">
        <v>3687</v>
      </c>
      <c r="C50" s="11">
        <v>7152</v>
      </c>
      <c r="D50" s="11">
        <v>8552</v>
      </c>
      <c r="E50" s="11">
        <v>8207</v>
      </c>
      <c r="F50" s="11">
        <v>9719</v>
      </c>
      <c r="G50" s="11">
        <v>10030</v>
      </c>
      <c r="H50" s="11">
        <v>7931</v>
      </c>
    </row>
    <row r="51" spans="1:8" x14ac:dyDescent="0.25">
      <c r="A51" s="11" t="s">
        <v>50</v>
      </c>
      <c r="B51" s="11">
        <v>2357</v>
      </c>
      <c r="C51" s="11">
        <v>4320</v>
      </c>
      <c r="D51" s="11">
        <v>4828</v>
      </c>
      <c r="E51" s="11">
        <v>4776</v>
      </c>
      <c r="F51" s="11">
        <v>5833</v>
      </c>
      <c r="G51" s="11">
        <v>5351</v>
      </c>
      <c r="H51" s="11">
        <v>3736</v>
      </c>
    </row>
    <row r="52" spans="1:8" x14ac:dyDescent="0.25">
      <c r="A52" s="11" t="s">
        <v>51</v>
      </c>
      <c r="B52" s="11">
        <v>99116</v>
      </c>
      <c r="C52" s="11">
        <v>257375</v>
      </c>
      <c r="D52" s="11">
        <v>219165</v>
      </c>
      <c r="E52" s="11">
        <v>142968</v>
      </c>
      <c r="F52" s="11">
        <v>144863</v>
      </c>
      <c r="G52" s="11">
        <v>126356</v>
      </c>
      <c r="H52" s="11">
        <v>90813</v>
      </c>
    </row>
    <row r="53" spans="1:8" x14ac:dyDescent="0.25">
      <c r="A53" s="11" t="s">
        <v>52</v>
      </c>
      <c r="B53" s="11">
        <v>3150</v>
      </c>
      <c r="C53" s="11">
        <v>5906</v>
      </c>
      <c r="D53" s="11">
        <v>6434</v>
      </c>
      <c r="E53" s="11">
        <v>6585</v>
      </c>
      <c r="F53" s="11">
        <v>9554</v>
      </c>
      <c r="G53" s="11">
        <v>9109</v>
      </c>
      <c r="H53" s="11">
        <v>6262</v>
      </c>
    </row>
    <row r="54" spans="1:8" x14ac:dyDescent="0.25">
      <c r="A54" s="11" t="s">
        <v>53</v>
      </c>
      <c r="B54" s="11">
        <v>753</v>
      </c>
      <c r="C54" s="11">
        <v>1286</v>
      </c>
      <c r="D54" s="11">
        <v>1472</v>
      </c>
      <c r="E54" s="11">
        <v>1501</v>
      </c>
      <c r="F54" s="11">
        <v>2058</v>
      </c>
      <c r="G54" s="11">
        <v>2210</v>
      </c>
      <c r="H54" s="11">
        <v>1764</v>
      </c>
    </row>
    <row r="55" spans="1:8" x14ac:dyDescent="0.25">
      <c r="A55" s="11" t="s">
        <v>54</v>
      </c>
      <c r="B55" s="11">
        <v>6892</v>
      </c>
      <c r="C55" s="11">
        <v>12436</v>
      </c>
      <c r="D55" s="11">
        <v>13803</v>
      </c>
      <c r="E55" s="11">
        <v>14216</v>
      </c>
      <c r="F55" s="11">
        <v>16659</v>
      </c>
      <c r="G55" s="11">
        <v>16102</v>
      </c>
      <c r="H55" s="11">
        <v>12147</v>
      </c>
    </row>
    <row r="56" spans="1:8" x14ac:dyDescent="0.25">
      <c r="A56" s="11" t="s">
        <v>55</v>
      </c>
      <c r="B56" s="11">
        <v>2289</v>
      </c>
      <c r="C56" s="11">
        <v>3191</v>
      </c>
      <c r="D56" s="11">
        <v>3457</v>
      </c>
      <c r="E56" s="11">
        <v>3442</v>
      </c>
      <c r="F56" s="11">
        <v>4153</v>
      </c>
      <c r="G56" s="11">
        <v>3972</v>
      </c>
      <c r="H56" s="11">
        <v>3342</v>
      </c>
    </row>
    <row r="57" spans="1:8" x14ac:dyDescent="0.25">
      <c r="A57" s="11" t="s">
        <v>56</v>
      </c>
      <c r="B57" s="11">
        <v>3333</v>
      </c>
      <c r="C57" s="11">
        <v>5979</v>
      </c>
      <c r="D57" s="11">
        <v>6723</v>
      </c>
      <c r="E57" s="11">
        <v>7067</v>
      </c>
      <c r="F57" s="11">
        <v>8609</v>
      </c>
      <c r="G57" s="11">
        <v>9346</v>
      </c>
      <c r="H57" s="11">
        <v>7420</v>
      </c>
    </row>
    <row r="58" spans="1:8" x14ac:dyDescent="0.25">
      <c r="A58" s="11" t="s">
        <v>57</v>
      </c>
      <c r="B58" s="11">
        <v>230</v>
      </c>
      <c r="C58" s="11">
        <v>420</v>
      </c>
      <c r="D58" s="11">
        <v>568</v>
      </c>
      <c r="E58" s="11">
        <v>554</v>
      </c>
      <c r="F58" s="11">
        <v>806</v>
      </c>
      <c r="G58" s="11">
        <v>1069</v>
      </c>
      <c r="H58" s="11">
        <v>793</v>
      </c>
    </row>
    <row r="59" spans="1:8" x14ac:dyDescent="0.25">
      <c r="A59" s="11" t="s">
        <v>58</v>
      </c>
      <c r="B59" s="11">
        <v>1906</v>
      </c>
      <c r="C59" s="11">
        <v>3644</v>
      </c>
      <c r="D59" s="11">
        <v>3964</v>
      </c>
      <c r="E59" s="11">
        <v>3700</v>
      </c>
      <c r="F59" s="11">
        <v>5104</v>
      </c>
      <c r="G59" s="11">
        <v>5354</v>
      </c>
      <c r="H59" s="11">
        <v>4225</v>
      </c>
    </row>
    <row r="60" spans="1:8" x14ac:dyDescent="0.25">
      <c r="A60" s="11" t="s">
        <v>59</v>
      </c>
      <c r="B60" s="11">
        <v>1895</v>
      </c>
      <c r="C60" s="11">
        <v>3256</v>
      </c>
      <c r="D60" s="11">
        <v>3908</v>
      </c>
      <c r="E60" s="11">
        <v>3717</v>
      </c>
      <c r="F60" s="11">
        <v>4774</v>
      </c>
      <c r="G60" s="11">
        <v>5065</v>
      </c>
      <c r="H60" s="11">
        <v>4135</v>
      </c>
    </row>
    <row r="61" spans="1:8" x14ac:dyDescent="0.25">
      <c r="A61" s="11" t="s">
        <v>60</v>
      </c>
      <c r="B61" s="11">
        <v>3714</v>
      </c>
      <c r="C61" s="11">
        <v>3999</v>
      </c>
      <c r="D61" s="11">
        <v>3609</v>
      </c>
      <c r="E61" s="11">
        <v>3462</v>
      </c>
      <c r="F61" s="11">
        <v>4003</v>
      </c>
      <c r="G61" s="11">
        <v>3873</v>
      </c>
      <c r="H61" s="11">
        <v>3697</v>
      </c>
    </row>
    <row r="62" spans="1:8" x14ac:dyDescent="0.25">
      <c r="A62" s="11" t="s">
        <v>61</v>
      </c>
      <c r="B62" s="11">
        <v>2222</v>
      </c>
      <c r="C62" s="11">
        <v>3950</v>
      </c>
      <c r="D62" s="11">
        <v>4633</v>
      </c>
      <c r="E62" s="11">
        <v>4766</v>
      </c>
      <c r="F62" s="11">
        <v>5742</v>
      </c>
      <c r="G62" s="11">
        <v>6599</v>
      </c>
      <c r="H62" s="11">
        <v>4898</v>
      </c>
    </row>
    <row r="63" spans="1:8" x14ac:dyDescent="0.25">
      <c r="A63" s="11" t="s">
        <v>62</v>
      </c>
      <c r="B63" s="11">
        <v>1766</v>
      </c>
      <c r="C63" s="11">
        <v>3047</v>
      </c>
      <c r="D63" s="11">
        <v>3608</v>
      </c>
      <c r="E63" s="11">
        <v>3510</v>
      </c>
      <c r="F63" s="11">
        <v>4698</v>
      </c>
      <c r="G63" s="11">
        <v>5027</v>
      </c>
      <c r="H63" s="11">
        <v>3776</v>
      </c>
    </row>
    <row r="64" spans="1:8" x14ac:dyDescent="0.25">
      <c r="A64" s="11" t="s">
        <v>63</v>
      </c>
      <c r="B64" s="11">
        <v>10592</v>
      </c>
      <c r="C64" s="11">
        <v>19724</v>
      </c>
      <c r="D64" s="11">
        <v>22509</v>
      </c>
      <c r="E64" s="11">
        <v>21369</v>
      </c>
      <c r="F64" s="11">
        <v>25197</v>
      </c>
      <c r="G64" s="11">
        <v>26118</v>
      </c>
      <c r="H64" s="11">
        <v>19963</v>
      </c>
    </row>
    <row r="65" spans="1:8" x14ac:dyDescent="0.25">
      <c r="A65" s="11" t="s">
        <v>64</v>
      </c>
      <c r="B65" s="11">
        <v>2246</v>
      </c>
      <c r="C65" s="11">
        <v>4500</v>
      </c>
      <c r="D65" s="11">
        <v>5024</v>
      </c>
      <c r="E65" s="11">
        <v>4886</v>
      </c>
      <c r="F65" s="11">
        <v>6915</v>
      </c>
      <c r="G65" s="11">
        <v>7358</v>
      </c>
      <c r="H65" s="11">
        <v>5575</v>
      </c>
    </row>
    <row r="66" spans="1:8" x14ac:dyDescent="0.25">
      <c r="A66" s="11" t="s">
        <v>65</v>
      </c>
      <c r="B66" s="11">
        <v>17679</v>
      </c>
      <c r="C66" s="11">
        <v>32978</v>
      </c>
      <c r="D66" s="11">
        <v>36264</v>
      </c>
      <c r="E66" s="11">
        <v>35221</v>
      </c>
      <c r="F66" s="11">
        <v>44285</v>
      </c>
      <c r="G66" s="11">
        <v>46559</v>
      </c>
      <c r="H66" s="11">
        <v>37653</v>
      </c>
    </row>
    <row r="67" spans="1:8" x14ac:dyDescent="0.25">
      <c r="A67" s="11" t="s">
        <v>66</v>
      </c>
      <c r="B67" s="11">
        <v>1366</v>
      </c>
      <c r="C67" s="11">
        <v>2483</v>
      </c>
      <c r="D67" s="11">
        <v>2718</v>
      </c>
      <c r="E67" s="11">
        <v>2693</v>
      </c>
      <c r="F67" s="11">
        <v>3247</v>
      </c>
      <c r="G67" s="11">
        <v>3344</v>
      </c>
      <c r="H67" s="11">
        <v>2608</v>
      </c>
    </row>
    <row r="68" spans="1:8" ht="13.8" thickBot="1" x14ac:dyDescent="0.3">
      <c r="A68" s="13" t="s">
        <v>67</v>
      </c>
      <c r="B68" s="13">
        <v>26576</v>
      </c>
      <c r="C68" s="13">
        <v>49914</v>
      </c>
      <c r="D68" s="13">
        <v>54313</v>
      </c>
      <c r="E68" s="13">
        <v>50051</v>
      </c>
      <c r="F68" s="13">
        <v>57032</v>
      </c>
      <c r="G68" s="13">
        <v>50203</v>
      </c>
      <c r="H68" s="13">
        <v>37763</v>
      </c>
    </row>
    <row r="69" spans="1:8" x14ac:dyDescent="0.25">
      <c r="A69" s="32" t="s">
        <v>68</v>
      </c>
      <c r="B69" s="32">
        <f>SUM(B2:B68)</f>
        <v>761974</v>
      </c>
      <c r="C69" s="32">
        <f t="shared" ref="C69:G69" si="0">SUM(C2:C68)</f>
        <v>1460320</v>
      </c>
      <c r="D69" s="32">
        <f t="shared" si="0"/>
        <v>1469227</v>
      </c>
      <c r="E69" s="32">
        <f t="shared" si="0"/>
        <v>1284195</v>
      </c>
      <c r="F69" s="32">
        <f t="shared" si="0"/>
        <v>1465540</v>
      </c>
      <c r="G69" s="32">
        <f t="shared" si="0"/>
        <v>1415890</v>
      </c>
      <c r="H69" s="32">
        <f>SUM(H2:H68)</f>
        <v>1098082</v>
      </c>
    </row>
    <row r="70" spans="1:8" x14ac:dyDescent="0.25">
      <c r="B70" s="17">
        <f t="shared" ref="B70:H70" si="1">B69/$B$72</f>
        <v>8.5087057526620199E-2</v>
      </c>
      <c r="C70" s="17">
        <f>C69/$B$72</f>
        <v>0.1630689916549305</v>
      </c>
      <c r="D70" s="17">
        <f>D69/$B$72</f>
        <v>0.16406360619740781</v>
      </c>
      <c r="E70" s="17">
        <f t="shared" si="1"/>
        <v>0.14340170903521385</v>
      </c>
      <c r="F70" s="17">
        <f t="shared" si="1"/>
        <v>0.16365189138679662</v>
      </c>
      <c r="G70" s="17">
        <f t="shared" si="1"/>
        <v>0.15810764393715046</v>
      </c>
      <c r="H70" s="17">
        <f t="shared" si="1"/>
        <v>0.12261910026188054</v>
      </c>
    </row>
    <row r="72" spans="1:8" x14ac:dyDescent="0.25">
      <c r="A72" s="32" t="s">
        <v>80</v>
      </c>
      <c r="B72" s="16">
        <f>SUM(B69:H69)</f>
        <v>8955228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" sqref="L1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1977</v>
      </c>
      <c r="D2" s="11">
        <v>2751</v>
      </c>
      <c r="E2" s="11">
        <v>2331</v>
      </c>
      <c r="F2" s="11">
        <v>2106</v>
      </c>
      <c r="G2" s="11">
        <v>2656</v>
      </c>
      <c r="H2" s="11">
        <v>3785</v>
      </c>
      <c r="I2" s="11">
        <v>3500</v>
      </c>
    </row>
    <row r="3" spans="1:9" x14ac:dyDescent="0.25">
      <c r="A3" s="11" t="s">
        <v>2</v>
      </c>
      <c r="B3" s="10" t="s">
        <v>0</v>
      </c>
      <c r="C3" s="11">
        <v>41841</v>
      </c>
      <c r="D3" s="11">
        <v>94165</v>
      </c>
      <c r="E3" s="11">
        <v>88985</v>
      </c>
      <c r="F3" s="11">
        <v>63822</v>
      </c>
      <c r="G3" s="11">
        <v>67904</v>
      </c>
      <c r="H3" s="11">
        <v>80340</v>
      </c>
      <c r="I3" s="11">
        <v>65260</v>
      </c>
    </row>
    <row r="4" spans="1:9" x14ac:dyDescent="0.25">
      <c r="A4" s="11" t="s">
        <v>3</v>
      </c>
      <c r="B4" s="10" t="s">
        <v>0</v>
      </c>
      <c r="C4" s="11">
        <v>604</v>
      </c>
      <c r="D4" s="11">
        <v>1088</v>
      </c>
      <c r="E4" s="11">
        <v>1206</v>
      </c>
      <c r="F4" s="11">
        <v>1269</v>
      </c>
      <c r="G4" s="11">
        <v>1788</v>
      </c>
      <c r="H4" s="11">
        <v>2565</v>
      </c>
      <c r="I4" s="11">
        <v>2177</v>
      </c>
    </row>
    <row r="5" spans="1:9" x14ac:dyDescent="0.25">
      <c r="A5" s="11" t="s">
        <v>4</v>
      </c>
      <c r="B5" s="10" t="s">
        <v>0</v>
      </c>
      <c r="C5" s="11">
        <v>2555</v>
      </c>
      <c r="D5" s="11">
        <v>5668</v>
      </c>
      <c r="E5" s="11">
        <v>6433</v>
      </c>
      <c r="F5" s="11">
        <v>5915</v>
      </c>
      <c r="G5" s="11">
        <v>7383</v>
      </c>
      <c r="H5" s="11">
        <v>9870</v>
      </c>
      <c r="I5" s="11">
        <v>8022</v>
      </c>
    </row>
    <row r="6" spans="1:9" x14ac:dyDescent="0.25">
      <c r="A6" s="11" t="s">
        <v>5</v>
      </c>
      <c r="B6" s="10" t="s">
        <v>0</v>
      </c>
      <c r="C6" s="11">
        <v>304</v>
      </c>
      <c r="D6" s="11">
        <v>528</v>
      </c>
      <c r="E6" s="11">
        <v>570</v>
      </c>
      <c r="F6" s="11">
        <v>631</v>
      </c>
      <c r="G6" s="11">
        <v>861</v>
      </c>
      <c r="H6" s="11">
        <v>1199</v>
      </c>
      <c r="I6" s="11">
        <v>1189</v>
      </c>
    </row>
    <row r="7" spans="1:9" x14ac:dyDescent="0.25">
      <c r="A7" s="11" t="s">
        <v>6</v>
      </c>
      <c r="B7" s="10" t="s">
        <v>0</v>
      </c>
      <c r="C7" s="11">
        <v>8515</v>
      </c>
      <c r="D7" s="11">
        <v>15761</v>
      </c>
      <c r="E7" s="11">
        <v>16337</v>
      </c>
      <c r="F7" s="11">
        <v>14894</v>
      </c>
      <c r="G7" s="11">
        <v>16957</v>
      </c>
      <c r="H7" s="11">
        <v>17311</v>
      </c>
      <c r="I7" s="11">
        <v>14408</v>
      </c>
    </row>
    <row r="8" spans="1:9" x14ac:dyDescent="0.25">
      <c r="A8" s="11" t="s">
        <v>7</v>
      </c>
      <c r="B8" s="10" t="s">
        <v>0</v>
      </c>
      <c r="C8" s="11">
        <v>1542</v>
      </c>
      <c r="D8" s="11">
        <v>3010</v>
      </c>
      <c r="E8" s="11">
        <v>3115</v>
      </c>
      <c r="F8" s="11">
        <v>2573</v>
      </c>
      <c r="G8" s="11">
        <v>2743</v>
      </c>
      <c r="H8" s="11">
        <v>3539</v>
      </c>
      <c r="I8" s="11">
        <v>3223</v>
      </c>
    </row>
    <row r="9" spans="1:9" x14ac:dyDescent="0.25">
      <c r="A9" s="11" t="s">
        <v>8</v>
      </c>
      <c r="B9" s="10" t="s">
        <v>0</v>
      </c>
      <c r="C9" s="11">
        <v>491</v>
      </c>
      <c r="D9" s="11">
        <v>1051</v>
      </c>
      <c r="E9" s="11">
        <v>1070</v>
      </c>
      <c r="F9" s="11">
        <v>893</v>
      </c>
      <c r="G9" s="11">
        <v>1200</v>
      </c>
      <c r="H9" s="11">
        <v>1610</v>
      </c>
      <c r="I9" s="11">
        <v>1482</v>
      </c>
    </row>
    <row r="10" spans="1:9" x14ac:dyDescent="0.25">
      <c r="A10" s="11" t="s">
        <v>9</v>
      </c>
      <c r="B10" s="10" t="s">
        <v>0</v>
      </c>
      <c r="C10" s="11">
        <v>15690</v>
      </c>
      <c r="D10" s="11">
        <v>28106</v>
      </c>
      <c r="E10" s="11">
        <v>30167</v>
      </c>
      <c r="F10" s="11">
        <v>27041</v>
      </c>
      <c r="G10" s="11">
        <v>31331</v>
      </c>
      <c r="H10" s="11">
        <v>34559</v>
      </c>
      <c r="I10" s="11">
        <v>26814</v>
      </c>
    </row>
    <row r="11" spans="1:9" x14ac:dyDescent="0.25">
      <c r="A11" s="11" t="s">
        <v>10</v>
      </c>
      <c r="B11" s="10" t="s">
        <v>0</v>
      </c>
      <c r="C11" s="11">
        <v>2960</v>
      </c>
      <c r="D11" s="11">
        <v>5229</v>
      </c>
      <c r="E11" s="11">
        <v>5930</v>
      </c>
      <c r="F11" s="11">
        <v>4974</v>
      </c>
      <c r="G11" s="11">
        <v>5790</v>
      </c>
      <c r="H11" s="11">
        <v>7578</v>
      </c>
      <c r="I11" s="11">
        <v>6559</v>
      </c>
    </row>
    <row r="12" spans="1:9" x14ac:dyDescent="0.25">
      <c r="A12" s="11" t="s">
        <v>11</v>
      </c>
      <c r="B12" s="10" t="s">
        <v>0</v>
      </c>
      <c r="C12" s="11">
        <v>1750</v>
      </c>
      <c r="D12" s="11">
        <v>3362</v>
      </c>
      <c r="E12" s="11">
        <v>3663</v>
      </c>
      <c r="F12" s="11">
        <v>3721</v>
      </c>
      <c r="G12" s="11">
        <v>4678</v>
      </c>
      <c r="H12" s="11">
        <v>6693</v>
      </c>
      <c r="I12" s="11">
        <v>5639</v>
      </c>
    </row>
    <row r="13" spans="1:9" x14ac:dyDescent="0.25">
      <c r="A13" s="11" t="s">
        <v>12</v>
      </c>
      <c r="B13" s="10" t="s">
        <v>0</v>
      </c>
      <c r="C13" s="11">
        <v>32</v>
      </c>
      <c r="D13" s="11">
        <v>69</v>
      </c>
      <c r="E13" s="11">
        <v>75</v>
      </c>
      <c r="F13" s="11">
        <v>64</v>
      </c>
      <c r="G13" s="11">
        <v>114</v>
      </c>
      <c r="H13" s="11">
        <v>168</v>
      </c>
      <c r="I13" s="11">
        <v>143</v>
      </c>
    </row>
    <row r="14" spans="1:9" x14ac:dyDescent="0.25">
      <c r="A14" s="11" t="s">
        <v>13</v>
      </c>
      <c r="B14" s="10" t="s">
        <v>0</v>
      </c>
      <c r="C14" s="11">
        <v>864</v>
      </c>
      <c r="D14" s="11">
        <v>1780</v>
      </c>
      <c r="E14" s="11">
        <v>1928</v>
      </c>
      <c r="F14" s="11">
        <v>1921</v>
      </c>
      <c r="G14" s="11">
        <v>2461</v>
      </c>
      <c r="H14" s="11">
        <v>2859</v>
      </c>
      <c r="I14" s="11">
        <v>2250</v>
      </c>
    </row>
    <row r="15" spans="1:9" x14ac:dyDescent="0.25">
      <c r="A15" s="11" t="s">
        <v>14</v>
      </c>
      <c r="B15" s="10" t="s">
        <v>0</v>
      </c>
      <c r="C15" s="11">
        <v>7961</v>
      </c>
      <c r="D15" s="11">
        <v>8958</v>
      </c>
      <c r="E15" s="11">
        <v>5698</v>
      </c>
      <c r="F15" s="11">
        <v>4597</v>
      </c>
      <c r="G15" s="11">
        <v>4510</v>
      </c>
      <c r="H15" s="11">
        <v>5093</v>
      </c>
      <c r="I15" s="11">
        <v>4643</v>
      </c>
    </row>
    <row r="16" spans="1:9" x14ac:dyDescent="0.25">
      <c r="A16" s="11" t="s">
        <v>15</v>
      </c>
      <c r="B16" s="10" t="s">
        <v>0</v>
      </c>
      <c r="C16" s="11">
        <v>16758</v>
      </c>
      <c r="D16" s="11">
        <v>27042</v>
      </c>
      <c r="E16" s="11">
        <v>26307</v>
      </c>
      <c r="F16" s="11">
        <v>23266</v>
      </c>
      <c r="G16" s="11">
        <v>24145</v>
      </c>
      <c r="H16" s="11">
        <v>24359</v>
      </c>
      <c r="I16" s="11">
        <v>18542</v>
      </c>
    </row>
    <row r="17" spans="1:9" x14ac:dyDescent="0.25">
      <c r="A17" s="11" t="s">
        <v>16</v>
      </c>
      <c r="B17" s="10" t="s">
        <v>0</v>
      </c>
      <c r="C17" s="11">
        <v>316</v>
      </c>
      <c r="D17" s="11">
        <v>622</v>
      </c>
      <c r="E17" s="11">
        <v>612</v>
      </c>
      <c r="F17" s="11">
        <v>574</v>
      </c>
      <c r="G17" s="11">
        <v>744</v>
      </c>
      <c r="H17" s="11">
        <v>1161</v>
      </c>
      <c r="I17" s="11">
        <v>1037</v>
      </c>
    </row>
    <row r="18" spans="1:9" x14ac:dyDescent="0.25">
      <c r="A18" s="11" t="s">
        <v>17</v>
      </c>
      <c r="B18" s="10" t="s">
        <v>0</v>
      </c>
      <c r="C18" s="11">
        <v>698</v>
      </c>
      <c r="D18" s="11">
        <v>1364</v>
      </c>
      <c r="E18" s="11">
        <v>1471</v>
      </c>
      <c r="F18" s="11">
        <v>1528</v>
      </c>
      <c r="G18" s="11">
        <v>1978</v>
      </c>
      <c r="H18" s="11">
        <v>2581</v>
      </c>
      <c r="I18" s="11">
        <v>2457</v>
      </c>
    </row>
    <row r="19" spans="1:9" x14ac:dyDescent="0.25">
      <c r="A19" s="11" t="s">
        <v>18</v>
      </c>
      <c r="B19" s="10" t="s">
        <v>0</v>
      </c>
      <c r="C19" s="11">
        <v>382</v>
      </c>
      <c r="D19" s="11">
        <v>843</v>
      </c>
      <c r="E19" s="11">
        <v>773</v>
      </c>
      <c r="F19" s="11">
        <v>754</v>
      </c>
      <c r="G19" s="11">
        <v>908</v>
      </c>
      <c r="H19" s="11">
        <v>1297</v>
      </c>
      <c r="I19" s="11">
        <v>1104</v>
      </c>
    </row>
    <row r="20" spans="1:9" x14ac:dyDescent="0.25">
      <c r="A20" s="11" t="s">
        <v>19</v>
      </c>
      <c r="B20" s="10" t="s">
        <v>0</v>
      </c>
      <c r="C20" s="11">
        <v>1244</v>
      </c>
      <c r="D20" s="11">
        <v>1717</v>
      </c>
      <c r="E20" s="11">
        <v>1676</v>
      </c>
      <c r="F20" s="11">
        <v>1469</v>
      </c>
      <c r="G20" s="11">
        <v>1635</v>
      </c>
      <c r="H20" s="11">
        <v>2179</v>
      </c>
      <c r="I20" s="11">
        <v>1901</v>
      </c>
    </row>
    <row r="21" spans="1:9" x14ac:dyDescent="0.25">
      <c r="A21" s="11" t="s">
        <v>20</v>
      </c>
      <c r="B21" s="10" t="s">
        <v>0</v>
      </c>
      <c r="C21" s="11">
        <v>1071</v>
      </c>
      <c r="D21" s="11">
        <v>1804</v>
      </c>
      <c r="E21" s="11">
        <v>1776</v>
      </c>
      <c r="F21" s="11">
        <v>1727</v>
      </c>
      <c r="G21" s="11">
        <v>2183</v>
      </c>
      <c r="H21" s="11">
        <v>3052</v>
      </c>
      <c r="I21" s="11">
        <v>2848</v>
      </c>
    </row>
    <row r="22" spans="1:9" x14ac:dyDescent="0.25">
      <c r="A22" s="11" t="s">
        <v>21</v>
      </c>
      <c r="B22" s="10" t="s">
        <v>0</v>
      </c>
      <c r="C22" s="11">
        <v>6241</v>
      </c>
      <c r="D22" s="11">
        <v>10211</v>
      </c>
      <c r="E22" s="11">
        <v>10847</v>
      </c>
      <c r="F22" s="11">
        <v>8602</v>
      </c>
      <c r="G22" s="11">
        <v>8019</v>
      </c>
      <c r="H22" s="11">
        <v>9057</v>
      </c>
      <c r="I22" s="11">
        <v>8237</v>
      </c>
    </row>
    <row r="23" spans="1:9" x14ac:dyDescent="0.25">
      <c r="A23" s="11" t="s">
        <v>22</v>
      </c>
      <c r="B23" s="10" t="s">
        <v>0</v>
      </c>
      <c r="C23" s="11">
        <v>7174</v>
      </c>
      <c r="D23" s="11">
        <v>15448</v>
      </c>
      <c r="E23" s="11">
        <v>15111</v>
      </c>
      <c r="F23" s="11">
        <v>12766</v>
      </c>
      <c r="G23" s="11">
        <v>13039</v>
      </c>
      <c r="H23" s="11">
        <v>13075</v>
      </c>
      <c r="I23" s="11">
        <v>9013</v>
      </c>
    </row>
    <row r="24" spans="1:9" x14ac:dyDescent="0.25">
      <c r="A24" s="11" t="s">
        <v>23</v>
      </c>
      <c r="B24" s="10" t="s">
        <v>0</v>
      </c>
      <c r="C24" s="11">
        <v>19337</v>
      </c>
      <c r="D24" s="11">
        <v>35013</v>
      </c>
      <c r="E24" s="11">
        <v>38630</v>
      </c>
      <c r="F24" s="11">
        <v>30483</v>
      </c>
      <c r="G24" s="11">
        <v>29489</v>
      </c>
      <c r="H24" s="11">
        <v>28984</v>
      </c>
      <c r="I24" s="11">
        <v>20524</v>
      </c>
    </row>
    <row r="25" spans="1:9" x14ac:dyDescent="0.25">
      <c r="A25" s="11" t="s">
        <v>24</v>
      </c>
      <c r="B25" s="10" t="s">
        <v>0</v>
      </c>
      <c r="C25" s="11">
        <v>323</v>
      </c>
      <c r="D25" s="11">
        <v>602</v>
      </c>
      <c r="E25" s="11">
        <v>658</v>
      </c>
      <c r="F25" s="11">
        <v>647</v>
      </c>
      <c r="G25" s="11">
        <v>1033</v>
      </c>
      <c r="H25" s="11">
        <v>1328</v>
      </c>
      <c r="I25" s="11">
        <v>1226</v>
      </c>
    </row>
    <row r="26" spans="1:9" x14ac:dyDescent="0.25">
      <c r="A26" s="11" t="s">
        <v>25</v>
      </c>
      <c r="B26" s="10" t="s">
        <v>0</v>
      </c>
      <c r="C26" s="11">
        <v>5542</v>
      </c>
      <c r="D26" s="11">
        <v>11282</v>
      </c>
      <c r="E26" s="11">
        <v>11154</v>
      </c>
      <c r="F26" s="11">
        <v>10150</v>
      </c>
      <c r="G26" s="11">
        <v>11787</v>
      </c>
      <c r="H26" s="11">
        <v>14902</v>
      </c>
      <c r="I26" s="11">
        <v>11740</v>
      </c>
    </row>
    <row r="27" spans="1:9" x14ac:dyDescent="0.25">
      <c r="A27" s="11" t="s">
        <v>26</v>
      </c>
      <c r="B27" s="10" t="s">
        <v>0</v>
      </c>
      <c r="C27" s="11">
        <v>1356</v>
      </c>
      <c r="D27" s="11">
        <v>2939</v>
      </c>
      <c r="E27" s="11">
        <v>3517</v>
      </c>
      <c r="F27" s="11">
        <v>3834</v>
      </c>
      <c r="G27" s="11">
        <v>5102</v>
      </c>
      <c r="H27" s="11">
        <v>6902</v>
      </c>
      <c r="I27" s="11">
        <v>5966</v>
      </c>
    </row>
    <row r="28" spans="1:9" x14ac:dyDescent="0.25">
      <c r="A28" s="11" t="s">
        <v>27</v>
      </c>
      <c r="B28" s="10" t="s">
        <v>0</v>
      </c>
      <c r="C28" s="11">
        <v>16</v>
      </c>
      <c r="D28" s="11">
        <v>47</v>
      </c>
      <c r="E28" s="11">
        <v>53</v>
      </c>
      <c r="F28" s="11">
        <v>69</v>
      </c>
      <c r="G28" s="11">
        <v>146</v>
      </c>
      <c r="H28" s="11">
        <v>242</v>
      </c>
      <c r="I28" s="11">
        <v>200</v>
      </c>
    </row>
    <row r="29" spans="1:9" x14ac:dyDescent="0.25">
      <c r="A29" s="11" t="s">
        <v>28</v>
      </c>
      <c r="B29" s="10" t="s">
        <v>0</v>
      </c>
      <c r="C29" s="11">
        <v>2025</v>
      </c>
      <c r="D29" s="11">
        <v>3653</v>
      </c>
      <c r="E29" s="11">
        <v>3439</v>
      </c>
      <c r="F29" s="11">
        <v>3090</v>
      </c>
      <c r="G29" s="11">
        <v>3251</v>
      </c>
      <c r="H29" s="11">
        <v>3961</v>
      </c>
      <c r="I29" s="11">
        <v>4002</v>
      </c>
    </row>
    <row r="30" spans="1:9" x14ac:dyDescent="0.25">
      <c r="A30" s="11" t="s">
        <v>29</v>
      </c>
      <c r="B30" s="10" t="s">
        <v>0</v>
      </c>
      <c r="C30" s="11">
        <v>78</v>
      </c>
      <c r="D30" s="11">
        <v>140</v>
      </c>
      <c r="E30" s="11">
        <v>159</v>
      </c>
      <c r="F30" s="11">
        <v>181</v>
      </c>
      <c r="G30" s="11">
        <v>243</v>
      </c>
      <c r="H30" s="11">
        <v>291</v>
      </c>
      <c r="I30" s="11">
        <v>383</v>
      </c>
    </row>
    <row r="31" spans="1:9" x14ac:dyDescent="0.25">
      <c r="A31" s="11" t="s">
        <v>30</v>
      </c>
      <c r="B31" s="10" t="s">
        <v>0</v>
      </c>
      <c r="C31" s="11">
        <v>292</v>
      </c>
      <c r="D31" s="11">
        <v>678</v>
      </c>
      <c r="E31" s="11">
        <v>827</v>
      </c>
      <c r="F31" s="11">
        <v>954</v>
      </c>
      <c r="G31" s="11">
        <v>1297</v>
      </c>
      <c r="H31" s="11">
        <v>1832</v>
      </c>
      <c r="I31" s="11">
        <v>1531</v>
      </c>
    </row>
    <row r="32" spans="1:9" x14ac:dyDescent="0.25">
      <c r="A32" s="11" t="s">
        <v>31</v>
      </c>
      <c r="B32" s="10" t="s">
        <v>0</v>
      </c>
      <c r="C32" s="11">
        <v>617</v>
      </c>
      <c r="D32" s="11">
        <v>835</v>
      </c>
      <c r="E32" s="11">
        <v>616</v>
      </c>
      <c r="F32" s="11">
        <v>708</v>
      </c>
      <c r="G32" s="11">
        <v>869</v>
      </c>
      <c r="H32" s="11">
        <v>1222</v>
      </c>
      <c r="I32" s="11">
        <v>1171</v>
      </c>
    </row>
    <row r="33" spans="1:9" x14ac:dyDescent="0.25">
      <c r="A33" s="11" t="s">
        <v>32</v>
      </c>
      <c r="B33" s="10" t="s">
        <v>0</v>
      </c>
      <c r="C33" s="11">
        <v>1331</v>
      </c>
      <c r="D33" s="11">
        <v>1815</v>
      </c>
      <c r="E33" s="11">
        <v>1543</v>
      </c>
      <c r="F33" s="11">
        <v>1514</v>
      </c>
      <c r="G33" s="11">
        <v>2117</v>
      </c>
      <c r="H33" s="11">
        <v>3039</v>
      </c>
      <c r="I33" s="11">
        <v>2635</v>
      </c>
    </row>
    <row r="34" spans="1:9" x14ac:dyDescent="0.25">
      <c r="A34" s="11" t="s">
        <v>33</v>
      </c>
      <c r="B34" s="10" t="s">
        <v>0</v>
      </c>
      <c r="C34" s="11">
        <v>356</v>
      </c>
      <c r="D34" s="11">
        <v>614</v>
      </c>
      <c r="E34" s="11">
        <v>659</v>
      </c>
      <c r="F34" s="11">
        <v>664</v>
      </c>
      <c r="G34" s="11">
        <v>803</v>
      </c>
      <c r="H34" s="11">
        <v>1270</v>
      </c>
      <c r="I34" s="11">
        <v>1066</v>
      </c>
    </row>
    <row r="35" spans="1:9" x14ac:dyDescent="0.25">
      <c r="A35" s="11" t="s">
        <v>34</v>
      </c>
      <c r="B35" s="10" t="s">
        <v>0</v>
      </c>
      <c r="C35" s="11">
        <v>141</v>
      </c>
      <c r="D35" s="11">
        <v>241</v>
      </c>
      <c r="E35" s="11">
        <v>299</v>
      </c>
      <c r="F35" s="11">
        <v>315</v>
      </c>
      <c r="G35" s="11">
        <v>417</v>
      </c>
      <c r="H35" s="11">
        <v>604</v>
      </c>
      <c r="I35" s="11">
        <v>532</v>
      </c>
    </row>
    <row r="36" spans="1:9" x14ac:dyDescent="0.25">
      <c r="A36" s="11" t="s">
        <v>35</v>
      </c>
      <c r="B36" s="10" t="s">
        <v>0</v>
      </c>
      <c r="C36" s="11">
        <v>5113</v>
      </c>
      <c r="D36" s="11">
        <v>10480</v>
      </c>
      <c r="E36" s="11">
        <v>11671</v>
      </c>
      <c r="F36" s="11">
        <v>10221</v>
      </c>
      <c r="G36" s="11">
        <v>12572</v>
      </c>
      <c r="H36" s="11">
        <v>14102</v>
      </c>
      <c r="I36" s="11">
        <v>12112</v>
      </c>
    </row>
    <row r="37" spans="1:9" x14ac:dyDescent="0.25">
      <c r="A37" s="11" t="s">
        <v>36</v>
      </c>
      <c r="B37" s="10" t="s">
        <v>0</v>
      </c>
      <c r="C37" s="11">
        <v>9815</v>
      </c>
      <c r="D37" s="11">
        <v>19852</v>
      </c>
      <c r="E37" s="11">
        <v>19559</v>
      </c>
      <c r="F37" s="11">
        <v>15161</v>
      </c>
      <c r="G37" s="11">
        <v>15271</v>
      </c>
      <c r="H37" s="11">
        <v>17353</v>
      </c>
      <c r="I37" s="11">
        <v>15201</v>
      </c>
    </row>
    <row r="38" spans="1:9" x14ac:dyDescent="0.25">
      <c r="A38" s="11" t="s">
        <v>37</v>
      </c>
      <c r="B38" s="10" t="s">
        <v>0</v>
      </c>
      <c r="C38" s="11">
        <v>1181</v>
      </c>
      <c r="D38" s="11">
        <v>2385</v>
      </c>
      <c r="E38" s="11">
        <v>2465</v>
      </c>
      <c r="F38" s="11">
        <v>2470</v>
      </c>
      <c r="G38" s="11">
        <v>3278</v>
      </c>
      <c r="H38" s="11">
        <v>4226</v>
      </c>
      <c r="I38" s="11">
        <v>3704</v>
      </c>
    </row>
    <row r="39" spans="1:9" x14ac:dyDescent="0.25">
      <c r="A39" s="11" t="s">
        <v>38</v>
      </c>
      <c r="B39" s="10" t="s">
        <v>0</v>
      </c>
      <c r="C39" s="11">
        <v>2044</v>
      </c>
      <c r="D39" s="11">
        <v>3717</v>
      </c>
      <c r="E39" s="11">
        <v>4026</v>
      </c>
      <c r="F39" s="11">
        <v>3649</v>
      </c>
      <c r="G39" s="11">
        <v>3842</v>
      </c>
      <c r="H39" s="11">
        <v>4230</v>
      </c>
      <c r="I39" s="11">
        <v>3816</v>
      </c>
    </row>
    <row r="40" spans="1:9" x14ac:dyDescent="0.25">
      <c r="A40" s="11" t="s">
        <v>39</v>
      </c>
      <c r="B40" s="10" t="s">
        <v>0</v>
      </c>
      <c r="C40" s="11">
        <v>9135</v>
      </c>
      <c r="D40" s="11">
        <v>18163</v>
      </c>
      <c r="E40" s="11">
        <v>18540</v>
      </c>
      <c r="F40" s="11">
        <v>16654</v>
      </c>
      <c r="G40" s="11">
        <v>17101</v>
      </c>
      <c r="H40" s="11">
        <v>17387</v>
      </c>
      <c r="I40" s="11">
        <v>13965</v>
      </c>
    </row>
    <row r="41" spans="1:9" x14ac:dyDescent="0.25">
      <c r="A41" s="11" t="s">
        <v>40</v>
      </c>
      <c r="B41" s="10" t="s">
        <v>0</v>
      </c>
      <c r="C41" s="11">
        <v>5720</v>
      </c>
      <c r="D41" s="11">
        <v>11952</v>
      </c>
      <c r="E41" s="11">
        <v>12973</v>
      </c>
      <c r="F41" s="11">
        <v>11860</v>
      </c>
      <c r="G41" s="11">
        <v>13758</v>
      </c>
      <c r="H41" s="11">
        <v>15081</v>
      </c>
      <c r="I41" s="11">
        <v>12767</v>
      </c>
    </row>
    <row r="42" spans="1:9" x14ac:dyDescent="0.25">
      <c r="A42" s="11" t="s">
        <v>41</v>
      </c>
      <c r="B42" s="10" t="s">
        <v>0</v>
      </c>
      <c r="C42" s="11">
        <v>1390</v>
      </c>
      <c r="D42" s="11">
        <v>2885</v>
      </c>
      <c r="E42" s="11">
        <v>2824</v>
      </c>
      <c r="F42" s="11">
        <v>2333</v>
      </c>
      <c r="G42" s="11">
        <v>2602</v>
      </c>
      <c r="H42" s="11">
        <v>3387</v>
      </c>
      <c r="I42" s="11">
        <v>2724</v>
      </c>
    </row>
    <row r="43" spans="1:9" x14ac:dyDescent="0.25">
      <c r="A43" s="11" t="s">
        <v>42</v>
      </c>
      <c r="B43" s="10" t="s">
        <v>0</v>
      </c>
      <c r="C43" s="11">
        <v>376</v>
      </c>
      <c r="D43" s="11">
        <v>721</v>
      </c>
      <c r="E43" s="11">
        <v>693</v>
      </c>
      <c r="F43" s="11">
        <v>642</v>
      </c>
      <c r="G43" s="11">
        <v>785</v>
      </c>
      <c r="H43" s="11">
        <v>1122</v>
      </c>
      <c r="I43" s="11">
        <v>947</v>
      </c>
    </row>
    <row r="44" spans="1:9" x14ac:dyDescent="0.25">
      <c r="A44" s="11" t="s">
        <v>43</v>
      </c>
      <c r="B44" s="10" t="s">
        <v>0</v>
      </c>
      <c r="C44" s="11">
        <v>1383</v>
      </c>
      <c r="D44" s="11">
        <v>2677</v>
      </c>
      <c r="E44" s="11">
        <v>2948</v>
      </c>
      <c r="F44" s="11">
        <v>2785</v>
      </c>
      <c r="G44" s="11">
        <v>3714</v>
      </c>
      <c r="H44" s="11">
        <v>5257</v>
      </c>
      <c r="I44" s="11">
        <v>4414</v>
      </c>
    </row>
    <row r="45" spans="1:9" x14ac:dyDescent="0.25">
      <c r="A45" s="11" t="s">
        <v>44</v>
      </c>
      <c r="B45" s="10" t="s">
        <v>0</v>
      </c>
      <c r="C45" s="11">
        <v>322</v>
      </c>
      <c r="D45" s="11">
        <v>688</v>
      </c>
      <c r="E45" s="11">
        <v>752</v>
      </c>
      <c r="F45" s="11">
        <v>693</v>
      </c>
      <c r="G45" s="11">
        <v>797</v>
      </c>
      <c r="H45" s="11">
        <v>1020</v>
      </c>
      <c r="I45" s="11">
        <v>1094</v>
      </c>
    </row>
    <row r="46" spans="1:9" x14ac:dyDescent="0.25">
      <c r="A46" s="11" t="s">
        <v>45</v>
      </c>
      <c r="B46" s="10" t="s">
        <v>0</v>
      </c>
      <c r="C46" s="11">
        <v>4102</v>
      </c>
      <c r="D46" s="11">
        <v>7308</v>
      </c>
      <c r="E46" s="11">
        <v>6700</v>
      </c>
      <c r="F46" s="11">
        <v>6906</v>
      </c>
      <c r="G46" s="11">
        <v>9135</v>
      </c>
      <c r="H46" s="11">
        <v>8692</v>
      </c>
      <c r="I46" s="11">
        <v>5474</v>
      </c>
    </row>
    <row r="47" spans="1:9" x14ac:dyDescent="0.25">
      <c r="A47" s="11" t="s">
        <v>46</v>
      </c>
      <c r="B47" s="10" t="s">
        <v>0</v>
      </c>
      <c r="C47" s="11">
        <v>26858</v>
      </c>
      <c r="D47" s="11">
        <v>49001</v>
      </c>
      <c r="E47" s="11">
        <v>53861</v>
      </c>
      <c r="F47" s="11">
        <v>45357</v>
      </c>
      <c r="G47" s="11">
        <v>44814</v>
      </c>
      <c r="H47" s="11">
        <v>46271</v>
      </c>
      <c r="I47" s="11">
        <v>38371</v>
      </c>
    </row>
    <row r="48" spans="1:9" x14ac:dyDescent="0.25">
      <c r="A48" s="11" t="s">
        <v>47</v>
      </c>
      <c r="B48" s="10" t="s">
        <v>0</v>
      </c>
      <c r="C48" s="11">
        <v>239</v>
      </c>
      <c r="D48" s="11">
        <v>573</v>
      </c>
      <c r="E48" s="11">
        <v>624</v>
      </c>
      <c r="F48" s="11">
        <v>433</v>
      </c>
      <c r="G48" s="11">
        <v>519</v>
      </c>
      <c r="H48" s="11">
        <v>709</v>
      </c>
      <c r="I48" s="11">
        <v>650</v>
      </c>
    </row>
    <row r="49" spans="1:9" x14ac:dyDescent="0.25">
      <c r="A49" s="11" t="s">
        <v>48</v>
      </c>
      <c r="B49" s="10" t="s">
        <v>0</v>
      </c>
      <c r="C49" s="11">
        <v>9922</v>
      </c>
      <c r="D49" s="11">
        <v>15017</v>
      </c>
      <c r="E49" s="11">
        <v>14291</v>
      </c>
      <c r="F49" s="11">
        <v>12897</v>
      </c>
      <c r="G49" s="11">
        <v>14347</v>
      </c>
      <c r="H49" s="11">
        <v>15764</v>
      </c>
      <c r="I49" s="11">
        <v>13363</v>
      </c>
    </row>
    <row r="50" spans="1:9" x14ac:dyDescent="0.25">
      <c r="A50" s="11" t="s">
        <v>49</v>
      </c>
      <c r="B50" s="10" t="s">
        <v>0</v>
      </c>
      <c r="C50" s="11">
        <v>871</v>
      </c>
      <c r="D50" s="11">
        <v>1886</v>
      </c>
      <c r="E50" s="11">
        <v>2194</v>
      </c>
      <c r="F50" s="11">
        <v>2072</v>
      </c>
      <c r="G50" s="11">
        <v>2377</v>
      </c>
      <c r="H50" s="11">
        <v>3196</v>
      </c>
      <c r="I50" s="11">
        <v>2726</v>
      </c>
    </row>
    <row r="51" spans="1:9" x14ac:dyDescent="0.25">
      <c r="A51" s="11" t="s">
        <v>50</v>
      </c>
      <c r="B51" s="10" t="s">
        <v>0</v>
      </c>
      <c r="C51" s="11">
        <v>458</v>
      </c>
      <c r="D51" s="11">
        <v>806</v>
      </c>
      <c r="E51" s="11">
        <v>901</v>
      </c>
      <c r="F51" s="11">
        <v>814</v>
      </c>
      <c r="G51" s="11">
        <v>963</v>
      </c>
      <c r="H51" s="11">
        <v>1117</v>
      </c>
      <c r="I51" s="11">
        <v>932</v>
      </c>
    </row>
    <row r="52" spans="1:9" x14ac:dyDescent="0.25">
      <c r="A52" s="11" t="s">
        <v>51</v>
      </c>
      <c r="B52" s="10" t="s">
        <v>0</v>
      </c>
      <c r="C52" s="11">
        <v>61452</v>
      </c>
      <c r="D52" s="11">
        <v>176754</v>
      </c>
      <c r="E52" s="11">
        <v>154781</v>
      </c>
      <c r="F52" s="11">
        <v>102478</v>
      </c>
      <c r="G52" s="11">
        <v>109342</v>
      </c>
      <c r="H52" s="11">
        <v>98533</v>
      </c>
      <c r="I52" s="11">
        <v>71020</v>
      </c>
    </row>
    <row r="53" spans="1:9" x14ac:dyDescent="0.25">
      <c r="A53" s="11" t="s">
        <v>52</v>
      </c>
      <c r="B53" s="10" t="s">
        <v>0</v>
      </c>
      <c r="C53" s="11">
        <v>964</v>
      </c>
      <c r="D53" s="11">
        <v>1772</v>
      </c>
      <c r="E53" s="11">
        <v>1715</v>
      </c>
      <c r="F53" s="11">
        <v>1762</v>
      </c>
      <c r="G53" s="11">
        <v>2488</v>
      </c>
      <c r="H53" s="11">
        <v>2805</v>
      </c>
      <c r="I53" s="11">
        <v>2038</v>
      </c>
    </row>
    <row r="54" spans="1:9" x14ac:dyDescent="0.25">
      <c r="A54" s="11" t="s">
        <v>53</v>
      </c>
      <c r="B54" s="10" t="s">
        <v>0</v>
      </c>
      <c r="C54" s="11">
        <v>105</v>
      </c>
      <c r="D54" s="11">
        <v>144</v>
      </c>
      <c r="E54" s="11">
        <v>205</v>
      </c>
      <c r="F54" s="11">
        <v>200</v>
      </c>
      <c r="G54" s="11">
        <v>289</v>
      </c>
      <c r="H54" s="11">
        <v>430</v>
      </c>
      <c r="I54" s="11">
        <v>368</v>
      </c>
    </row>
    <row r="55" spans="1:9" x14ac:dyDescent="0.25">
      <c r="A55" s="11" t="s">
        <v>54</v>
      </c>
      <c r="B55" s="10" t="s">
        <v>0</v>
      </c>
      <c r="C55" s="11">
        <v>1509</v>
      </c>
      <c r="D55" s="11">
        <v>3268</v>
      </c>
      <c r="E55" s="11">
        <v>3637</v>
      </c>
      <c r="F55" s="11">
        <v>3521</v>
      </c>
      <c r="G55" s="11">
        <v>4204</v>
      </c>
      <c r="H55" s="11">
        <v>5117</v>
      </c>
      <c r="I55" s="11">
        <v>4109</v>
      </c>
    </row>
    <row r="56" spans="1:9" x14ac:dyDescent="0.25">
      <c r="A56" s="11" t="s">
        <v>55</v>
      </c>
      <c r="B56" s="10" t="s">
        <v>0</v>
      </c>
      <c r="C56" s="11">
        <v>622</v>
      </c>
      <c r="D56" s="11">
        <v>697</v>
      </c>
      <c r="E56" s="11">
        <v>639</v>
      </c>
      <c r="F56" s="11">
        <v>582</v>
      </c>
      <c r="G56" s="11">
        <v>687</v>
      </c>
      <c r="H56" s="11">
        <v>858</v>
      </c>
      <c r="I56" s="11">
        <v>792</v>
      </c>
    </row>
    <row r="57" spans="1:9" x14ac:dyDescent="0.25">
      <c r="A57" s="11" t="s">
        <v>56</v>
      </c>
      <c r="B57" s="10" t="s">
        <v>0</v>
      </c>
      <c r="C57" s="11">
        <v>493</v>
      </c>
      <c r="D57" s="11">
        <v>1049</v>
      </c>
      <c r="E57" s="11">
        <v>1331</v>
      </c>
      <c r="F57" s="11">
        <v>1253</v>
      </c>
      <c r="G57" s="11">
        <v>1641</v>
      </c>
      <c r="H57" s="11">
        <v>2453</v>
      </c>
      <c r="I57" s="11">
        <v>2292</v>
      </c>
    </row>
    <row r="58" spans="1:9" x14ac:dyDescent="0.25">
      <c r="A58" s="11" t="s">
        <v>57</v>
      </c>
      <c r="B58" s="10" t="s">
        <v>0</v>
      </c>
      <c r="C58" s="11">
        <v>40</v>
      </c>
      <c r="D58" s="11">
        <v>83</v>
      </c>
      <c r="E58" s="11">
        <v>97</v>
      </c>
      <c r="F58" s="11">
        <v>101</v>
      </c>
      <c r="G58" s="11">
        <v>166</v>
      </c>
      <c r="H58" s="11">
        <v>306</v>
      </c>
      <c r="I58" s="11">
        <v>270</v>
      </c>
    </row>
    <row r="59" spans="1:9" x14ac:dyDescent="0.25">
      <c r="A59" s="11" t="s">
        <v>58</v>
      </c>
      <c r="B59" s="10" t="s">
        <v>0</v>
      </c>
      <c r="C59" s="11">
        <v>354</v>
      </c>
      <c r="D59" s="11">
        <v>716</v>
      </c>
      <c r="E59" s="11">
        <v>777</v>
      </c>
      <c r="F59" s="11">
        <v>748</v>
      </c>
      <c r="G59" s="11">
        <v>1057</v>
      </c>
      <c r="H59" s="11">
        <v>1381</v>
      </c>
      <c r="I59" s="11">
        <v>1224</v>
      </c>
    </row>
    <row r="60" spans="1:9" x14ac:dyDescent="0.25">
      <c r="A60" s="11" t="s">
        <v>59</v>
      </c>
      <c r="B60" s="10" t="s">
        <v>0</v>
      </c>
      <c r="C60" s="11">
        <v>395</v>
      </c>
      <c r="D60" s="11">
        <v>599</v>
      </c>
      <c r="E60" s="11">
        <v>630</v>
      </c>
      <c r="F60" s="11">
        <v>597</v>
      </c>
      <c r="G60" s="11">
        <v>740</v>
      </c>
      <c r="H60" s="11">
        <v>1031</v>
      </c>
      <c r="I60" s="11">
        <v>933</v>
      </c>
    </row>
    <row r="61" spans="1:9" x14ac:dyDescent="0.25">
      <c r="A61" s="11" t="s">
        <v>60</v>
      </c>
      <c r="B61" s="10" t="s">
        <v>0</v>
      </c>
      <c r="C61" s="11">
        <v>1481</v>
      </c>
      <c r="D61" s="11">
        <v>1373</v>
      </c>
      <c r="E61" s="11">
        <v>1008</v>
      </c>
      <c r="F61" s="11">
        <v>859</v>
      </c>
      <c r="G61" s="11">
        <v>896</v>
      </c>
      <c r="H61" s="11">
        <v>1070</v>
      </c>
      <c r="I61" s="11">
        <v>1077</v>
      </c>
    </row>
    <row r="62" spans="1:9" x14ac:dyDescent="0.25">
      <c r="A62" s="11" t="s">
        <v>61</v>
      </c>
      <c r="B62" s="10" t="s">
        <v>0</v>
      </c>
      <c r="C62" s="11">
        <v>487</v>
      </c>
      <c r="D62" s="11">
        <v>878</v>
      </c>
      <c r="E62" s="11">
        <v>1016</v>
      </c>
      <c r="F62" s="11">
        <v>950</v>
      </c>
      <c r="G62" s="11">
        <v>1210</v>
      </c>
      <c r="H62" s="11">
        <v>1948</v>
      </c>
      <c r="I62" s="11">
        <v>1563</v>
      </c>
    </row>
    <row r="63" spans="1:9" x14ac:dyDescent="0.25">
      <c r="A63" s="11" t="s">
        <v>62</v>
      </c>
      <c r="B63" s="10" t="s">
        <v>0</v>
      </c>
      <c r="C63" s="11">
        <v>376</v>
      </c>
      <c r="D63" s="11">
        <v>644</v>
      </c>
      <c r="E63" s="11">
        <v>767</v>
      </c>
      <c r="F63" s="11">
        <v>710</v>
      </c>
      <c r="G63" s="11">
        <v>1070</v>
      </c>
      <c r="H63" s="11">
        <v>1493</v>
      </c>
      <c r="I63" s="11">
        <v>1300</v>
      </c>
    </row>
    <row r="64" spans="1:9" x14ac:dyDescent="0.25">
      <c r="A64" s="11" t="s">
        <v>63</v>
      </c>
      <c r="B64" s="10" t="s">
        <v>0</v>
      </c>
      <c r="C64" s="11">
        <v>3103</v>
      </c>
      <c r="D64" s="11">
        <v>5896</v>
      </c>
      <c r="E64" s="11">
        <v>7070</v>
      </c>
      <c r="F64" s="11">
        <v>6597</v>
      </c>
      <c r="G64" s="11">
        <v>8621</v>
      </c>
      <c r="H64" s="11">
        <v>11540</v>
      </c>
      <c r="I64" s="11">
        <v>10056</v>
      </c>
    </row>
    <row r="65" spans="1:9" x14ac:dyDescent="0.25">
      <c r="A65" s="11" t="s">
        <v>64</v>
      </c>
      <c r="B65" s="10" t="s">
        <v>0</v>
      </c>
      <c r="C65" s="11">
        <v>491</v>
      </c>
      <c r="D65" s="11">
        <v>1000</v>
      </c>
      <c r="E65" s="11">
        <v>1190</v>
      </c>
      <c r="F65" s="11">
        <v>1085</v>
      </c>
      <c r="G65" s="11">
        <v>1434</v>
      </c>
      <c r="H65" s="11">
        <v>1910</v>
      </c>
      <c r="I65" s="11">
        <v>1557</v>
      </c>
    </row>
    <row r="66" spans="1:9" x14ac:dyDescent="0.25">
      <c r="A66" s="11" t="s">
        <v>65</v>
      </c>
      <c r="B66" s="10" t="s">
        <v>0</v>
      </c>
      <c r="C66" s="11">
        <v>5265</v>
      </c>
      <c r="D66" s="11">
        <v>9991</v>
      </c>
      <c r="E66" s="11">
        <v>11235</v>
      </c>
      <c r="F66" s="11">
        <v>10615</v>
      </c>
      <c r="G66" s="11">
        <v>13725</v>
      </c>
      <c r="H66" s="11">
        <v>18958</v>
      </c>
      <c r="I66" s="11">
        <v>17112</v>
      </c>
    </row>
    <row r="67" spans="1:9" x14ac:dyDescent="0.25">
      <c r="A67" s="11" t="s">
        <v>66</v>
      </c>
      <c r="B67" s="10" t="s">
        <v>0</v>
      </c>
      <c r="C67" s="11">
        <v>328</v>
      </c>
      <c r="D67" s="11">
        <v>615</v>
      </c>
      <c r="E67" s="11">
        <v>663</v>
      </c>
      <c r="F67" s="11">
        <v>609</v>
      </c>
      <c r="G67" s="11">
        <v>761</v>
      </c>
      <c r="H67" s="11">
        <v>980</v>
      </c>
      <c r="I67" s="11">
        <v>732</v>
      </c>
    </row>
    <row r="68" spans="1:9" ht="13.8" thickBot="1" x14ac:dyDescent="0.3">
      <c r="A68" s="13" t="s">
        <v>67</v>
      </c>
      <c r="B68" s="12" t="s">
        <v>0</v>
      </c>
      <c r="C68" s="11">
        <v>7995</v>
      </c>
      <c r="D68" s="11">
        <v>15106</v>
      </c>
      <c r="E68" s="11">
        <v>15766</v>
      </c>
      <c r="F68" s="11">
        <v>14113</v>
      </c>
      <c r="G68" s="11">
        <v>14446</v>
      </c>
      <c r="H68" s="11">
        <v>15519</v>
      </c>
      <c r="I68" s="11">
        <v>13026</v>
      </c>
    </row>
    <row r="69" spans="1:9" x14ac:dyDescent="0.25">
      <c r="A69" s="32" t="s">
        <v>68</v>
      </c>
      <c r="C69" s="14">
        <f>SUM(C2:C68)</f>
        <v>316773</v>
      </c>
      <c r="D69" s="14">
        <f>SUM(D2:D68)</f>
        <v>657132</v>
      </c>
      <c r="E69" s="14">
        <f t="shared" ref="E69:I69" si="0">SUM(E2:E68)</f>
        <v>645184</v>
      </c>
      <c r="F69" s="14">
        <f t="shared" si="0"/>
        <v>519443</v>
      </c>
      <c r="G69" s="14">
        <f t="shared" si="0"/>
        <v>568233</v>
      </c>
      <c r="H69" s="14">
        <f t="shared" si="0"/>
        <v>623753</v>
      </c>
      <c r="I69" s="14">
        <f t="shared" si="0"/>
        <v>503153</v>
      </c>
    </row>
    <row r="70" spans="1:9" x14ac:dyDescent="0.25">
      <c r="C70" s="17">
        <f>C69/$C$73</f>
        <v>8.262915623171628E-2</v>
      </c>
      <c r="D70" s="17">
        <f t="shared" ref="D70:I70" si="1">D69/$C$73</f>
        <v>0.17141064008883392</v>
      </c>
      <c r="E70" s="17">
        <f t="shared" si="1"/>
        <v>0.16829404505498777</v>
      </c>
      <c r="F70" s="17">
        <f t="shared" si="1"/>
        <v>0.13549493422883707</v>
      </c>
      <c r="G70" s="17">
        <f t="shared" si="1"/>
        <v>0.14822163925908091</v>
      </c>
      <c r="H70" s="17">
        <f t="shared" si="1"/>
        <v>0.16270384182680256</v>
      </c>
      <c r="I70" s="17">
        <f t="shared" si="1"/>
        <v>0.13124574330974151</v>
      </c>
    </row>
    <row r="73" spans="1:9" x14ac:dyDescent="0.25">
      <c r="A73" s="32" t="s">
        <v>80</v>
      </c>
      <c r="C73" s="16">
        <f>SUM(C69:I69)</f>
        <v>3833671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" sqref="K1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2833</v>
      </c>
      <c r="D2" s="52">
        <v>5245</v>
      </c>
      <c r="E2" s="52">
        <v>5998</v>
      </c>
      <c r="F2" s="52">
        <v>6033</v>
      </c>
      <c r="G2" s="52">
        <v>9141</v>
      </c>
      <c r="H2" s="52">
        <v>8465</v>
      </c>
      <c r="I2" s="52">
        <v>6252</v>
      </c>
      <c r="J2" s="10"/>
    </row>
    <row r="3" spans="1:10" x14ac:dyDescent="0.25">
      <c r="A3" s="11" t="s">
        <v>2</v>
      </c>
      <c r="B3" s="10" t="s">
        <v>70</v>
      </c>
      <c r="C3" s="52">
        <v>19131</v>
      </c>
      <c r="D3" s="52">
        <v>38757</v>
      </c>
      <c r="E3" s="52">
        <v>39157</v>
      </c>
      <c r="F3" s="52">
        <v>36770</v>
      </c>
      <c r="G3" s="52">
        <v>48225</v>
      </c>
      <c r="H3" s="52">
        <v>46588</v>
      </c>
      <c r="I3" s="52">
        <v>35134</v>
      </c>
    </row>
    <row r="4" spans="1:10" x14ac:dyDescent="0.25">
      <c r="A4" s="11" t="s">
        <v>3</v>
      </c>
      <c r="B4" s="10" t="s">
        <v>70</v>
      </c>
      <c r="C4" s="52">
        <v>1994</v>
      </c>
      <c r="D4" s="52">
        <v>3466</v>
      </c>
      <c r="E4" s="52">
        <v>3909</v>
      </c>
      <c r="F4" s="52">
        <v>4203</v>
      </c>
      <c r="G4" s="52">
        <v>5271</v>
      </c>
      <c r="H4" s="52">
        <v>5029</v>
      </c>
      <c r="I4" s="52">
        <v>3767</v>
      </c>
    </row>
    <row r="5" spans="1:10" x14ac:dyDescent="0.25">
      <c r="A5" s="11" t="s">
        <v>4</v>
      </c>
      <c r="B5" s="10" t="s">
        <v>70</v>
      </c>
      <c r="C5" s="52">
        <v>3510</v>
      </c>
      <c r="D5" s="52">
        <v>6737</v>
      </c>
      <c r="E5" s="52">
        <v>7907</v>
      </c>
      <c r="F5" s="52">
        <v>7714</v>
      </c>
      <c r="G5" s="52">
        <v>10064</v>
      </c>
      <c r="H5" s="52">
        <v>9394</v>
      </c>
      <c r="I5" s="52">
        <v>6612</v>
      </c>
    </row>
    <row r="6" spans="1:10" x14ac:dyDescent="0.25">
      <c r="A6" s="11" t="s">
        <v>5</v>
      </c>
      <c r="B6" s="10" t="s">
        <v>70</v>
      </c>
      <c r="C6" s="52">
        <v>1676</v>
      </c>
      <c r="D6" s="52">
        <v>3094</v>
      </c>
      <c r="E6" s="52">
        <v>3248</v>
      </c>
      <c r="F6" s="52">
        <v>3636</v>
      </c>
      <c r="G6" s="52">
        <v>4733</v>
      </c>
      <c r="H6" s="52">
        <v>4730</v>
      </c>
      <c r="I6" s="52">
        <v>3450</v>
      </c>
    </row>
    <row r="7" spans="1:10" x14ac:dyDescent="0.25">
      <c r="A7" s="11" t="s">
        <v>6</v>
      </c>
      <c r="B7" s="10" t="s">
        <v>70</v>
      </c>
      <c r="C7" s="52">
        <v>8211</v>
      </c>
      <c r="D7" s="52">
        <v>14654</v>
      </c>
      <c r="E7" s="52">
        <v>16818</v>
      </c>
      <c r="F7" s="52">
        <v>17536</v>
      </c>
      <c r="G7" s="52">
        <v>23983</v>
      </c>
      <c r="H7" s="52">
        <v>20689</v>
      </c>
      <c r="I7" s="52">
        <v>16251</v>
      </c>
    </row>
    <row r="8" spans="1:10" x14ac:dyDescent="0.25">
      <c r="A8" s="11" t="s">
        <v>7</v>
      </c>
      <c r="B8" s="10" t="s">
        <v>70</v>
      </c>
      <c r="C8" s="52">
        <v>3603</v>
      </c>
      <c r="D8" s="52">
        <v>5848</v>
      </c>
      <c r="E8" s="52">
        <v>6895</v>
      </c>
      <c r="F8" s="52">
        <v>7756</v>
      </c>
      <c r="G8" s="52">
        <v>9506</v>
      </c>
      <c r="H8" s="52">
        <v>9267</v>
      </c>
      <c r="I8" s="52">
        <v>7832</v>
      </c>
    </row>
    <row r="9" spans="1:10" x14ac:dyDescent="0.25">
      <c r="A9" s="11" t="s">
        <v>8</v>
      </c>
      <c r="B9" s="10" t="s">
        <v>70</v>
      </c>
      <c r="C9" s="52">
        <v>1856</v>
      </c>
      <c r="D9" s="52">
        <v>3150</v>
      </c>
      <c r="E9" s="52">
        <v>3610</v>
      </c>
      <c r="F9" s="52">
        <v>3666</v>
      </c>
      <c r="G9" s="52">
        <v>4977</v>
      </c>
      <c r="H9" s="52">
        <v>4613</v>
      </c>
      <c r="I9" s="52">
        <v>3750</v>
      </c>
    </row>
    <row r="10" spans="1:10" x14ac:dyDescent="0.25">
      <c r="A10" s="11" t="s">
        <v>9</v>
      </c>
      <c r="B10" s="10" t="s">
        <v>70</v>
      </c>
      <c r="C10" s="52">
        <v>14295</v>
      </c>
      <c r="D10" s="52">
        <v>24202</v>
      </c>
      <c r="E10" s="52">
        <v>26507</v>
      </c>
      <c r="F10" s="52">
        <v>28784</v>
      </c>
      <c r="G10" s="52">
        <v>42157</v>
      </c>
      <c r="H10" s="52">
        <v>37414</v>
      </c>
      <c r="I10" s="52">
        <v>29041</v>
      </c>
    </row>
    <row r="11" spans="1:10" x14ac:dyDescent="0.25">
      <c r="A11" s="11" t="s">
        <v>10</v>
      </c>
      <c r="B11" s="10" t="s">
        <v>70</v>
      </c>
      <c r="C11" s="52">
        <v>5954</v>
      </c>
      <c r="D11" s="52">
        <v>10848</v>
      </c>
      <c r="E11" s="52">
        <v>12173</v>
      </c>
      <c r="F11" s="52">
        <v>12302</v>
      </c>
      <c r="G11" s="52">
        <v>16394</v>
      </c>
      <c r="H11" s="52">
        <v>14556</v>
      </c>
      <c r="I11" s="52">
        <v>10629</v>
      </c>
    </row>
    <row r="12" spans="1:10" x14ac:dyDescent="0.25">
      <c r="A12" s="11" t="s">
        <v>11</v>
      </c>
      <c r="B12" s="10" t="s">
        <v>70</v>
      </c>
      <c r="C12" s="52">
        <v>3625</v>
      </c>
      <c r="D12" s="52">
        <v>5782</v>
      </c>
      <c r="E12" s="52">
        <v>6360</v>
      </c>
      <c r="F12" s="52">
        <v>7209</v>
      </c>
      <c r="G12" s="52">
        <v>8593</v>
      </c>
      <c r="H12" s="52">
        <v>8556</v>
      </c>
      <c r="I12" s="52">
        <v>6413</v>
      </c>
    </row>
    <row r="13" spans="1:10" x14ac:dyDescent="0.25">
      <c r="A13" s="11" t="s">
        <v>12</v>
      </c>
      <c r="B13" s="10" t="s">
        <v>70</v>
      </c>
      <c r="C13" s="52">
        <v>89</v>
      </c>
      <c r="D13" s="52">
        <v>158</v>
      </c>
      <c r="E13" s="52">
        <v>214</v>
      </c>
      <c r="F13" s="52">
        <v>235</v>
      </c>
      <c r="G13" s="52">
        <v>377</v>
      </c>
      <c r="H13" s="52">
        <v>416</v>
      </c>
      <c r="I13" s="52">
        <v>349</v>
      </c>
    </row>
    <row r="14" spans="1:10" x14ac:dyDescent="0.25">
      <c r="A14" s="11" t="s">
        <v>13</v>
      </c>
      <c r="B14" s="10" t="s">
        <v>70</v>
      </c>
      <c r="C14" s="52">
        <v>1549</v>
      </c>
      <c r="D14" s="52">
        <v>2839</v>
      </c>
      <c r="E14" s="52">
        <v>3306</v>
      </c>
      <c r="F14" s="52">
        <v>3662</v>
      </c>
      <c r="G14" s="52">
        <v>5011</v>
      </c>
      <c r="H14" s="52">
        <v>4451</v>
      </c>
      <c r="I14" s="52">
        <v>3033</v>
      </c>
    </row>
    <row r="15" spans="1:10" x14ac:dyDescent="0.25">
      <c r="A15" s="11" t="s">
        <v>14</v>
      </c>
      <c r="B15" s="10" t="s">
        <v>70</v>
      </c>
      <c r="C15" s="52">
        <v>5579</v>
      </c>
      <c r="D15" s="52">
        <v>5812</v>
      </c>
      <c r="E15" s="52">
        <v>5238</v>
      </c>
      <c r="F15" s="52">
        <v>5289</v>
      </c>
      <c r="G15" s="52">
        <v>7440</v>
      </c>
      <c r="H15" s="52">
        <v>6851</v>
      </c>
      <c r="I15" s="52">
        <v>5681</v>
      </c>
    </row>
    <row r="16" spans="1:10" x14ac:dyDescent="0.25">
      <c r="A16" s="11" t="s">
        <v>15</v>
      </c>
      <c r="B16" s="10" t="s">
        <v>70</v>
      </c>
      <c r="C16" s="52">
        <v>11089</v>
      </c>
      <c r="D16" s="52">
        <v>18981</v>
      </c>
      <c r="E16" s="52">
        <v>19636</v>
      </c>
      <c r="F16" s="52">
        <v>21826</v>
      </c>
      <c r="G16" s="52">
        <v>31352</v>
      </c>
      <c r="H16" s="52">
        <v>27124</v>
      </c>
      <c r="I16" s="52">
        <v>22130</v>
      </c>
    </row>
    <row r="17" spans="1:9" x14ac:dyDescent="0.25">
      <c r="A17" s="11" t="s">
        <v>16</v>
      </c>
      <c r="B17" s="10" t="s">
        <v>70</v>
      </c>
      <c r="C17" s="52">
        <v>1121</v>
      </c>
      <c r="D17" s="52">
        <v>1902</v>
      </c>
      <c r="E17" s="52">
        <v>2120</v>
      </c>
      <c r="F17" s="52">
        <v>2368</v>
      </c>
      <c r="G17" s="52">
        <v>3104</v>
      </c>
      <c r="H17" s="52">
        <v>2798</v>
      </c>
      <c r="I17" s="52">
        <v>2153</v>
      </c>
    </row>
    <row r="18" spans="1:9" x14ac:dyDescent="0.25">
      <c r="A18" s="11" t="s">
        <v>17</v>
      </c>
      <c r="B18" s="10" t="s">
        <v>70</v>
      </c>
      <c r="C18" s="52">
        <v>2069</v>
      </c>
      <c r="D18" s="52">
        <v>3910</v>
      </c>
      <c r="E18" s="52">
        <v>4380</v>
      </c>
      <c r="F18" s="52">
        <v>4957</v>
      </c>
      <c r="G18" s="52">
        <v>6311</v>
      </c>
      <c r="H18" s="52">
        <v>5701</v>
      </c>
      <c r="I18" s="52">
        <v>4140</v>
      </c>
    </row>
    <row r="19" spans="1:9" x14ac:dyDescent="0.25">
      <c r="A19" s="11" t="s">
        <v>18</v>
      </c>
      <c r="B19" s="10" t="s">
        <v>70</v>
      </c>
      <c r="C19" s="52">
        <v>994</v>
      </c>
      <c r="D19" s="52">
        <v>1739</v>
      </c>
      <c r="E19" s="52">
        <v>1857</v>
      </c>
      <c r="F19" s="52">
        <v>2108</v>
      </c>
      <c r="G19" s="52">
        <v>2520</v>
      </c>
      <c r="H19" s="52">
        <v>2331</v>
      </c>
      <c r="I19" s="52">
        <v>1771</v>
      </c>
    </row>
    <row r="20" spans="1:9" x14ac:dyDescent="0.25">
      <c r="A20" s="11" t="s">
        <v>19</v>
      </c>
      <c r="B20" s="10" t="s">
        <v>70</v>
      </c>
      <c r="C20" s="52">
        <v>1739</v>
      </c>
      <c r="D20" s="52">
        <v>2864</v>
      </c>
      <c r="E20" s="52">
        <v>3021</v>
      </c>
      <c r="F20" s="52">
        <v>3361</v>
      </c>
      <c r="G20" s="52">
        <v>4279</v>
      </c>
      <c r="H20" s="52">
        <v>4061</v>
      </c>
      <c r="I20" s="52">
        <v>3134</v>
      </c>
    </row>
    <row r="21" spans="1:9" x14ac:dyDescent="0.25">
      <c r="A21" s="11" t="s">
        <v>20</v>
      </c>
      <c r="B21" s="10" t="s">
        <v>70</v>
      </c>
      <c r="C21" s="52">
        <v>2180</v>
      </c>
      <c r="D21" s="52">
        <v>3778</v>
      </c>
      <c r="E21" s="52">
        <v>4333</v>
      </c>
      <c r="F21" s="52">
        <v>4630</v>
      </c>
      <c r="G21" s="52">
        <v>6206</v>
      </c>
      <c r="H21" s="52">
        <v>5958</v>
      </c>
      <c r="I21" s="52">
        <v>4770</v>
      </c>
    </row>
    <row r="22" spans="1:9" x14ac:dyDescent="0.25">
      <c r="A22" s="11" t="s">
        <v>21</v>
      </c>
      <c r="B22" s="10" t="s">
        <v>70</v>
      </c>
      <c r="C22" s="52">
        <v>5920</v>
      </c>
      <c r="D22" s="52">
        <v>10948</v>
      </c>
      <c r="E22" s="52">
        <v>12427</v>
      </c>
      <c r="F22" s="52">
        <v>12884</v>
      </c>
      <c r="G22" s="52">
        <v>16870</v>
      </c>
      <c r="H22" s="52">
        <v>15678</v>
      </c>
      <c r="I22" s="52">
        <v>13719</v>
      </c>
    </row>
    <row r="23" spans="1:9" x14ac:dyDescent="0.25">
      <c r="A23" s="11" t="s">
        <v>22</v>
      </c>
      <c r="B23" s="10" t="s">
        <v>70</v>
      </c>
      <c r="C23" s="52">
        <v>4913</v>
      </c>
      <c r="D23" s="52">
        <v>9851</v>
      </c>
      <c r="E23" s="52">
        <v>10879</v>
      </c>
      <c r="F23" s="52">
        <v>11102</v>
      </c>
      <c r="G23" s="52">
        <v>14834</v>
      </c>
      <c r="H23" s="52">
        <v>13978</v>
      </c>
      <c r="I23" s="52">
        <v>10706</v>
      </c>
    </row>
    <row r="24" spans="1:9" x14ac:dyDescent="0.25">
      <c r="A24" s="11" t="s">
        <v>23</v>
      </c>
      <c r="B24" s="10" t="s">
        <v>70</v>
      </c>
      <c r="C24" s="52">
        <v>9722</v>
      </c>
      <c r="D24" s="52">
        <v>17761</v>
      </c>
      <c r="E24" s="52">
        <v>19806</v>
      </c>
      <c r="F24" s="52">
        <v>19762</v>
      </c>
      <c r="G24" s="52">
        <v>28225</v>
      </c>
      <c r="H24" s="52">
        <v>27012</v>
      </c>
      <c r="I24" s="52">
        <v>21231</v>
      </c>
    </row>
    <row r="25" spans="1:9" x14ac:dyDescent="0.25">
      <c r="A25" s="11" t="s">
        <v>24</v>
      </c>
      <c r="B25" s="10" t="s">
        <v>70</v>
      </c>
      <c r="C25" s="52">
        <v>844</v>
      </c>
      <c r="D25" s="52">
        <v>1486</v>
      </c>
      <c r="E25" s="52">
        <v>1639</v>
      </c>
      <c r="F25" s="52">
        <v>1756</v>
      </c>
      <c r="G25" s="52">
        <v>2520</v>
      </c>
      <c r="H25" s="52">
        <v>2292</v>
      </c>
      <c r="I25" s="52">
        <v>1586</v>
      </c>
    </row>
    <row r="26" spans="1:9" x14ac:dyDescent="0.25">
      <c r="A26" s="11" t="s">
        <v>25</v>
      </c>
      <c r="B26" s="10" t="s">
        <v>70</v>
      </c>
      <c r="C26" s="52">
        <v>5494</v>
      </c>
      <c r="D26" s="52">
        <v>9438</v>
      </c>
      <c r="E26" s="52">
        <v>10263</v>
      </c>
      <c r="F26" s="52">
        <v>10836</v>
      </c>
      <c r="G26" s="52">
        <v>13811</v>
      </c>
      <c r="H26" s="52">
        <v>12081</v>
      </c>
      <c r="I26" s="52">
        <v>9076</v>
      </c>
    </row>
    <row r="27" spans="1:9" x14ac:dyDescent="0.25">
      <c r="A27" s="11" t="s">
        <v>26</v>
      </c>
      <c r="B27" s="10" t="s">
        <v>70</v>
      </c>
      <c r="C27" s="52">
        <v>2862</v>
      </c>
      <c r="D27" s="52">
        <v>5842</v>
      </c>
      <c r="E27" s="52">
        <v>6206</v>
      </c>
      <c r="F27" s="52">
        <v>6765</v>
      </c>
      <c r="G27" s="52">
        <v>7930</v>
      </c>
      <c r="H27" s="52">
        <v>6904</v>
      </c>
      <c r="I27" s="52">
        <v>4777</v>
      </c>
    </row>
    <row r="28" spans="1:9" x14ac:dyDescent="0.25">
      <c r="A28" s="11" t="s">
        <v>27</v>
      </c>
      <c r="B28" s="10" t="s">
        <v>70</v>
      </c>
      <c r="C28" s="52">
        <v>104</v>
      </c>
      <c r="D28" s="52">
        <v>137</v>
      </c>
      <c r="E28" s="52">
        <v>194</v>
      </c>
      <c r="F28" s="52">
        <v>278</v>
      </c>
      <c r="G28" s="52">
        <v>439</v>
      </c>
      <c r="H28" s="52">
        <v>498</v>
      </c>
      <c r="I28" s="52">
        <v>382</v>
      </c>
    </row>
    <row r="29" spans="1:9" x14ac:dyDescent="0.25">
      <c r="A29" s="11" t="s">
        <v>28</v>
      </c>
      <c r="B29" s="10" t="s">
        <v>70</v>
      </c>
      <c r="C29" s="52">
        <v>4296</v>
      </c>
      <c r="D29" s="52">
        <v>8112</v>
      </c>
      <c r="E29" s="52">
        <v>9068</v>
      </c>
      <c r="F29" s="52">
        <v>9867</v>
      </c>
      <c r="G29" s="52">
        <v>12494</v>
      </c>
      <c r="H29" s="52">
        <v>11135</v>
      </c>
      <c r="I29" s="52">
        <v>9443</v>
      </c>
    </row>
    <row r="30" spans="1:9" x14ac:dyDescent="0.25">
      <c r="A30" s="11" t="s">
        <v>29</v>
      </c>
      <c r="B30" s="10" t="s">
        <v>70</v>
      </c>
      <c r="C30" s="52">
        <v>539</v>
      </c>
      <c r="D30" s="52">
        <v>994</v>
      </c>
      <c r="E30" s="52">
        <v>1005</v>
      </c>
      <c r="F30" s="52">
        <v>1157</v>
      </c>
      <c r="G30" s="52">
        <v>1473</v>
      </c>
      <c r="H30" s="52">
        <v>1332</v>
      </c>
      <c r="I30" s="52">
        <v>984</v>
      </c>
    </row>
    <row r="31" spans="1:9" x14ac:dyDescent="0.25">
      <c r="A31" s="11" t="s">
        <v>30</v>
      </c>
      <c r="B31" s="10" t="s">
        <v>70</v>
      </c>
      <c r="C31" s="52">
        <v>997</v>
      </c>
      <c r="D31" s="52">
        <v>1754</v>
      </c>
      <c r="E31" s="52">
        <v>1768</v>
      </c>
      <c r="F31" s="52">
        <v>2073</v>
      </c>
      <c r="G31" s="52">
        <v>2228</v>
      </c>
      <c r="H31" s="52">
        <v>1941</v>
      </c>
      <c r="I31" s="52">
        <v>1355</v>
      </c>
    </row>
    <row r="32" spans="1:9" x14ac:dyDescent="0.25">
      <c r="A32" s="11" t="s">
        <v>31</v>
      </c>
      <c r="B32" s="10" t="s">
        <v>70</v>
      </c>
      <c r="C32" s="52">
        <v>1390</v>
      </c>
      <c r="D32" s="52">
        <v>2301</v>
      </c>
      <c r="E32" s="52">
        <v>2492</v>
      </c>
      <c r="F32" s="52">
        <v>2785</v>
      </c>
      <c r="G32" s="52">
        <v>3691</v>
      </c>
      <c r="H32" s="52">
        <v>3493</v>
      </c>
      <c r="I32" s="52">
        <v>2783</v>
      </c>
    </row>
    <row r="33" spans="1:9" x14ac:dyDescent="0.25">
      <c r="A33" s="11" t="s">
        <v>32</v>
      </c>
      <c r="B33" s="10" t="s">
        <v>70</v>
      </c>
      <c r="C33" s="52">
        <v>2472</v>
      </c>
      <c r="D33" s="52">
        <v>3572</v>
      </c>
      <c r="E33" s="52">
        <v>3970</v>
      </c>
      <c r="F33" s="52">
        <v>4417</v>
      </c>
      <c r="G33" s="52">
        <v>5390</v>
      </c>
      <c r="H33" s="52">
        <v>5209</v>
      </c>
      <c r="I33" s="52">
        <v>3874</v>
      </c>
    </row>
    <row r="34" spans="1:9" x14ac:dyDescent="0.25">
      <c r="A34" s="11" t="s">
        <v>33</v>
      </c>
      <c r="B34" s="10" t="s">
        <v>70</v>
      </c>
      <c r="C34" s="52">
        <v>1380</v>
      </c>
      <c r="D34" s="52">
        <v>2363</v>
      </c>
      <c r="E34" s="52">
        <v>2830</v>
      </c>
      <c r="F34" s="52">
        <v>2863</v>
      </c>
      <c r="G34" s="52">
        <v>3712</v>
      </c>
      <c r="H34" s="52">
        <v>3607</v>
      </c>
      <c r="I34" s="52">
        <v>2701</v>
      </c>
    </row>
    <row r="35" spans="1:9" x14ac:dyDescent="0.25">
      <c r="A35" s="11" t="s">
        <v>34</v>
      </c>
      <c r="B35" s="10" t="s">
        <v>70</v>
      </c>
      <c r="C35" s="52">
        <v>687</v>
      </c>
      <c r="D35" s="52">
        <v>1265</v>
      </c>
      <c r="E35" s="52">
        <v>1378</v>
      </c>
      <c r="F35" s="52">
        <v>1511</v>
      </c>
      <c r="G35" s="52">
        <v>1981</v>
      </c>
      <c r="H35" s="52">
        <v>1787</v>
      </c>
      <c r="I35" s="52">
        <v>1427</v>
      </c>
    </row>
    <row r="36" spans="1:9" x14ac:dyDescent="0.25">
      <c r="A36" s="11" t="s">
        <v>35</v>
      </c>
      <c r="B36" s="10" t="s">
        <v>70</v>
      </c>
      <c r="C36" s="52">
        <v>4284</v>
      </c>
      <c r="D36" s="52">
        <v>7246</v>
      </c>
      <c r="E36" s="52">
        <v>7814</v>
      </c>
      <c r="F36" s="52">
        <v>8226</v>
      </c>
      <c r="G36" s="52">
        <v>10020</v>
      </c>
      <c r="H36" s="52">
        <v>8257</v>
      </c>
      <c r="I36" s="52">
        <v>6434</v>
      </c>
    </row>
    <row r="37" spans="1:9" x14ac:dyDescent="0.25">
      <c r="A37" s="11" t="s">
        <v>36</v>
      </c>
      <c r="B37" s="10" t="s">
        <v>70</v>
      </c>
      <c r="C37" s="52">
        <v>13159</v>
      </c>
      <c r="D37" s="52">
        <v>24465</v>
      </c>
      <c r="E37" s="52">
        <v>26203</v>
      </c>
      <c r="F37" s="52">
        <v>25330</v>
      </c>
      <c r="G37" s="52">
        <v>32947</v>
      </c>
      <c r="H37" s="52">
        <v>32693</v>
      </c>
      <c r="I37" s="52">
        <v>29059</v>
      </c>
    </row>
    <row r="38" spans="1:9" x14ac:dyDescent="0.25">
      <c r="A38" s="11" t="s">
        <v>37</v>
      </c>
      <c r="B38" s="10" t="s">
        <v>70</v>
      </c>
      <c r="C38" s="52">
        <v>2406</v>
      </c>
      <c r="D38" s="52">
        <v>3839</v>
      </c>
      <c r="E38" s="52">
        <v>4273</v>
      </c>
      <c r="F38" s="52">
        <v>4599</v>
      </c>
      <c r="G38" s="52">
        <v>5552</v>
      </c>
      <c r="H38" s="52">
        <v>5358</v>
      </c>
      <c r="I38" s="52">
        <v>4138</v>
      </c>
    </row>
    <row r="39" spans="1:9" x14ac:dyDescent="0.25">
      <c r="A39" s="11" t="s">
        <v>38</v>
      </c>
      <c r="B39" s="10" t="s">
        <v>70</v>
      </c>
      <c r="C39" s="52">
        <v>3466</v>
      </c>
      <c r="D39" s="52">
        <v>6208</v>
      </c>
      <c r="E39" s="52">
        <v>7125</v>
      </c>
      <c r="F39" s="52">
        <v>7799</v>
      </c>
      <c r="G39" s="52">
        <v>9898</v>
      </c>
      <c r="H39" s="52">
        <v>9709</v>
      </c>
      <c r="I39" s="52">
        <v>8440</v>
      </c>
    </row>
    <row r="40" spans="1:9" x14ac:dyDescent="0.25">
      <c r="A40" s="11" t="s">
        <v>39</v>
      </c>
      <c r="B40" s="10" t="s">
        <v>70</v>
      </c>
      <c r="C40" s="52">
        <v>6029</v>
      </c>
      <c r="D40" s="52">
        <v>11558</v>
      </c>
      <c r="E40" s="52">
        <v>12613</v>
      </c>
      <c r="F40" s="52">
        <v>13252</v>
      </c>
      <c r="G40" s="52">
        <v>17457</v>
      </c>
      <c r="H40" s="52">
        <v>15969</v>
      </c>
      <c r="I40" s="52">
        <v>12871</v>
      </c>
    </row>
    <row r="41" spans="1:9" x14ac:dyDescent="0.25">
      <c r="A41" s="11" t="s">
        <v>40</v>
      </c>
      <c r="B41" s="10" t="s">
        <v>70</v>
      </c>
      <c r="C41" s="52">
        <v>6008</v>
      </c>
      <c r="D41" s="52">
        <v>11305</v>
      </c>
      <c r="E41" s="52">
        <v>13124</v>
      </c>
      <c r="F41" s="52">
        <v>13984</v>
      </c>
      <c r="G41" s="52">
        <v>18422</v>
      </c>
      <c r="H41" s="52">
        <v>15595</v>
      </c>
      <c r="I41" s="52">
        <v>12766</v>
      </c>
    </row>
    <row r="42" spans="1:9" x14ac:dyDescent="0.25">
      <c r="A42" s="11" t="s">
        <v>41</v>
      </c>
      <c r="B42" s="10" t="s">
        <v>70</v>
      </c>
      <c r="C42" s="52">
        <v>2914</v>
      </c>
      <c r="D42" s="52">
        <v>4943</v>
      </c>
      <c r="E42" s="52">
        <v>6324</v>
      </c>
      <c r="F42" s="52">
        <v>6366</v>
      </c>
      <c r="G42" s="52">
        <v>8242</v>
      </c>
      <c r="H42" s="52">
        <v>8477</v>
      </c>
      <c r="I42" s="52">
        <v>6611</v>
      </c>
    </row>
    <row r="43" spans="1:9" x14ac:dyDescent="0.25">
      <c r="A43" s="11" t="s">
        <v>42</v>
      </c>
      <c r="B43" s="10" t="s">
        <v>70</v>
      </c>
      <c r="C43" s="52">
        <v>1064</v>
      </c>
      <c r="D43" s="52">
        <v>1857</v>
      </c>
      <c r="E43" s="52">
        <v>2185</v>
      </c>
      <c r="F43" s="52">
        <v>2441</v>
      </c>
      <c r="G43" s="52">
        <v>3209</v>
      </c>
      <c r="H43" s="52">
        <v>3084</v>
      </c>
      <c r="I43" s="52">
        <v>2329</v>
      </c>
    </row>
    <row r="44" spans="1:9" x14ac:dyDescent="0.25">
      <c r="A44" s="11" t="s">
        <v>43</v>
      </c>
      <c r="B44" s="10" t="s">
        <v>70</v>
      </c>
      <c r="C44" s="52">
        <v>2987</v>
      </c>
      <c r="D44" s="52">
        <v>5008</v>
      </c>
      <c r="E44" s="52">
        <v>4997</v>
      </c>
      <c r="F44" s="52">
        <v>5505</v>
      </c>
      <c r="G44" s="52">
        <v>7204</v>
      </c>
      <c r="H44" s="52">
        <v>6980</v>
      </c>
      <c r="I44" s="52">
        <v>5640</v>
      </c>
    </row>
    <row r="45" spans="1:9" x14ac:dyDescent="0.25">
      <c r="A45" s="11" t="s">
        <v>44</v>
      </c>
      <c r="B45" s="10" t="s">
        <v>70</v>
      </c>
      <c r="C45" s="52">
        <v>1153</v>
      </c>
      <c r="D45" s="52">
        <v>2351</v>
      </c>
      <c r="E45" s="52">
        <v>2479</v>
      </c>
      <c r="F45" s="52">
        <v>2691</v>
      </c>
      <c r="G45" s="52">
        <v>3738</v>
      </c>
      <c r="H45" s="52">
        <v>3384</v>
      </c>
      <c r="I45" s="52">
        <v>2838</v>
      </c>
    </row>
    <row r="46" spans="1:9" x14ac:dyDescent="0.25">
      <c r="A46" s="11" t="s">
        <v>45</v>
      </c>
      <c r="B46" s="10" t="s">
        <v>70</v>
      </c>
      <c r="C46" s="52">
        <v>2586</v>
      </c>
      <c r="D46" s="52">
        <v>5175</v>
      </c>
      <c r="E46" s="52">
        <v>6151</v>
      </c>
      <c r="F46" s="52">
        <v>6460</v>
      </c>
      <c r="G46" s="52">
        <v>9389</v>
      </c>
      <c r="H46" s="52">
        <v>8292</v>
      </c>
      <c r="I46" s="52">
        <v>5153</v>
      </c>
    </row>
    <row r="47" spans="1:9" x14ac:dyDescent="0.25">
      <c r="A47" s="11" t="s">
        <v>46</v>
      </c>
      <c r="B47" s="10" t="s">
        <v>70</v>
      </c>
      <c r="C47" s="52">
        <v>14344</v>
      </c>
      <c r="D47" s="52">
        <v>26041</v>
      </c>
      <c r="E47" s="52">
        <v>28137</v>
      </c>
      <c r="F47" s="52">
        <v>29309</v>
      </c>
      <c r="G47" s="52">
        <v>41424</v>
      </c>
      <c r="H47" s="52">
        <v>37521</v>
      </c>
      <c r="I47" s="52">
        <v>31420</v>
      </c>
    </row>
    <row r="48" spans="1:9" x14ac:dyDescent="0.25">
      <c r="A48" s="11" t="s">
        <v>47</v>
      </c>
      <c r="B48" s="10" t="s">
        <v>70</v>
      </c>
      <c r="C48" s="52">
        <v>416</v>
      </c>
      <c r="D48" s="52">
        <v>806</v>
      </c>
      <c r="E48" s="52">
        <v>934</v>
      </c>
      <c r="F48" s="52">
        <v>877</v>
      </c>
      <c r="G48" s="52">
        <v>1234</v>
      </c>
      <c r="H48" s="52">
        <v>1229</v>
      </c>
      <c r="I48" s="52">
        <v>1062</v>
      </c>
    </row>
    <row r="49" spans="1:9" x14ac:dyDescent="0.25">
      <c r="A49" s="11" t="s">
        <v>48</v>
      </c>
      <c r="B49" s="10" t="s">
        <v>70</v>
      </c>
      <c r="C49" s="52">
        <v>6238</v>
      </c>
      <c r="D49" s="52">
        <v>11272</v>
      </c>
      <c r="E49" s="52">
        <v>11828</v>
      </c>
      <c r="F49" s="52">
        <v>12521</v>
      </c>
      <c r="G49" s="52">
        <v>17469</v>
      </c>
      <c r="H49" s="52">
        <v>15406</v>
      </c>
      <c r="I49" s="52">
        <v>12191</v>
      </c>
    </row>
    <row r="50" spans="1:9" x14ac:dyDescent="0.25">
      <c r="A50" s="11" t="s">
        <v>49</v>
      </c>
      <c r="B50" s="10" t="s">
        <v>70</v>
      </c>
      <c r="C50" s="52">
        <v>2020</v>
      </c>
      <c r="D50" s="52">
        <v>3652</v>
      </c>
      <c r="E50" s="52">
        <v>4619</v>
      </c>
      <c r="F50" s="52">
        <v>4821</v>
      </c>
      <c r="G50" s="52">
        <v>6219</v>
      </c>
      <c r="H50" s="52">
        <v>5944</v>
      </c>
      <c r="I50" s="52">
        <v>4676</v>
      </c>
    </row>
    <row r="51" spans="1:9" x14ac:dyDescent="0.25">
      <c r="A51" s="11" t="s">
        <v>50</v>
      </c>
      <c r="B51" s="10" t="s">
        <v>70</v>
      </c>
      <c r="C51" s="52">
        <v>1437</v>
      </c>
      <c r="D51" s="52">
        <v>2639</v>
      </c>
      <c r="E51" s="52">
        <v>3037</v>
      </c>
      <c r="F51" s="52">
        <v>3264</v>
      </c>
      <c r="G51" s="52">
        <v>4269</v>
      </c>
      <c r="H51" s="52">
        <v>3776</v>
      </c>
      <c r="I51" s="52">
        <v>2573</v>
      </c>
    </row>
    <row r="52" spans="1:9" x14ac:dyDescent="0.25">
      <c r="A52" s="11" t="s">
        <v>51</v>
      </c>
      <c r="B52" s="10" t="s">
        <v>70</v>
      </c>
      <c r="C52" s="52">
        <v>10156</v>
      </c>
      <c r="D52" s="52">
        <v>25950</v>
      </c>
      <c r="E52" s="52">
        <v>23603</v>
      </c>
      <c r="F52" s="52">
        <v>18689</v>
      </c>
      <c r="G52" s="52">
        <v>20736</v>
      </c>
      <c r="H52" s="52">
        <v>18049</v>
      </c>
      <c r="I52" s="52">
        <v>14245</v>
      </c>
    </row>
    <row r="53" spans="1:9" x14ac:dyDescent="0.25">
      <c r="A53" s="11" t="s">
        <v>52</v>
      </c>
      <c r="B53" s="10" t="s">
        <v>70</v>
      </c>
      <c r="C53" s="52">
        <v>1255</v>
      </c>
      <c r="D53" s="52">
        <v>2423</v>
      </c>
      <c r="E53" s="52">
        <v>2965</v>
      </c>
      <c r="F53" s="52">
        <v>3245</v>
      </c>
      <c r="G53" s="52">
        <v>5226</v>
      </c>
      <c r="H53" s="52">
        <v>4637</v>
      </c>
      <c r="I53" s="52">
        <v>3198</v>
      </c>
    </row>
    <row r="54" spans="1:9" x14ac:dyDescent="0.25">
      <c r="A54" s="11" t="s">
        <v>53</v>
      </c>
      <c r="B54" s="10" t="s">
        <v>70</v>
      </c>
      <c r="C54" s="52">
        <v>519</v>
      </c>
      <c r="D54" s="52">
        <v>929</v>
      </c>
      <c r="E54" s="52">
        <v>1048</v>
      </c>
      <c r="F54" s="52">
        <v>1075</v>
      </c>
      <c r="G54" s="52">
        <v>1566</v>
      </c>
      <c r="H54" s="52">
        <v>1605</v>
      </c>
      <c r="I54" s="52">
        <v>1295</v>
      </c>
    </row>
    <row r="55" spans="1:9" x14ac:dyDescent="0.25">
      <c r="A55" s="11" t="s">
        <v>54</v>
      </c>
      <c r="B55" s="10" t="s">
        <v>70</v>
      </c>
      <c r="C55" s="52">
        <v>3717</v>
      </c>
      <c r="D55" s="52">
        <v>6295</v>
      </c>
      <c r="E55" s="52">
        <v>7369</v>
      </c>
      <c r="F55" s="52">
        <v>8393</v>
      </c>
      <c r="G55" s="52">
        <v>10554</v>
      </c>
      <c r="H55" s="52">
        <v>9594</v>
      </c>
      <c r="I55" s="52">
        <v>7264</v>
      </c>
    </row>
    <row r="56" spans="1:9" x14ac:dyDescent="0.25">
      <c r="A56" s="11" t="s">
        <v>55</v>
      </c>
      <c r="B56" s="10" t="s">
        <v>70</v>
      </c>
      <c r="C56" s="52">
        <v>1244</v>
      </c>
      <c r="D56" s="52">
        <v>1868</v>
      </c>
      <c r="E56" s="52">
        <v>2237</v>
      </c>
      <c r="F56" s="52">
        <v>2374</v>
      </c>
      <c r="G56" s="52">
        <v>3044</v>
      </c>
      <c r="H56" s="52">
        <v>2825</v>
      </c>
      <c r="I56" s="52">
        <v>2368</v>
      </c>
    </row>
    <row r="57" spans="1:9" x14ac:dyDescent="0.25">
      <c r="A57" s="11" t="s">
        <v>56</v>
      </c>
      <c r="B57" s="10" t="s">
        <v>70</v>
      </c>
      <c r="C57" s="52">
        <v>2316</v>
      </c>
      <c r="D57" s="52">
        <v>3939</v>
      </c>
      <c r="E57" s="52">
        <v>4379</v>
      </c>
      <c r="F57" s="52">
        <v>4916</v>
      </c>
      <c r="G57" s="52">
        <v>6282</v>
      </c>
      <c r="H57" s="52">
        <v>6299</v>
      </c>
      <c r="I57" s="52">
        <v>4718</v>
      </c>
    </row>
    <row r="58" spans="1:9" x14ac:dyDescent="0.25">
      <c r="A58" s="11" t="s">
        <v>57</v>
      </c>
      <c r="B58" s="10" t="s">
        <v>70</v>
      </c>
      <c r="C58" s="52">
        <v>155</v>
      </c>
      <c r="D58" s="52">
        <v>266</v>
      </c>
      <c r="E58" s="52">
        <v>359</v>
      </c>
      <c r="F58" s="52">
        <v>376</v>
      </c>
      <c r="G58" s="52">
        <v>564</v>
      </c>
      <c r="H58" s="52">
        <v>658</v>
      </c>
      <c r="I58" s="52">
        <v>467</v>
      </c>
    </row>
    <row r="59" spans="1:9" x14ac:dyDescent="0.25">
      <c r="A59" s="11" t="s">
        <v>58</v>
      </c>
      <c r="B59" s="10" t="s">
        <v>70</v>
      </c>
      <c r="C59" s="52">
        <v>1159</v>
      </c>
      <c r="D59" s="52">
        <v>2162</v>
      </c>
      <c r="E59" s="52">
        <v>2398</v>
      </c>
      <c r="F59" s="52">
        <v>2386</v>
      </c>
      <c r="G59" s="52">
        <v>3475</v>
      </c>
      <c r="H59" s="52">
        <v>3351</v>
      </c>
      <c r="I59" s="52">
        <v>2637</v>
      </c>
    </row>
    <row r="60" spans="1:9" x14ac:dyDescent="0.25">
      <c r="A60" s="11" t="s">
        <v>59</v>
      </c>
      <c r="B60" s="10" t="s">
        <v>70</v>
      </c>
      <c r="C60" s="52">
        <v>1113</v>
      </c>
      <c r="D60" s="52">
        <v>1972</v>
      </c>
      <c r="E60" s="52">
        <v>2453</v>
      </c>
      <c r="F60" s="52">
        <v>2548</v>
      </c>
      <c r="G60" s="52">
        <v>3492</v>
      </c>
      <c r="H60" s="52">
        <v>3589</v>
      </c>
      <c r="I60" s="52">
        <v>2946</v>
      </c>
    </row>
    <row r="61" spans="1:9" x14ac:dyDescent="0.25">
      <c r="A61" s="11" t="s">
        <v>60</v>
      </c>
      <c r="B61" s="10" t="s">
        <v>70</v>
      </c>
      <c r="C61" s="52">
        <v>1367</v>
      </c>
      <c r="D61" s="52">
        <v>1758</v>
      </c>
      <c r="E61" s="52">
        <v>1912</v>
      </c>
      <c r="F61" s="52">
        <v>1980</v>
      </c>
      <c r="G61" s="52">
        <v>2639</v>
      </c>
      <c r="H61" s="52">
        <v>2410</v>
      </c>
      <c r="I61" s="52">
        <v>2344</v>
      </c>
    </row>
    <row r="62" spans="1:9" x14ac:dyDescent="0.25">
      <c r="A62" s="11" t="s">
        <v>61</v>
      </c>
      <c r="B62" s="10" t="s">
        <v>70</v>
      </c>
      <c r="C62" s="52">
        <v>1256</v>
      </c>
      <c r="D62" s="52">
        <v>2226</v>
      </c>
      <c r="E62" s="52">
        <v>2716</v>
      </c>
      <c r="F62" s="52">
        <v>3048</v>
      </c>
      <c r="G62" s="52">
        <v>3892</v>
      </c>
      <c r="H62" s="52">
        <v>4032</v>
      </c>
      <c r="I62" s="52">
        <v>3004</v>
      </c>
    </row>
    <row r="63" spans="1:9" x14ac:dyDescent="0.25">
      <c r="A63" s="11" t="s">
        <v>62</v>
      </c>
      <c r="B63" s="10" t="s">
        <v>70</v>
      </c>
      <c r="C63" s="52">
        <v>1001</v>
      </c>
      <c r="D63" s="52">
        <v>1730</v>
      </c>
      <c r="E63" s="52">
        <v>2066</v>
      </c>
      <c r="F63" s="52">
        <v>2173</v>
      </c>
      <c r="G63" s="52">
        <v>3085</v>
      </c>
      <c r="H63" s="52">
        <v>3030</v>
      </c>
      <c r="I63" s="52">
        <v>2178</v>
      </c>
    </row>
    <row r="64" spans="1:9" x14ac:dyDescent="0.25">
      <c r="A64" s="11" t="s">
        <v>63</v>
      </c>
      <c r="B64" s="10" t="s">
        <v>70</v>
      </c>
      <c r="C64" s="52">
        <v>5407</v>
      </c>
      <c r="D64" s="52">
        <v>9723</v>
      </c>
      <c r="E64" s="52">
        <v>11133</v>
      </c>
      <c r="F64" s="52">
        <v>11584</v>
      </c>
      <c r="G64" s="52">
        <v>13867</v>
      </c>
      <c r="H64" s="52">
        <v>12507</v>
      </c>
      <c r="I64" s="52">
        <v>8735</v>
      </c>
    </row>
    <row r="65" spans="1:9" x14ac:dyDescent="0.25">
      <c r="A65" s="11" t="s">
        <v>64</v>
      </c>
      <c r="B65" s="10" t="s">
        <v>70</v>
      </c>
      <c r="C65" s="52">
        <v>1314</v>
      </c>
      <c r="D65" s="52">
        <v>2492</v>
      </c>
      <c r="E65" s="52">
        <v>2773</v>
      </c>
      <c r="F65" s="52">
        <v>2901</v>
      </c>
      <c r="G65" s="52">
        <v>4517</v>
      </c>
      <c r="H65" s="52">
        <v>4369</v>
      </c>
      <c r="I65" s="52">
        <v>3329</v>
      </c>
    </row>
    <row r="66" spans="1:9" x14ac:dyDescent="0.25">
      <c r="A66" s="11" t="s">
        <v>65</v>
      </c>
      <c r="B66" s="10" t="s">
        <v>70</v>
      </c>
      <c r="C66" s="52">
        <v>9050</v>
      </c>
      <c r="D66" s="52">
        <v>16485</v>
      </c>
      <c r="E66" s="52">
        <v>18332</v>
      </c>
      <c r="F66" s="52">
        <v>19291</v>
      </c>
      <c r="G66" s="52">
        <v>25949</v>
      </c>
      <c r="H66" s="52">
        <v>23729</v>
      </c>
      <c r="I66" s="52">
        <v>18083</v>
      </c>
    </row>
    <row r="67" spans="1:9" x14ac:dyDescent="0.25">
      <c r="A67" s="11" t="s">
        <v>66</v>
      </c>
      <c r="B67" s="10" t="s">
        <v>70</v>
      </c>
      <c r="C67" s="52">
        <v>751</v>
      </c>
      <c r="D67" s="52">
        <v>1377</v>
      </c>
      <c r="E67" s="52">
        <v>1539</v>
      </c>
      <c r="F67" s="52">
        <v>1748</v>
      </c>
      <c r="G67" s="52">
        <v>2151</v>
      </c>
      <c r="H67" s="52">
        <v>2057</v>
      </c>
      <c r="I67" s="52">
        <v>1716</v>
      </c>
    </row>
    <row r="68" spans="1:9" ht="13.8" thickBot="1" x14ac:dyDescent="0.3">
      <c r="A68" s="13" t="s">
        <v>67</v>
      </c>
      <c r="B68" s="12" t="s">
        <v>70</v>
      </c>
      <c r="C68" s="52">
        <v>11321</v>
      </c>
      <c r="D68" s="52">
        <v>21483</v>
      </c>
      <c r="E68" s="52">
        <v>25198</v>
      </c>
      <c r="F68" s="52">
        <v>25553</v>
      </c>
      <c r="G68" s="52">
        <v>34423</v>
      </c>
      <c r="H68" s="52">
        <v>28846</v>
      </c>
      <c r="I68" s="52">
        <v>21509</v>
      </c>
    </row>
    <row r="69" spans="1:9" x14ac:dyDescent="0.25">
      <c r="A69" s="32" t="s">
        <v>68</v>
      </c>
      <c r="C69" s="14">
        <f>SUM(C2:C68)</f>
        <v>258329</v>
      </c>
      <c r="D69" s="14">
        <f t="shared" ref="D69:I69" si="0">SUM(D2:D68)</f>
        <v>471033</v>
      </c>
      <c r="E69" s="14">
        <f t="shared" si="0"/>
        <v>514935</v>
      </c>
      <c r="F69" s="14">
        <f t="shared" si="0"/>
        <v>531826</v>
      </c>
      <c r="G69" s="14">
        <f t="shared" si="0"/>
        <v>707397</v>
      </c>
      <c r="H69" s="14">
        <f t="shared" si="0"/>
        <v>649200</v>
      </c>
      <c r="I69" s="14">
        <f t="shared" si="0"/>
        <v>508573</v>
      </c>
    </row>
    <row r="70" spans="1:9" x14ac:dyDescent="0.25">
      <c r="C70" s="17">
        <f>C69/$C$72</f>
        <v>7.0944304674191286E-2</v>
      </c>
      <c r="D70" s="17">
        <f t="shared" ref="D70:I70" si="1">D69/$C$72</f>
        <v>0.12935871955374093</v>
      </c>
      <c r="E70" s="17">
        <f t="shared" si="1"/>
        <v>0.14141542578419258</v>
      </c>
      <c r="F70" s="17">
        <f t="shared" si="1"/>
        <v>0.14605416262849488</v>
      </c>
      <c r="G70" s="17">
        <f t="shared" si="1"/>
        <v>0.19427082632460502</v>
      </c>
      <c r="H70" s="17">
        <f t="shared" si="1"/>
        <v>0.1782883168149336</v>
      </c>
      <c r="I70" s="17">
        <f t="shared" si="1"/>
        <v>0.1396682442198417</v>
      </c>
    </row>
    <row r="72" spans="1:9" x14ac:dyDescent="0.25">
      <c r="A72" s="32" t="s">
        <v>80</v>
      </c>
      <c r="C72" s="16">
        <f>SUM(C69:I69)</f>
        <v>3641293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I20" sqref="I20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17721</v>
      </c>
      <c r="C3" s="70">
        <v>1385</v>
      </c>
      <c r="D3" s="69">
        <v>42096</v>
      </c>
      <c r="E3" s="70">
        <v>1871</v>
      </c>
      <c r="F3" s="72">
        <v>11949</v>
      </c>
      <c r="G3" s="74">
        <v>1214</v>
      </c>
    </row>
    <row r="4" spans="1:7" x14ac:dyDescent="0.25">
      <c r="A4" s="11" t="s">
        <v>2</v>
      </c>
      <c r="B4" s="69">
        <v>471028</v>
      </c>
      <c r="C4" s="70">
        <v>31289</v>
      </c>
      <c r="D4" s="69">
        <v>252749</v>
      </c>
      <c r="E4" s="70">
        <v>11013</v>
      </c>
      <c r="F4" s="72">
        <v>136034</v>
      </c>
      <c r="G4" s="75">
        <v>13024</v>
      </c>
    </row>
    <row r="5" spans="1:7" x14ac:dyDescent="0.25">
      <c r="A5" s="11" t="s">
        <v>3</v>
      </c>
      <c r="B5" s="69">
        <v>10283</v>
      </c>
      <c r="C5" s="70">
        <v>414</v>
      </c>
      <c r="D5" s="69">
        <v>27022</v>
      </c>
      <c r="E5" s="70">
        <v>617</v>
      </c>
      <c r="F5" s="72">
        <v>4971</v>
      </c>
      <c r="G5" s="75">
        <v>265</v>
      </c>
    </row>
    <row r="6" spans="1:7" x14ac:dyDescent="0.25">
      <c r="A6" s="11" t="s">
        <v>4</v>
      </c>
      <c r="B6" s="69">
        <v>43712</v>
      </c>
      <c r="C6" s="70">
        <v>2134</v>
      </c>
      <c r="D6" s="69">
        <v>50204</v>
      </c>
      <c r="E6" s="70">
        <v>1734</v>
      </c>
      <c r="F6" s="72">
        <v>15204</v>
      </c>
      <c r="G6" s="75">
        <v>1215</v>
      </c>
    </row>
    <row r="7" spans="1:7" x14ac:dyDescent="0.25">
      <c r="A7" s="11" t="s">
        <v>5</v>
      </c>
      <c r="B7" s="69">
        <v>5103</v>
      </c>
      <c r="C7" s="70">
        <v>179</v>
      </c>
      <c r="D7" s="69">
        <v>24153</v>
      </c>
      <c r="E7" s="70">
        <v>414</v>
      </c>
      <c r="F7" s="72">
        <v>3026</v>
      </c>
      <c r="G7" s="75">
        <v>146</v>
      </c>
    </row>
    <row r="8" spans="1:7" x14ac:dyDescent="0.25">
      <c r="A8" s="11" t="s">
        <v>6</v>
      </c>
      <c r="B8" s="69">
        <v>98316</v>
      </c>
      <c r="C8" s="70">
        <v>5867</v>
      </c>
      <c r="D8" s="69">
        <v>114657</v>
      </c>
      <c r="E8" s="70">
        <v>3485</v>
      </c>
      <c r="F8" s="72">
        <v>47552</v>
      </c>
      <c r="G8" s="75">
        <v>3497</v>
      </c>
    </row>
    <row r="9" spans="1:7" x14ac:dyDescent="0.25">
      <c r="A9" s="11" t="s">
        <v>7</v>
      </c>
      <c r="B9" s="69">
        <v>18367</v>
      </c>
      <c r="C9" s="70">
        <v>1378</v>
      </c>
      <c r="D9" s="69">
        <v>48816</v>
      </c>
      <c r="E9" s="70">
        <v>1891</v>
      </c>
      <c r="F9" s="72">
        <v>10013</v>
      </c>
      <c r="G9" s="75">
        <v>1049</v>
      </c>
    </row>
    <row r="10" spans="1:7" x14ac:dyDescent="0.25">
      <c r="A10" s="11" t="s">
        <v>8</v>
      </c>
      <c r="B10" s="69">
        <v>7339</v>
      </c>
      <c r="C10" s="70">
        <v>458</v>
      </c>
      <c r="D10" s="69">
        <v>24708</v>
      </c>
      <c r="E10" s="70">
        <v>914</v>
      </c>
      <c r="F10" s="72">
        <v>4962</v>
      </c>
      <c r="G10" s="75">
        <v>391</v>
      </c>
    </row>
    <row r="11" spans="1:7" x14ac:dyDescent="0.25">
      <c r="A11" s="11" t="s">
        <v>9</v>
      </c>
      <c r="B11" s="69">
        <v>180433</v>
      </c>
      <c r="C11" s="70">
        <v>13275</v>
      </c>
      <c r="D11" s="69">
        <v>192666</v>
      </c>
      <c r="E11" s="70">
        <v>9734</v>
      </c>
      <c r="F11" s="72">
        <v>79968</v>
      </c>
      <c r="G11" s="75">
        <v>7678</v>
      </c>
    </row>
    <row r="12" spans="1:7" x14ac:dyDescent="0.25">
      <c r="A12" s="11" t="s">
        <v>10</v>
      </c>
      <c r="B12" s="69">
        <v>37291</v>
      </c>
      <c r="C12" s="70">
        <v>1729</v>
      </c>
      <c r="D12" s="69">
        <v>80331</v>
      </c>
      <c r="E12" s="70">
        <v>2525</v>
      </c>
      <c r="F12" s="72">
        <v>19822</v>
      </c>
      <c r="G12" s="75">
        <v>1416</v>
      </c>
    </row>
    <row r="13" spans="1:7" x14ac:dyDescent="0.25">
      <c r="A13" s="11" t="s">
        <v>11</v>
      </c>
      <c r="B13" s="69">
        <v>28352</v>
      </c>
      <c r="C13" s="70">
        <v>1154</v>
      </c>
      <c r="D13" s="69">
        <v>45459</v>
      </c>
      <c r="E13" s="70">
        <v>1079</v>
      </c>
      <c r="F13" s="72">
        <v>9287</v>
      </c>
      <c r="G13" s="75">
        <v>610</v>
      </c>
    </row>
    <row r="14" spans="1:7" x14ac:dyDescent="0.25">
      <c r="A14" s="11" t="s">
        <v>12</v>
      </c>
      <c r="B14" s="69">
        <v>637</v>
      </c>
      <c r="C14" s="70">
        <v>28</v>
      </c>
      <c r="D14" s="69">
        <v>1785</v>
      </c>
      <c r="E14" s="70">
        <v>53</v>
      </c>
      <c r="F14" s="72">
        <v>352</v>
      </c>
      <c r="G14" s="75">
        <v>22</v>
      </c>
    </row>
    <row r="15" spans="1:7" x14ac:dyDescent="0.25">
      <c r="A15" s="11" t="s">
        <v>13</v>
      </c>
      <c r="B15" s="69">
        <v>13318</v>
      </c>
      <c r="C15" s="70">
        <v>745</v>
      </c>
      <c r="D15" s="69">
        <v>23005</v>
      </c>
      <c r="E15" s="70">
        <v>846</v>
      </c>
      <c r="F15" s="72">
        <v>7075</v>
      </c>
      <c r="G15" s="75">
        <v>563</v>
      </c>
    </row>
    <row r="16" spans="1:7" x14ac:dyDescent="0.25">
      <c r="A16" s="11" t="s">
        <v>14</v>
      </c>
      <c r="B16" s="69">
        <v>35465</v>
      </c>
      <c r="C16" s="70">
        <v>5995</v>
      </c>
      <c r="D16" s="69">
        <v>38466</v>
      </c>
      <c r="E16" s="70">
        <v>3424</v>
      </c>
      <c r="F16" s="72">
        <v>15554</v>
      </c>
      <c r="G16" s="75">
        <v>3132</v>
      </c>
    </row>
    <row r="17" spans="1:7" x14ac:dyDescent="0.25">
      <c r="A17" s="11" t="s">
        <v>15</v>
      </c>
      <c r="B17" s="69">
        <v>152750</v>
      </c>
      <c r="C17" s="70">
        <v>7669</v>
      </c>
      <c r="D17" s="69">
        <v>146854</v>
      </c>
      <c r="E17" s="70">
        <v>5284</v>
      </c>
      <c r="F17" s="72">
        <v>71822</v>
      </c>
      <c r="G17" s="75">
        <v>4298</v>
      </c>
    </row>
    <row r="18" spans="1:7" x14ac:dyDescent="0.25">
      <c r="A18" s="11" t="s">
        <v>16</v>
      </c>
      <c r="B18" s="69">
        <v>4719</v>
      </c>
      <c r="C18" s="70">
        <v>347</v>
      </c>
      <c r="D18" s="69">
        <v>14945</v>
      </c>
      <c r="E18" s="70">
        <v>621</v>
      </c>
      <c r="F18" s="72">
        <v>2461</v>
      </c>
      <c r="G18" s="75">
        <v>257</v>
      </c>
    </row>
    <row r="19" spans="1:7" x14ac:dyDescent="0.25">
      <c r="A19" s="11" t="s">
        <v>17</v>
      </c>
      <c r="B19" s="69">
        <v>11286</v>
      </c>
      <c r="C19" s="70">
        <v>791</v>
      </c>
      <c r="D19" s="69">
        <v>30138</v>
      </c>
      <c r="E19" s="70">
        <v>1330</v>
      </c>
      <c r="F19" s="72">
        <v>5451</v>
      </c>
      <c r="G19" s="75">
        <v>615</v>
      </c>
    </row>
    <row r="20" spans="1:7" x14ac:dyDescent="0.25">
      <c r="A20" s="11" t="s">
        <v>18</v>
      </c>
      <c r="B20" s="69">
        <v>5779</v>
      </c>
      <c r="C20" s="70">
        <v>282</v>
      </c>
      <c r="D20" s="69">
        <v>12936</v>
      </c>
      <c r="E20" s="70">
        <v>384</v>
      </c>
      <c r="F20" s="72">
        <v>2925</v>
      </c>
      <c r="G20" s="75">
        <v>210</v>
      </c>
    </row>
    <row r="21" spans="1:7" x14ac:dyDescent="0.25">
      <c r="A21" s="11" t="s">
        <v>19</v>
      </c>
      <c r="B21" s="69">
        <v>11173</v>
      </c>
      <c r="C21" s="70">
        <v>648</v>
      </c>
      <c r="D21" s="69">
        <v>21843</v>
      </c>
      <c r="E21" s="70">
        <v>616</v>
      </c>
      <c r="F21" s="72">
        <v>5875</v>
      </c>
      <c r="G21" s="75">
        <v>449</v>
      </c>
    </row>
    <row r="22" spans="1:7" x14ac:dyDescent="0.25">
      <c r="A22" s="11" t="s">
        <v>20</v>
      </c>
      <c r="B22" s="69">
        <v>13446</v>
      </c>
      <c r="C22" s="70">
        <v>1015</v>
      </c>
      <c r="D22" s="69">
        <v>30747</v>
      </c>
      <c r="E22" s="70">
        <v>1108</v>
      </c>
      <c r="F22" s="72">
        <v>6157</v>
      </c>
      <c r="G22" s="75">
        <v>591</v>
      </c>
    </row>
    <row r="23" spans="1:7" x14ac:dyDescent="0.25">
      <c r="A23" s="11" t="s">
        <v>21</v>
      </c>
      <c r="B23" s="69">
        <v>57594</v>
      </c>
      <c r="C23" s="70">
        <v>3620</v>
      </c>
      <c r="D23" s="69">
        <v>85129</v>
      </c>
      <c r="E23" s="70">
        <v>3317</v>
      </c>
      <c r="F23" s="72">
        <v>30627</v>
      </c>
      <c r="G23" s="75">
        <v>2482</v>
      </c>
    </row>
    <row r="24" spans="1:7" x14ac:dyDescent="0.25">
      <c r="A24" s="11" t="s">
        <v>22</v>
      </c>
      <c r="B24" s="69">
        <v>77761</v>
      </c>
      <c r="C24" s="70">
        <v>7865</v>
      </c>
      <c r="D24" s="69">
        <v>71825</v>
      </c>
      <c r="E24" s="70">
        <v>4438</v>
      </c>
      <c r="F24" s="72">
        <v>33283</v>
      </c>
      <c r="G24" s="75">
        <v>4423</v>
      </c>
    </row>
    <row r="25" spans="1:7" x14ac:dyDescent="0.25">
      <c r="A25" s="11" t="s">
        <v>23</v>
      </c>
      <c r="B25" s="69">
        <v>181794</v>
      </c>
      <c r="C25" s="70">
        <v>20666</v>
      </c>
      <c r="D25" s="69">
        <v>133739</v>
      </c>
      <c r="E25" s="70">
        <v>9780</v>
      </c>
      <c r="F25" s="72">
        <v>56194</v>
      </c>
      <c r="G25" s="75">
        <v>8061</v>
      </c>
    </row>
    <row r="26" spans="1:7" x14ac:dyDescent="0.25">
      <c r="A26" s="11" t="s">
        <v>24</v>
      </c>
      <c r="B26" s="69">
        <v>5596</v>
      </c>
      <c r="C26" s="70">
        <v>221</v>
      </c>
      <c r="D26" s="69">
        <v>11860</v>
      </c>
      <c r="E26" s="70">
        <v>263</v>
      </c>
      <c r="F26" s="72">
        <v>2374</v>
      </c>
      <c r="G26" s="75">
        <v>162</v>
      </c>
    </row>
    <row r="27" spans="1:7" x14ac:dyDescent="0.25">
      <c r="A27" s="11" t="s">
        <v>25</v>
      </c>
      <c r="B27" s="69">
        <v>72064</v>
      </c>
      <c r="C27" s="70">
        <v>4493</v>
      </c>
      <c r="D27" s="69">
        <v>68070</v>
      </c>
      <c r="E27" s="70">
        <v>2929</v>
      </c>
      <c r="F27" s="72">
        <v>24785</v>
      </c>
      <c r="G27" s="75">
        <v>2530</v>
      </c>
    </row>
    <row r="28" spans="1:7" x14ac:dyDescent="0.25">
      <c r="A28" s="11" t="s">
        <v>26</v>
      </c>
      <c r="B28" s="69">
        <v>28155</v>
      </c>
      <c r="C28" s="70">
        <v>1461</v>
      </c>
      <c r="D28" s="69">
        <v>40131</v>
      </c>
      <c r="E28" s="70">
        <v>1155</v>
      </c>
      <c r="F28" s="72">
        <v>8005</v>
      </c>
      <c r="G28" s="75">
        <v>666</v>
      </c>
    </row>
    <row r="29" spans="1:7" x14ac:dyDescent="0.25">
      <c r="A29" s="11" t="s">
        <v>27</v>
      </c>
      <c r="B29" s="69">
        <v>716</v>
      </c>
      <c r="C29" s="70">
        <v>57</v>
      </c>
      <c r="D29" s="69">
        <v>1938</v>
      </c>
      <c r="E29" s="70">
        <v>94</v>
      </c>
      <c r="F29" s="72">
        <v>348</v>
      </c>
      <c r="G29" s="75">
        <v>42</v>
      </c>
    </row>
    <row r="30" spans="1:7" x14ac:dyDescent="0.25">
      <c r="A30" s="11" t="s">
        <v>28</v>
      </c>
      <c r="B30" s="69">
        <v>21599</v>
      </c>
      <c r="C30" s="70">
        <v>1822</v>
      </c>
      <c r="D30" s="69">
        <v>61615</v>
      </c>
      <c r="E30" s="70">
        <v>2800</v>
      </c>
      <c r="F30" s="72">
        <v>15542</v>
      </c>
      <c r="G30" s="75">
        <v>1586</v>
      </c>
    </row>
    <row r="31" spans="1:7" x14ac:dyDescent="0.25">
      <c r="A31" s="11" t="s">
        <v>29</v>
      </c>
      <c r="B31" s="69">
        <v>1354</v>
      </c>
      <c r="C31" s="70">
        <v>121</v>
      </c>
      <c r="D31" s="69">
        <v>7176</v>
      </c>
      <c r="E31" s="70">
        <v>308</v>
      </c>
      <c r="F31" s="72">
        <v>1009</v>
      </c>
      <c r="G31" s="75">
        <v>147</v>
      </c>
    </row>
    <row r="32" spans="1:7" x14ac:dyDescent="0.25">
      <c r="A32" s="11" t="s">
        <v>30</v>
      </c>
      <c r="B32" s="69">
        <v>7024</v>
      </c>
      <c r="C32" s="70">
        <v>387</v>
      </c>
      <c r="D32" s="69">
        <v>11699</v>
      </c>
      <c r="E32" s="70">
        <v>417</v>
      </c>
      <c r="F32" s="72">
        <v>2024</v>
      </c>
      <c r="G32" s="75">
        <v>201</v>
      </c>
    </row>
    <row r="33" spans="1:7" x14ac:dyDescent="0.25">
      <c r="A33" s="11" t="s">
        <v>31</v>
      </c>
      <c r="B33" s="69">
        <v>5529</v>
      </c>
      <c r="C33" s="70">
        <v>509</v>
      </c>
      <c r="D33" s="69">
        <v>18307</v>
      </c>
      <c r="E33" s="70">
        <v>628</v>
      </c>
      <c r="F33" s="72">
        <v>2683</v>
      </c>
      <c r="G33" s="75">
        <v>268</v>
      </c>
    </row>
    <row r="34" spans="1:7" x14ac:dyDescent="0.25">
      <c r="A34" s="11" t="s">
        <v>32</v>
      </c>
      <c r="B34" s="69">
        <v>13623</v>
      </c>
      <c r="C34" s="70">
        <v>371</v>
      </c>
      <c r="D34" s="69">
        <v>28549</v>
      </c>
      <c r="E34" s="70">
        <v>355</v>
      </c>
      <c r="F34" s="72">
        <v>6130</v>
      </c>
      <c r="G34" s="75">
        <v>179</v>
      </c>
    </row>
    <row r="35" spans="1:7" x14ac:dyDescent="0.25">
      <c r="A35" s="11" t="s">
        <v>33</v>
      </c>
      <c r="B35" s="69">
        <v>5196</v>
      </c>
      <c r="C35" s="70">
        <v>236</v>
      </c>
      <c r="D35" s="69">
        <v>18951</v>
      </c>
      <c r="E35" s="70">
        <v>505</v>
      </c>
      <c r="F35" s="72">
        <v>3012</v>
      </c>
      <c r="G35" s="75">
        <v>196</v>
      </c>
    </row>
    <row r="36" spans="1:7" x14ac:dyDescent="0.25">
      <c r="A36" s="11" t="s">
        <v>34</v>
      </c>
      <c r="B36" s="69">
        <v>2421</v>
      </c>
      <c r="C36" s="70">
        <v>128</v>
      </c>
      <c r="D36" s="69">
        <v>9820</v>
      </c>
      <c r="E36" s="70">
        <v>216</v>
      </c>
      <c r="F36" s="72">
        <v>1401</v>
      </c>
      <c r="G36" s="75">
        <v>92</v>
      </c>
    </row>
    <row r="37" spans="1:7" x14ac:dyDescent="0.25">
      <c r="A37" s="11" t="s">
        <v>35</v>
      </c>
      <c r="B37" s="69">
        <v>70816</v>
      </c>
      <c r="C37" s="70">
        <v>5455</v>
      </c>
      <c r="D37" s="69">
        <v>48893</v>
      </c>
      <c r="E37" s="70">
        <v>3388</v>
      </c>
      <c r="F37" s="72">
        <v>17894</v>
      </c>
      <c r="G37" s="75">
        <v>2541</v>
      </c>
    </row>
    <row r="38" spans="1:7" x14ac:dyDescent="0.25">
      <c r="A38" s="11" t="s">
        <v>36</v>
      </c>
      <c r="B38" s="69">
        <v>106324</v>
      </c>
      <c r="C38" s="70">
        <v>5888</v>
      </c>
      <c r="D38" s="69">
        <v>178309</v>
      </c>
      <c r="E38" s="70">
        <v>5547</v>
      </c>
      <c r="F38" s="72">
        <v>62272</v>
      </c>
      <c r="G38" s="75">
        <v>4419</v>
      </c>
    </row>
    <row r="39" spans="1:7" x14ac:dyDescent="0.25">
      <c r="A39" s="11" t="s">
        <v>37</v>
      </c>
      <c r="B39" s="69">
        <v>18724</v>
      </c>
      <c r="C39" s="70">
        <v>985</v>
      </c>
      <c r="D39" s="69">
        <v>29261</v>
      </c>
      <c r="E39" s="70">
        <v>904</v>
      </c>
      <c r="F39" s="72">
        <v>6944</v>
      </c>
      <c r="G39" s="75">
        <v>540</v>
      </c>
    </row>
    <row r="40" spans="1:7" x14ac:dyDescent="0.25">
      <c r="A40" s="11" t="s">
        <v>38</v>
      </c>
      <c r="B40" s="69">
        <v>23668</v>
      </c>
      <c r="C40" s="70">
        <v>1656</v>
      </c>
      <c r="D40" s="69">
        <v>51047</v>
      </c>
      <c r="E40" s="70">
        <v>1598</v>
      </c>
      <c r="F40" s="72">
        <v>14482</v>
      </c>
      <c r="G40" s="75">
        <v>1276</v>
      </c>
    </row>
    <row r="41" spans="1:7" x14ac:dyDescent="0.25">
      <c r="A41" s="11" t="s">
        <v>39</v>
      </c>
      <c r="B41" s="69">
        <v>103951</v>
      </c>
      <c r="C41" s="70">
        <v>6994</v>
      </c>
      <c r="D41" s="69">
        <v>86330</v>
      </c>
      <c r="E41" s="70">
        <v>3419</v>
      </c>
      <c r="F41" s="72">
        <v>48085</v>
      </c>
      <c r="G41" s="75">
        <v>4255</v>
      </c>
    </row>
    <row r="42" spans="1:7" x14ac:dyDescent="0.25">
      <c r="A42" s="11" t="s">
        <v>40</v>
      </c>
      <c r="B42" s="69">
        <v>79427</v>
      </c>
      <c r="C42" s="70">
        <v>4684</v>
      </c>
      <c r="D42" s="69">
        <v>87816</v>
      </c>
      <c r="E42" s="70">
        <v>3389</v>
      </c>
      <c r="F42" s="72">
        <v>28316</v>
      </c>
      <c r="G42" s="75">
        <v>2598</v>
      </c>
    </row>
    <row r="43" spans="1:7" x14ac:dyDescent="0.25">
      <c r="A43" s="11" t="s">
        <v>41</v>
      </c>
      <c r="B43" s="69">
        <v>16648</v>
      </c>
      <c r="C43" s="70">
        <v>1497</v>
      </c>
      <c r="D43" s="69">
        <v>42058</v>
      </c>
      <c r="E43" s="70">
        <v>1819</v>
      </c>
      <c r="F43" s="72">
        <v>9435</v>
      </c>
      <c r="G43" s="75">
        <v>1072</v>
      </c>
    </row>
    <row r="44" spans="1:7" x14ac:dyDescent="0.25">
      <c r="A44" s="11" t="s">
        <v>42</v>
      </c>
      <c r="B44" s="69">
        <v>4986</v>
      </c>
      <c r="C44" s="70">
        <v>300</v>
      </c>
      <c r="D44" s="69">
        <v>15569</v>
      </c>
      <c r="E44" s="70">
        <v>600</v>
      </c>
      <c r="F44" s="72">
        <v>3381</v>
      </c>
      <c r="G44" s="75">
        <v>344</v>
      </c>
    </row>
    <row r="45" spans="1:7" x14ac:dyDescent="0.25">
      <c r="A45" s="11" t="s">
        <v>43</v>
      </c>
      <c r="B45" s="69">
        <v>21902</v>
      </c>
      <c r="C45" s="70">
        <v>1276</v>
      </c>
      <c r="D45" s="69">
        <v>36992</v>
      </c>
      <c r="E45" s="70">
        <v>1329</v>
      </c>
      <c r="F45" s="72">
        <v>9628</v>
      </c>
      <c r="G45" s="75">
        <v>744</v>
      </c>
    </row>
    <row r="46" spans="1:7" x14ac:dyDescent="0.25">
      <c r="A46" s="11" t="s">
        <v>44</v>
      </c>
      <c r="B46" s="69">
        <v>5073</v>
      </c>
      <c r="C46" s="70">
        <v>293</v>
      </c>
      <c r="D46" s="69">
        <v>18048</v>
      </c>
      <c r="E46" s="70">
        <v>586</v>
      </c>
      <c r="F46" s="72">
        <v>2895</v>
      </c>
      <c r="G46" s="75">
        <v>216</v>
      </c>
    </row>
    <row r="47" spans="1:7" x14ac:dyDescent="0.25">
      <c r="A47" s="11" t="s">
        <v>45</v>
      </c>
      <c r="B47" s="69">
        <v>42565</v>
      </c>
      <c r="C47" s="70">
        <v>5752</v>
      </c>
      <c r="D47" s="69">
        <v>40059</v>
      </c>
      <c r="E47" s="70">
        <v>3147</v>
      </c>
      <c r="F47" s="72">
        <v>22059</v>
      </c>
      <c r="G47" s="75">
        <v>3238</v>
      </c>
    </row>
    <row r="48" spans="1:7" x14ac:dyDescent="0.25">
      <c r="A48" s="11" t="s">
        <v>46</v>
      </c>
      <c r="B48" s="69">
        <v>286948</v>
      </c>
      <c r="C48" s="70">
        <v>17585</v>
      </c>
      <c r="D48" s="69">
        <v>198812</v>
      </c>
      <c r="E48" s="70">
        <v>9384</v>
      </c>
      <c r="F48" s="72">
        <v>100374</v>
      </c>
      <c r="G48" s="75">
        <v>8850</v>
      </c>
    </row>
    <row r="49" spans="1:7" x14ac:dyDescent="0.25">
      <c r="A49" s="11" t="s">
        <v>47</v>
      </c>
      <c r="B49" s="69">
        <v>3554</v>
      </c>
      <c r="C49" s="70">
        <v>193</v>
      </c>
      <c r="D49" s="69">
        <v>6353</v>
      </c>
      <c r="E49" s="70">
        <v>205</v>
      </c>
      <c r="F49" s="72">
        <v>1840</v>
      </c>
      <c r="G49" s="75">
        <v>156</v>
      </c>
    </row>
    <row r="50" spans="1:7" x14ac:dyDescent="0.25">
      <c r="A50" s="11" t="s">
        <v>48</v>
      </c>
      <c r="B50" s="69">
        <v>89208</v>
      </c>
      <c r="C50" s="70">
        <v>6393</v>
      </c>
      <c r="D50" s="69">
        <v>83132</v>
      </c>
      <c r="E50" s="70">
        <v>3793</v>
      </c>
      <c r="F50" s="72">
        <v>44497</v>
      </c>
      <c r="G50" s="75">
        <v>4203</v>
      </c>
    </row>
    <row r="51" spans="1:7" x14ac:dyDescent="0.25">
      <c r="A51" s="11" t="s">
        <v>49</v>
      </c>
      <c r="B51" s="69">
        <v>14217</v>
      </c>
      <c r="C51" s="70">
        <v>1105</v>
      </c>
      <c r="D51" s="69">
        <v>30512</v>
      </c>
      <c r="E51" s="70">
        <v>1441</v>
      </c>
      <c r="F51" s="72">
        <v>7241</v>
      </c>
      <c r="G51" s="75">
        <v>764</v>
      </c>
    </row>
    <row r="52" spans="1:7" x14ac:dyDescent="0.25">
      <c r="A52" s="11" t="s">
        <v>50</v>
      </c>
      <c r="B52" s="69">
        <v>5853</v>
      </c>
      <c r="C52" s="70">
        <v>138</v>
      </c>
      <c r="D52" s="69">
        <v>20654</v>
      </c>
      <c r="E52" s="70">
        <v>341</v>
      </c>
      <c r="F52" s="72">
        <v>4044</v>
      </c>
      <c r="G52" s="75">
        <v>171</v>
      </c>
    </row>
    <row r="53" spans="1:7" x14ac:dyDescent="0.25">
      <c r="A53" s="11" t="s">
        <v>51</v>
      </c>
      <c r="B53" s="69">
        <v>690092</v>
      </c>
      <c r="C53" s="70">
        <v>84268</v>
      </c>
      <c r="D53" s="69">
        <v>118493</v>
      </c>
      <c r="E53" s="70">
        <v>12935</v>
      </c>
      <c r="F53" s="72">
        <v>151600</v>
      </c>
      <c r="G53" s="75">
        <v>23268</v>
      </c>
    </row>
    <row r="54" spans="1:7" x14ac:dyDescent="0.25">
      <c r="A54" s="11" t="s">
        <v>52</v>
      </c>
      <c r="B54" s="69">
        <v>12499</v>
      </c>
      <c r="C54" s="70">
        <v>1045</v>
      </c>
      <c r="D54" s="69">
        <v>21731</v>
      </c>
      <c r="E54" s="70">
        <v>1218</v>
      </c>
      <c r="F54" s="72">
        <v>9561</v>
      </c>
      <c r="G54" s="75">
        <v>946</v>
      </c>
    </row>
    <row r="55" spans="1:7" x14ac:dyDescent="0.25">
      <c r="A55" s="11" t="s">
        <v>53</v>
      </c>
      <c r="B55" s="69">
        <v>1650</v>
      </c>
      <c r="C55" s="70">
        <v>91</v>
      </c>
      <c r="D55" s="69">
        <v>7759</v>
      </c>
      <c r="E55" s="70">
        <v>278</v>
      </c>
      <c r="F55" s="72">
        <v>1162</v>
      </c>
      <c r="G55" s="75">
        <v>104</v>
      </c>
    </row>
    <row r="56" spans="1:7" x14ac:dyDescent="0.25">
      <c r="A56" s="11" t="s">
        <v>54</v>
      </c>
      <c r="B56" s="69">
        <v>23571</v>
      </c>
      <c r="C56" s="70">
        <v>1794</v>
      </c>
      <c r="D56" s="69">
        <v>50987</v>
      </c>
      <c r="E56" s="70">
        <v>2199</v>
      </c>
      <c r="F56" s="72">
        <v>12405</v>
      </c>
      <c r="G56" s="75">
        <v>1299</v>
      </c>
    </row>
    <row r="57" spans="1:7" x14ac:dyDescent="0.25">
      <c r="A57" s="11" t="s">
        <v>55</v>
      </c>
      <c r="B57" s="69">
        <v>4554</v>
      </c>
      <c r="C57" s="70">
        <v>323</v>
      </c>
      <c r="D57" s="69">
        <v>15523</v>
      </c>
      <c r="E57" s="70">
        <v>437</v>
      </c>
      <c r="F57" s="72">
        <v>2751</v>
      </c>
      <c r="G57" s="75">
        <v>258</v>
      </c>
    </row>
    <row r="58" spans="1:7" x14ac:dyDescent="0.25">
      <c r="A58" s="11" t="s">
        <v>56</v>
      </c>
      <c r="B58" s="69">
        <v>10121</v>
      </c>
      <c r="C58" s="70">
        <v>391</v>
      </c>
      <c r="D58" s="69">
        <v>32213</v>
      </c>
      <c r="E58" s="70">
        <v>636</v>
      </c>
      <c r="F58" s="72">
        <v>4858</v>
      </c>
      <c r="G58" s="75">
        <v>258</v>
      </c>
    </row>
    <row r="59" spans="1:7" x14ac:dyDescent="0.25">
      <c r="A59" s="11" t="s">
        <v>57</v>
      </c>
      <c r="B59" s="69">
        <v>1026</v>
      </c>
      <c r="C59" s="70">
        <v>37</v>
      </c>
      <c r="D59" s="69">
        <v>2780</v>
      </c>
      <c r="E59" s="70">
        <v>65</v>
      </c>
      <c r="F59" s="72">
        <v>498</v>
      </c>
      <c r="G59" s="75">
        <v>34</v>
      </c>
    </row>
    <row r="60" spans="1:7" x14ac:dyDescent="0.25">
      <c r="A60" s="11" t="s">
        <v>58</v>
      </c>
      <c r="B60" s="69">
        <v>5742</v>
      </c>
      <c r="C60" s="70">
        <v>515</v>
      </c>
      <c r="D60" s="69">
        <v>16688</v>
      </c>
      <c r="E60" s="70">
        <v>880</v>
      </c>
      <c r="F60" s="72">
        <v>3682</v>
      </c>
      <c r="G60" s="75">
        <v>390</v>
      </c>
    </row>
    <row r="61" spans="1:7" x14ac:dyDescent="0.25">
      <c r="A61" s="11" t="s">
        <v>59</v>
      </c>
      <c r="B61" s="69">
        <v>4702</v>
      </c>
      <c r="C61" s="70">
        <v>223</v>
      </c>
      <c r="D61" s="69">
        <v>17551</v>
      </c>
      <c r="E61" s="70">
        <v>562</v>
      </c>
      <c r="F61" s="72">
        <v>3448</v>
      </c>
      <c r="G61" s="75">
        <v>264</v>
      </c>
    </row>
    <row r="62" spans="1:7" x14ac:dyDescent="0.25">
      <c r="A62" s="11" t="s">
        <v>60</v>
      </c>
      <c r="B62" s="69">
        <v>7057</v>
      </c>
      <c r="C62" s="70">
        <v>707</v>
      </c>
      <c r="D62" s="69">
        <v>13778</v>
      </c>
      <c r="E62" s="70">
        <v>632</v>
      </c>
      <c r="F62" s="72">
        <v>3720</v>
      </c>
      <c r="G62" s="75">
        <v>463</v>
      </c>
    </row>
    <row r="63" spans="1:7" x14ac:dyDescent="0.25">
      <c r="A63" s="11" t="s">
        <v>61</v>
      </c>
      <c r="B63" s="69">
        <v>7682</v>
      </c>
      <c r="C63" s="70">
        <v>370</v>
      </c>
      <c r="D63" s="69">
        <v>19563</v>
      </c>
      <c r="E63" s="70">
        <v>611</v>
      </c>
      <c r="F63" s="72">
        <v>4282</v>
      </c>
      <c r="G63" s="75">
        <v>302</v>
      </c>
    </row>
    <row r="64" spans="1:7" x14ac:dyDescent="0.25">
      <c r="A64" s="11" t="s">
        <v>62</v>
      </c>
      <c r="B64" s="69">
        <v>6142</v>
      </c>
      <c r="C64" s="70">
        <v>218</v>
      </c>
      <c r="D64" s="69">
        <v>14834</v>
      </c>
      <c r="E64" s="70">
        <v>429</v>
      </c>
      <c r="F64" s="72">
        <v>3636</v>
      </c>
      <c r="G64" s="75">
        <v>173</v>
      </c>
    </row>
    <row r="65" spans="1:7" x14ac:dyDescent="0.25">
      <c r="A65" s="11" t="s">
        <v>63</v>
      </c>
      <c r="B65" s="69">
        <v>49187</v>
      </c>
      <c r="C65" s="70">
        <v>3696</v>
      </c>
      <c r="D65" s="69">
        <v>69554</v>
      </c>
      <c r="E65" s="70">
        <v>3402</v>
      </c>
      <c r="F65" s="72">
        <v>17627</v>
      </c>
      <c r="G65" s="75">
        <v>2006</v>
      </c>
    </row>
    <row r="66" spans="1:7" x14ac:dyDescent="0.25">
      <c r="A66" s="11" t="s">
        <v>64</v>
      </c>
      <c r="B66" s="69">
        <v>7934</v>
      </c>
      <c r="C66" s="70">
        <v>733</v>
      </c>
      <c r="D66" s="69">
        <v>20466</v>
      </c>
      <c r="E66" s="70">
        <v>1229</v>
      </c>
      <c r="F66" s="72">
        <v>5464</v>
      </c>
      <c r="G66" s="75">
        <v>678</v>
      </c>
    </row>
    <row r="67" spans="1:7" x14ac:dyDescent="0.25">
      <c r="A67" s="11" t="s">
        <v>65</v>
      </c>
      <c r="B67" s="69">
        <v>83443</v>
      </c>
      <c r="C67" s="70">
        <v>3458</v>
      </c>
      <c r="D67" s="69">
        <v>127254</v>
      </c>
      <c r="E67" s="70">
        <v>3665</v>
      </c>
      <c r="F67" s="72">
        <v>30881</v>
      </c>
      <c r="G67" s="75">
        <v>1938</v>
      </c>
    </row>
    <row r="68" spans="1:7" x14ac:dyDescent="0.25">
      <c r="A68" s="11" t="s">
        <v>66</v>
      </c>
      <c r="B68" s="69">
        <v>4356</v>
      </c>
      <c r="C68" s="70">
        <v>332</v>
      </c>
      <c r="D68" s="69">
        <v>10778</v>
      </c>
      <c r="E68" s="70">
        <v>561</v>
      </c>
      <c r="F68" s="72">
        <v>2169</v>
      </c>
      <c r="G68" s="75">
        <v>263</v>
      </c>
    </row>
    <row r="69" spans="1:7" x14ac:dyDescent="0.25">
      <c r="A69" s="19" t="s">
        <v>67</v>
      </c>
      <c r="B69" s="68">
        <v>89879</v>
      </c>
      <c r="C69" s="71">
        <v>6092</v>
      </c>
      <c r="D69" s="68">
        <v>161624</v>
      </c>
      <c r="E69" s="71">
        <v>6709</v>
      </c>
      <c r="F69" s="73">
        <v>56829</v>
      </c>
      <c r="G69" s="76">
        <v>4719</v>
      </c>
    </row>
    <row r="70" spans="1:7" x14ac:dyDescent="0.25">
      <c r="A70" s="32" t="s">
        <v>68</v>
      </c>
      <c r="B70" s="14">
        <f>SUM(B3:B69)</f>
        <v>3550445</v>
      </c>
      <c r="C70" s="14">
        <f t="shared" ref="C70:G70" si="0">SUM(C3:C69)</f>
        <v>283226</v>
      </c>
      <c r="D70" s="14">
        <f t="shared" si="0"/>
        <v>3487810</v>
      </c>
      <c r="E70" s="14">
        <f t="shared" si="0"/>
        <v>153486</v>
      </c>
      <c r="F70" s="14">
        <f t="shared" si="0"/>
        <v>1345837</v>
      </c>
      <c r="G70" s="14">
        <f t="shared" si="0"/>
        <v>134427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8955231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2026-05-26T12:55:32Z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