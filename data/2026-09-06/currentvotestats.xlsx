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Stats/"/>
    </mc:Choice>
  </mc:AlternateContent>
  <xr:revisionPtr revIDLastSave="1" documentId="8_{6C28633F-C6EB-41F0-9622-C2AF24BE91E4}" xr6:coauthVersionLast="47" xr6:coauthVersionMax="47" xr10:uidLastSave="{7F0516F4-C77D-431B-8E1A-FA58B146C4CA}"/>
  <bookViews>
    <workbookView xWindow="28680" yWindow="-120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<sst xmlns="http://schemas.openxmlformats.org/spreadsheetml/2006/main" count="1140" uniqueCount="132">
  <si>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</si>
  <si>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</si>
  <si>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</si>
  <si>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</si>
  <si>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</si>
  <si>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</si>
  <si>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</si>
  <si>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</si>
  <si>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</si>
  <si>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</si>
  <si>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</si>
  <si>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</si>
  <si>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</si>
  <si>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</si>
  <si>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</si>
  <si>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</si>
  <si>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</si>
  <si>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</si>
  <si>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</si>
  <si>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</si>
  <si>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</si>
  <si>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</si>
  <si>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</si>
  <si>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</si>
  <si>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</si>
  <si>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</si>
  <si>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</si>
  <si>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</si>
  <si>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</si>
  <si>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</si>
  <si>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</si>
  <si>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</si>
  <si>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</si>
  <si>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</si>
  <si>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</si>
  <si>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</si>
  <si>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</si>
  <si>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</si>
  <si>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</si>
  <si>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</si>
  <si>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</si>
  <si>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</si>
  <si>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</si>
  <si>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</si>
  <si>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</si>
  <si>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</si>
  <si>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</si>
  <si>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</si>
  <si>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</si>
  <si>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</si>
  <si>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</si>
  <si>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</si>
  <si>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</si>
  <si>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</si>
  <si>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</si>
  <si>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</si>
  <si>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</si>
  <si>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</si>
  <si>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</si>
  <si>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</si>
  <si>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</si>
  <si>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</si>
  <si>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</si>
  <si>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</si>
  <si>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</si>
  <si>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</si>
  <si>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</si>
  <si>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</si>
  <si>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</si>
  <si>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</si>
  <si>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</si>
  <si>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</si>
  <si>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</si>
  <si>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</si>
  <si>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</si>
  <si>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</si>
  <si>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</si>
  <si>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</si>
  <si>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</si>
  <si>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</si>
  <si>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</si>
  <si>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</si>
  <si>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</si>
  <si>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</si>
  <si>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</si>
  <si>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</si>
  <si>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</si>
  <si>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</si>
  <si>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</si>
  <si>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</si>
  <si>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</si>
  <si>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</si>
  <si>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</si>
  <si>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</si>
  <si>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</si>
  <si>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</si>
  <si>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</si>
  <si>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</si>
  <si>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</si>
  <si>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</si>
  <si>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</si>
  <si>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</si>
  <si>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</si>
  <si>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</si>
  <si>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</si>
  <si>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</si>
  <si>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</si>
  <si>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</si>
  <si>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</si>
  <si>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</si>
  <si>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</si>
  <si>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</si>
  <si>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</si>
  <si>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</si>
  <si>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</si>
  <si>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</si>
  <si>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</si>
  <si>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</si>
  <si>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</si>
  <si>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</si>
  <si>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</si>
  <si>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</si>
  <si>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</si>
  <si>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</si>
  <si>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</si>
  <si>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</si>
  <si>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</si>
  <si>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</si>
  <si>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</si>
  <si>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08/31/2026</t>
  </si>
  <si>
    <t>Week Of 08-24-2026 to 08-31-2026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</si>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</sst>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P11" sqref="P11"/>
    </sheetView>
  </sheetViews>
  <sheetFormatPr defaultRowHeight="12.75" x14ac:dyDescent="0.2"/>
  <cols>
    <col min="1" max="1" width="22.85546875" customWidth="1"/>
    <col min="2" max="2" width="9.7109375" style="1" customWidth="1"/>
    <col min="3" max="3" width="18.7109375" style="11" customWidth="1"/>
    <col min="4" max="4" width="2.5703125" style="11" customWidth="1"/>
    <col min="5" max="5" width="18.7109375" style="11" customWidth="1"/>
    <col min="6" max="6" width="2" style="11" customWidth="1"/>
    <col min="7" max="7" width="18.7109375" style="11" customWidth="1"/>
    <col min="8" max="8" width="1.5703125" style="11" customWidth="1"/>
    <col min="9" max="9" width="21.5703125" style="10" customWidth="1"/>
    <col min="10" max="10" width="1.7109375" style="11" customWidth="1"/>
    <col min="11" max="11" width="18" style="1" customWidth="1"/>
    <col min="18" max="18" width="7.85546875" bestFit="1" customWidth="1"/>
  </cols>
  <sheetData>
    <row r="1" spans="1:12" s="1" customFormat="1" ht="30" customHeight="1" x14ac:dyDescent="0.2">
      <c r="A1" s="18" t="s">
        <v>129</v>
      </c>
      <c r="C1" s="10"/>
      <c r="D1" s="10"/>
      <c r="E1" s="10" t="s">
        <v>131</v>
      </c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5.5" x14ac:dyDescent="0.2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">
      <c r="A3" t="s">
        <v>1</v>
      </c>
      <c r="B3" s="1">
        <v>2290</v>
      </c>
      <c r="C3">
        <v>19167</v>
      </c>
      <c r="D3"/>
      <c r="E3">
        <v>44005</v>
      </c>
      <c r="F3"/>
      <c r="G3">
        <v>10715</v>
      </c>
      <c r="H3"/>
      <c r="I3">
        <v>2768</v>
      </c>
      <c r="K3" s="10">
        <f t="shared" ref="K3:K34" si="0">SUM(C3+E3+G3+I3)</f>
        <v>76655</v>
      </c>
    </row>
    <row r="4" spans="1:12" x14ac:dyDescent="0.2">
      <c r="A4" t="s">
        <v>2</v>
      </c>
      <c r="B4" s="1">
        <v>2291</v>
      </c>
      <c r="C4">
        <v>503368</v>
      </c>
      <c r="D4"/>
      <c r="E4">
        <v>262882</v>
      </c>
      <c r="F4"/>
      <c r="G4">
        <v>114450</v>
      </c>
      <c r="H4"/>
      <c r="I4">
        <v>36649</v>
      </c>
      <c r="K4" s="10">
        <f t="shared" si="0"/>
        <v>917349</v>
      </c>
    </row>
    <row r="5" spans="1:12" x14ac:dyDescent="0.2">
      <c r="A5" t="s">
        <v>3</v>
      </c>
      <c r="B5" s="1">
        <v>2292</v>
      </c>
      <c r="C5">
        <v>10646</v>
      </c>
      <c r="D5"/>
      <c r="E5">
        <v>27650</v>
      </c>
      <c r="F5"/>
      <c r="G5">
        <v>3717</v>
      </c>
      <c r="H5"/>
      <c r="I5">
        <v>1584</v>
      </c>
      <c r="K5" s="10">
        <f t="shared" si="0"/>
        <v>43597</v>
      </c>
    </row>
    <row r="6" spans="1:12" x14ac:dyDescent="0.2">
      <c r="A6" t="s">
        <v>4</v>
      </c>
      <c r="B6" s="1">
        <v>2293</v>
      </c>
      <c r="C6">
        <v>45702</v>
      </c>
      <c r="D6"/>
      <c r="E6">
        <v>51857</v>
      </c>
      <c r="F6"/>
      <c r="G6">
        <v>11815</v>
      </c>
      <c r="H6"/>
      <c r="I6">
        <v>4703</v>
      </c>
      <c r="K6" s="10">
        <f t="shared" si="0"/>
        <v>114077</v>
      </c>
    </row>
    <row r="7" spans="1:12" x14ac:dyDescent="0.2">
      <c r="A7" t="s">
        <v>5</v>
      </c>
      <c r="B7" s="1">
        <v>2294</v>
      </c>
      <c r="C7">
        <v>5261</v>
      </c>
      <c r="D7"/>
      <c r="E7">
        <v>24573</v>
      </c>
      <c r="F7"/>
      <c r="G7">
        <v>2314</v>
      </c>
      <c r="H7"/>
      <c r="I7">
        <v>890</v>
      </c>
      <c r="K7" s="10">
        <f t="shared" si="0"/>
        <v>33038</v>
      </c>
    </row>
    <row r="8" spans="1:12" x14ac:dyDescent="0.2">
      <c r="A8" t="s">
        <v>6</v>
      </c>
      <c r="B8" s="1">
        <v>2295</v>
      </c>
      <c r="C8">
        <v>104317</v>
      </c>
      <c r="D8"/>
      <c r="E8">
        <v>118010</v>
      </c>
      <c r="F8"/>
      <c r="G8">
        <v>41724</v>
      </c>
      <c r="H8"/>
      <c r="I8">
        <v>10362</v>
      </c>
      <c r="K8" s="10">
        <f t="shared" si="0"/>
        <v>274413</v>
      </c>
    </row>
    <row r="9" spans="1:12" x14ac:dyDescent="0.2">
      <c r="A9" t="s">
        <v>7</v>
      </c>
      <c r="B9" s="1">
        <v>2296</v>
      </c>
      <c r="C9">
        <v>19801</v>
      </c>
      <c r="D9"/>
      <c r="E9">
        <v>50580</v>
      </c>
      <c r="F9"/>
      <c r="G9">
        <v>8480</v>
      </c>
      <c r="H9"/>
      <c r="I9">
        <v>2701</v>
      </c>
      <c r="K9" s="10">
        <f t="shared" si="0"/>
        <v>81562</v>
      </c>
    </row>
    <row r="10" spans="1:12" x14ac:dyDescent="0.2">
      <c r="A10" t="s">
        <v>8</v>
      </c>
      <c r="B10" s="1">
        <v>2297</v>
      </c>
      <c r="C10">
        <v>7816</v>
      </c>
      <c r="D10"/>
      <c r="E10">
        <v>25642</v>
      </c>
      <c r="F10"/>
      <c r="G10">
        <v>3903</v>
      </c>
      <c r="H10"/>
      <c r="I10">
        <v>1533</v>
      </c>
      <c r="K10" s="10">
        <f t="shared" si="0"/>
        <v>38894</v>
      </c>
    </row>
    <row r="11" spans="1:12" x14ac:dyDescent="0.2">
      <c r="A11" t="s">
        <v>9</v>
      </c>
      <c r="B11" s="1">
        <v>2298</v>
      </c>
      <c r="C11">
        <v>193971</v>
      </c>
      <c r="D11"/>
      <c r="E11">
        <v>201728</v>
      </c>
      <c r="F11"/>
      <c r="G11">
        <v>70619</v>
      </c>
      <c r="H11"/>
      <c r="I11">
        <v>18275</v>
      </c>
      <c r="K11" s="10">
        <f t="shared" si="0"/>
        <v>484593</v>
      </c>
    </row>
    <row r="12" spans="1:12" x14ac:dyDescent="0.2">
      <c r="A12" t="s">
        <v>10</v>
      </c>
      <c r="B12" s="1">
        <v>2299</v>
      </c>
      <c r="C12">
        <v>39257</v>
      </c>
      <c r="D12"/>
      <c r="E12">
        <v>82964</v>
      </c>
      <c r="F12"/>
      <c r="G12">
        <v>16429</v>
      </c>
      <c r="H12"/>
      <c r="I12">
        <v>5149</v>
      </c>
      <c r="K12" s="10">
        <f t="shared" si="0"/>
        <v>143799</v>
      </c>
    </row>
    <row r="13" spans="1:12" x14ac:dyDescent="0.2">
      <c r="A13" t="s">
        <v>11</v>
      </c>
      <c r="B13" s="1">
        <v>2300</v>
      </c>
      <c r="C13">
        <v>29342</v>
      </c>
      <c r="D13"/>
      <c r="E13">
        <v>46481</v>
      </c>
      <c r="F13"/>
      <c r="G13">
        <v>7878</v>
      </c>
      <c r="H13"/>
      <c r="I13">
        <v>2127</v>
      </c>
      <c r="K13" s="10">
        <f t="shared" si="0"/>
        <v>85828</v>
      </c>
    </row>
    <row r="14" spans="1:12" x14ac:dyDescent="0.2">
      <c r="A14" t="s">
        <v>12</v>
      </c>
      <c r="B14" s="1">
        <v>2301</v>
      </c>
      <c r="C14">
        <v>663</v>
      </c>
      <c r="D14"/>
      <c r="E14">
        <v>1842</v>
      </c>
      <c r="F14"/>
      <c r="G14">
        <v>254</v>
      </c>
      <c r="H14"/>
      <c r="I14">
        <v>124</v>
      </c>
      <c r="K14" s="10">
        <f t="shared" si="0"/>
        <v>2883</v>
      </c>
    </row>
    <row r="15" spans="1:12" x14ac:dyDescent="0.2">
      <c r="A15" t="s">
        <v>13</v>
      </c>
      <c r="B15" s="1">
        <v>2302</v>
      </c>
      <c r="C15">
        <v>14074</v>
      </c>
      <c r="D15"/>
      <c r="E15">
        <v>23920</v>
      </c>
      <c r="F15"/>
      <c r="G15">
        <v>5871</v>
      </c>
      <c r="H15"/>
      <c r="I15">
        <v>1891</v>
      </c>
      <c r="K15" s="10">
        <f t="shared" si="0"/>
        <v>45756</v>
      </c>
    </row>
    <row r="16" spans="1:12" x14ac:dyDescent="0.2">
      <c r="A16" t="s">
        <v>14</v>
      </c>
      <c r="B16" s="1">
        <v>2303</v>
      </c>
      <c r="C16">
        <v>41421</v>
      </c>
      <c r="D16"/>
      <c r="E16">
        <v>41796</v>
      </c>
      <c r="F16"/>
      <c r="G16">
        <v>16151</v>
      </c>
      <c r="H16"/>
      <c r="I16">
        <v>2691</v>
      </c>
      <c r="K16" s="10">
        <f t="shared" si="0"/>
        <v>102059</v>
      </c>
    </row>
    <row r="17" spans="1:11" x14ac:dyDescent="0.2">
      <c r="A17" t="s">
        <v>15</v>
      </c>
      <c r="B17" s="1">
        <v>2304</v>
      </c>
      <c r="C17">
        <v>161056</v>
      </c>
      <c r="D17"/>
      <c r="E17">
        <v>151817</v>
      </c>
      <c r="F17"/>
      <c r="G17">
        <v>58891</v>
      </c>
      <c r="H17"/>
      <c r="I17">
        <v>17859</v>
      </c>
      <c r="K17" s="10">
        <f t="shared" si="0"/>
        <v>389623</v>
      </c>
    </row>
    <row r="18" spans="1:11" x14ac:dyDescent="0.2">
      <c r="A18" t="s">
        <v>16</v>
      </c>
      <c r="B18" s="1">
        <v>2305</v>
      </c>
      <c r="C18">
        <v>5042</v>
      </c>
      <c r="D18"/>
      <c r="E18">
        <v>15541</v>
      </c>
      <c r="F18"/>
      <c r="G18">
        <v>2082</v>
      </c>
      <c r="H18"/>
      <c r="I18">
        <v>646</v>
      </c>
      <c r="K18" s="10">
        <f t="shared" si="0"/>
        <v>23311</v>
      </c>
    </row>
    <row r="19" spans="1:11" x14ac:dyDescent="0.2">
      <c r="A19" t="s">
        <v>17</v>
      </c>
      <c r="B19" s="1">
        <v>2306</v>
      </c>
      <c r="C19">
        <v>12023</v>
      </c>
      <c r="D19"/>
      <c r="E19">
        <v>31420</v>
      </c>
      <c r="F19"/>
      <c r="G19">
        <v>4318</v>
      </c>
      <c r="H19"/>
      <c r="I19">
        <v>1784</v>
      </c>
      <c r="K19" s="10">
        <f t="shared" si="0"/>
        <v>49545</v>
      </c>
    </row>
    <row r="20" spans="1:11" x14ac:dyDescent="0.2">
      <c r="A20" t="s">
        <v>18</v>
      </c>
      <c r="B20" s="1">
        <v>2307</v>
      </c>
      <c r="C20">
        <v>6064</v>
      </c>
      <c r="D20"/>
      <c r="E20">
        <v>13271</v>
      </c>
      <c r="F20"/>
      <c r="G20">
        <v>2435</v>
      </c>
      <c r="H20"/>
      <c r="I20">
        <v>739</v>
      </c>
      <c r="K20" s="10">
        <f t="shared" si="0"/>
        <v>22509</v>
      </c>
    </row>
    <row r="21" spans="1:11" x14ac:dyDescent="0.2">
      <c r="A21" t="s">
        <v>19</v>
      </c>
      <c r="B21" s="1">
        <v>2308</v>
      </c>
      <c r="C21">
        <v>11776</v>
      </c>
      <c r="D21"/>
      <c r="E21">
        <v>22454</v>
      </c>
      <c r="F21"/>
      <c r="G21">
        <v>4877</v>
      </c>
      <c r="H21"/>
      <c r="I21">
        <v>1489</v>
      </c>
      <c r="K21" s="10">
        <f t="shared" si="0"/>
        <v>40596</v>
      </c>
    </row>
    <row r="22" spans="1:11" x14ac:dyDescent="0.2">
      <c r="A22" t="s">
        <v>20</v>
      </c>
      <c r="B22" s="1">
        <v>2309</v>
      </c>
      <c r="C22">
        <v>14385</v>
      </c>
      <c r="D22"/>
      <c r="E22">
        <v>31739</v>
      </c>
      <c r="F22"/>
      <c r="G22">
        <v>4957</v>
      </c>
      <c r="H22"/>
      <c r="I22">
        <v>1832</v>
      </c>
      <c r="K22" s="10">
        <f t="shared" si="0"/>
        <v>52913</v>
      </c>
    </row>
    <row r="23" spans="1:11" x14ac:dyDescent="0.2">
      <c r="A23" t="s">
        <v>21</v>
      </c>
      <c r="B23" s="1">
        <v>2310</v>
      </c>
      <c r="C23">
        <v>61689</v>
      </c>
      <c r="D23"/>
      <c r="E23">
        <v>88171</v>
      </c>
      <c r="F23"/>
      <c r="G23">
        <v>27300</v>
      </c>
      <c r="H23"/>
      <c r="I23">
        <v>6489</v>
      </c>
      <c r="K23" s="10">
        <f t="shared" si="0"/>
        <v>183649</v>
      </c>
    </row>
    <row r="24" spans="1:11" x14ac:dyDescent="0.2">
      <c r="A24" t="s">
        <v>22</v>
      </c>
      <c r="B24" s="1">
        <v>2311</v>
      </c>
      <c r="C24">
        <v>86667</v>
      </c>
      <c r="D24"/>
      <c r="E24">
        <v>75952</v>
      </c>
      <c r="F24"/>
      <c r="G24">
        <v>31404</v>
      </c>
      <c r="H24"/>
      <c r="I24">
        <v>7240</v>
      </c>
      <c r="K24" s="10">
        <f t="shared" si="0"/>
        <v>201263</v>
      </c>
    </row>
    <row r="25" spans="1:11" x14ac:dyDescent="0.2">
      <c r="A25" t="s">
        <v>23</v>
      </c>
      <c r="B25" s="1">
        <v>2312</v>
      </c>
      <c r="C25">
        <v>202886</v>
      </c>
      <c r="D25"/>
      <c r="E25">
        <v>142699</v>
      </c>
      <c r="F25"/>
      <c r="G25">
        <v>49480</v>
      </c>
      <c r="H25"/>
      <c r="I25">
        <v>15684</v>
      </c>
      <c r="K25" s="10">
        <f t="shared" si="0"/>
        <v>410749</v>
      </c>
    </row>
    <row r="26" spans="1:11" x14ac:dyDescent="0.2">
      <c r="A26" t="s">
        <v>24</v>
      </c>
      <c r="B26" s="1">
        <v>2313</v>
      </c>
      <c r="C26">
        <v>5770</v>
      </c>
      <c r="D26"/>
      <c r="E26">
        <v>12122</v>
      </c>
      <c r="F26"/>
      <c r="G26">
        <v>1782</v>
      </c>
      <c r="H26"/>
      <c r="I26">
        <v>778</v>
      </c>
      <c r="K26" s="10">
        <f t="shared" si="0"/>
        <v>20452</v>
      </c>
    </row>
    <row r="27" spans="1:11" x14ac:dyDescent="0.2">
      <c r="A27" t="s">
        <v>25</v>
      </c>
      <c r="B27" s="1">
        <v>2314</v>
      </c>
      <c r="C27">
        <v>76429</v>
      </c>
      <c r="D27"/>
      <c r="E27">
        <v>70791</v>
      </c>
      <c r="F27"/>
      <c r="G27">
        <v>20862</v>
      </c>
      <c r="H27"/>
      <c r="I27">
        <v>6654</v>
      </c>
      <c r="K27" s="10">
        <f t="shared" si="0"/>
        <v>174736</v>
      </c>
    </row>
    <row r="28" spans="1:11" x14ac:dyDescent="0.2">
      <c r="A28" t="s">
        <v>26</v>
      </c>
      <c r="B28" s="1">
        <v>2315</v>
      </c>
      <c r="C28">
        <v>29438</v>
      </c>
      <c r="D28"/>
      <c r="E28">
        <v>41309</v>
      </c>
      <c r="F28"/>
      <c r="G28">
        <v>6706</v>
      </c>
      <c r="H28"/>
      <c r="I28">
        <v>2063</v>
      </c>
      <c r="K28" s="10">
        <f t="shared" si="0"/>
        <v>79516</v>
      </c>
    </row>
    <row r="29" spans="1:11" x14ac:dyDescent="0.2">
      <c r="A29" t="s">
        <v>27</v>
      </c>
      <c r="B29" s="1">
        <v>2316</v>
      </c>
      <c r="C29">
        <v>787</v>
      </c>
      <c r="D29"/>
      <c r="E29">
        <v>2055</v>
      </c>
      <c r="F29"/>
      <c r="G29">
        <v>278</v>
      </c>
      <c r="H29"/>
      <c r="I29">
        <v>125</v>
      </c>
      <c r="K29" s="10">
        <f t="shared" si="0"/>
        <v>3245</v>
      </c>
    </row>
    <row r="30" spans="1:11" x14ac:dyDescent="0.2">
      <c r="A30" t="s">
        <v>28</v>
      </c>
      <c r="B30" s="1">
        <v>2317</v>
      </c>
      <c r="C30">
        <v>23522</v>
      </c>
      <c r="D30"/>
      <c r="E30">
        <v>64320</v>
      </c>
      <c r="F30"/>
      <c r="G30">
        <v>14170</v>
      </c>
      <c r="H30"/>
      <c r="I30">
        <v>3422</v>
      </c>
      <c r="K30" s="10">
        <f t="shared" si="0"/>
        <v>105434</v>
      </c>
    </row>
    <row r="31" spans="1:11" x14ac:dyDescent="0.2">
      <c r="A31" t="s">
        <v>29</v>
      </c>
      <c r="B31" s="1">
        <v>2318</v>
      </c>
      <c r="C31">
        <v>1473</v>
      </c>
      <c r="D31"/>
      <c r="E31">
        <v>7459</v>
      </c>
      <c r="F31"/>
      <c r="G31">
        <v>907</v>
      </c>
      <c r="H31"/>
      <c r="I31">
        <v>263</v>
      </c>
      <c r="K31" s="10">
        <f t="shared" si="0"/>
        <v>10102</v>
      </c>
    </row>
    <row r="32" spans="1:11" x14ac:dyDescent="0.2">
      <c r="A32" t="s">
        <v>30</v>
      </c>
      <c r="B32" s="1">
        <v>2319</v>
      </c>
      <c r="C32">
        <v>7349</v>
      </c>
      <c r="D32"/>
      <c r="E32">
        <v>12180</v>
      </c>
      <c r="F32"/>
      <c r="G32">
        <v>1659</v>
      </c>
      <c r="H32"/>
      <c r="I32">
        <v>601</v>
      </c>
      <c r="K32" s="10">
        <f t="shared" si="0"/>
        <v>21789</v>
      </c>
    </row>
    <row r="33" spans="1:11" x14ac:dyDescent="0.2">
      <c r="A33" t="s">
        <v>31</v>
      </c>
      <c r="B33" s="1">
        <v>2320</v>
      </c>
      <c r="C33">
        <v>6006</v>
      </c>
      <c r="D33"/>
      <c r="E33">
        <v>18889</v>
      </c>
      <c r="F33"/>
      <c r="G33">
        <v>2378</v>
      </c>
      <c r="H33"/>
      <c r="I33">
        <v>599</v>
      </c>
      <c r="K33" s="10">
        <f t="shared" si="0"/>
        <v>27872</v>
      </c>
    </row>
    <row r="34" spans="1:11" x14ac:dyDescent="0.2">
      <c r="A34" t="s">
        <v>32</v>
      </c>
      <c r="B34" s="1">
        <v>2321</v>
      </c>
      <c r="C34">
        <v>13876</v>
      </c>
      <c r="D34"/>
      <c r="E34">
        <v>28859</v>
      </c>
      <c r="F34"/>
      <c r="G34">
        <v>4683</v>
      </c>
      <c r="H34"/>
      <c r="I34">
        <v>1687</v>
      </c>
      <c r="K34" s="10">
        <f t="shared" si="0"/>
        <v>49105</v>
      </c>
    </row>
    <row r="35" spans="1:11" x14ac:dyDescent="0.2">
      <c r="A35" t="s">
        <v>33</v>
      </c>
      <c r="B35" s="1">
        <v>2322</v>
      </c>
      <c r="C35">
        <v>5433</v>
      </c>
      <c r="D35"/>
      <c r="E35">
        <v>19426</v>
      </c>
      <c r="F35"/>
      <c r="G35">
        <v>2290</v>
      </c>
      <c r="H35"/>
      <c r="I35">
        <v>934</v>
      </c>
      <c r="K35" s="10">
        <f t="shared" ref="K35:K69" si="1">SUM(C35+E35+G35+I35)</f>
        <v>28083</v>
      </c>
    </row>
    <row r="36" spans="1:11" x14ac:dyDescent="0.2">
      <c r="A36" t="s">
        <v>34</v>
      </c>
      <c r="B36" s="1">
        <v>2323</v>
      </c>
      <c r="C36">
        <v>2538</v>
      </c>
      <c r="D36"/>
      <c r="E36">
        <v>10021</v>
      </c>
      <c r="F36"/>
      <c r="G36">
        <v>1180</v>
      </c>
      <c r="H36"/>
      <c r="I36">
        <v>335</v>
      </c>
      <c r="K36" s="10">
        <f t="shared" si="1"/>
        <v>14074</v>
      </c>
    </row>
    <row r="37" spans="1:11" x14ac:dyDescent="0.2">
      <c r="A37" t="s">
        <v>35</v>
      </c>
      <c r="B37" s="1">
        <v>2324</v>
      </c>
      <c r="C37">
        <v>76778</v>
      </c>
      <c r="D37"/>
      <c r="E37">
        <v>52286</v>
      </c>
      <c r="F37"/>
      <c r="G37">
        <v>17358</v>
      </c>
      <c r="H37"/>
      <c r="I37">
        <v>3507</v>
      </c>
      <c r="K37" s="10">
        <f t="shared" si="1"/>
        <v>149929</v>
      </c>
    </row>
    <row r="38" spans="1:11" x14ac:dyDescent="0.2">
      <c r="A38" t="s">
        <v>36</v>
      </c>
      <c r="B38" s="1">
        <v>2325</v>
      </c>
      <c r="C38">
        <v>113010</v>
      </c>
      <c r="D38"/>
      <c r="E38">
        <v>183645</v>
      </c>
      <c r="F38"/>
      <c r="G38">
        <v>51726</v>
      </c>
      <c r="H38"/>
      <c r="I38">
        <v>16058</v>
      </c>
      <c r="K38" s="10">
        <f t="shared" si="1"/>
        <v>364439</v>
      </c>
    </row>
    <row r="39" spans="1:11" x14ac:dyDescent="0.2">
      <c r="A39" t="s">
        <v>37</v>
      </c>
      <c r="B39" s="1">
        <v>2326</v>
      </c>
      <c r="C39">
        <v>19671</v>
      </c>
      <c r="D39"/>
      <c r="E39">
        <v>30103</v>
      </c>
      <c r="F39"/>
      <c r="G39">
        <v>5651</v>
      </c>
      <c r="H39"/>
      <c r="I39">
        <v>1896</v>
      </c>
      <c r="K39" s="10">
        <f t="shared" si="1"/>
        <v>57321</v>
      </c>
    </row>
    <row r="40" spans="1:11" x14ac:dyDescent="0.2">
      <c r="A40" t="s">
        <v>38</v>
      </c>
      <c r="B40" s="1">
        <v>2327</v>
      </c>
      <c r="C40">
        <v>25451</v>
      </c>
      <c r="D40"/>
      <c r="E40">
        <v>52624</v>
      </c>
      <c r="F40"/>
      <c r="G40">
        <v>12349</v>
      </c>
      <c r="H40"/>
      <c r="I40">
        <v>3674</v>
      </c>
      <c r="K40" s="10">
        <f t="shared" si="1"/>
        <v>94098</v>
      </c>
    </row>
    <row r="41" spans="1:11" x14ac:dyDescent="0.2">
      <c r="A41" t="s">
        <v>39</v>
      </c>
      <c r="B41" s="1">
        <v>2328</v>
      </c>
      <c r="C41">
        <v>111769</v>
      </c>
      <c r="D41"/>
      <c r="E41">
        <v>89450</v>
      </c>
      <c r="F41"/>
      <c r="G41">
        <v>45782</v>
      </c>
      <c r="H41"/>
      <c r="I41">
        <v>7345</v>
      </c>
      <c r="K41" s="10">
        <f t="shared" si="1"/>
        <v>254346</v>
      </c>
    </row>
    <row r="42" spans="1:11" x14ac:dyDescent="0.2">
      <c r="A42" t="s">
        <v>40</v>
      </c>
      <c r="B42" s="1">
        <v>2329</v>
      </c>
      <c r="C42">
        <v>85329</v>
      </c>
      <c r="D42"/>
      <c r="E42">
        <v>90820</v>
      </c>
      <c r="F42"/>
      <c r="G42">
        <v>25860</v>
      </c>
      <c r="H42"/>
      <c r="I42">
        <v>5703</v>
      </c>
      <c r="K42" s="10">
        <f t="shared" si="1"/>
        <v>207712</v>
      </c>
    </row>
    <row r="43" spans="1:11" x14ac:dyDescent="0.2">
      <c r="A43" t="s">
        <v>41</v>
      </c>
      <c r="B43" s="1">
        <v>2330</v>
      </c>
      <c r="C43">
        <v>18206</v>
      </c>
      <c r="D43"/>
      <c r="E43">
        <v>43733</v>
      </c>
      <c r="F43"/>
      <c r="G43">
        <v>8010</v>
      </c>
      <c r="H43"/>
      <c r="I43">
        <v>2711</v>
      </c>
      <c r="K43" s="10">
        <f t="shared" si="1"/>
        <v>72660</v>
      </c>
    </row>
    <row r="44" spans="1:11" x14ac:dyDescent="0.2">
      <c r="A44" t="s">
        <v>91</v>
      </c>
      <c r="B44" s="1">
        <v>2331</v>
      </c>
      <c r="C44">
        <v>5311</v>
      </c>
      <c r="D44"/>
      <c r="E44">
        <v>16194</v>
      </c>
      <c r="F44"/>
      <c r="G44">
        <v>2744</v>
      </c>
      <c r="H44"/>
      <c r="I44">
        <v>1027</v>
      </c>
      <c r="K44" s="10">
        <f t="shared" si="1"/>
        <v>25276</v>
      </c>
    </row>
    <row r="45" spans="1:11" x14ac:dyDescent="0.2">
      <c r="A45" t="s">
        <v>43</v>
      </c>
      <c r="B45" s="1">
        <v>2332</v>
      </c>
      <c r="C45">
        <v>23121</v>
      </c>
      <c r="D45"/>
      <c r="E45">
        <v>38313</v>
      </c>
      <c r="F45"/>
      <c r="G45">
        <v>8435</v>
      </c>
      <c r="H45"/>
      <c r="I45">
        <v>2032</v>
      </c>
      <c r="K45" s="10">
        <f t="shared" si="1"/>
        <v>71901</v>
      </c>
    </row>
    <row r="46" spans="1:11" x14ac:dyDescent="0.2">
      <c r="A46" t="s">
        <v>44</v>
      </c>
      <c r="B46" s="1">
        <v>2333</v>
      </c>
      <c r="C46">
        <v>5372</v>
      </c>
      <c r="D46"/>
      <c r="E46">
        <v>18646</v>
      </c>
      <c r="F46"/>
      <c r="G46">
        <v>2511</v>
      </c>
      <c r="H46"/>
      <c r="I46">
        <v>621</v>
      </c>
      <c r="K46" s="10">
        <f t="shared" si="1"/>
        <v>27150</v>
      </c>
    </row>
    <row r="47" spans="1:11" x14ac:dyDescent="0.2">
      <c r="A47" t="s">
        <v>45</v>
      </c>
      <c r="B47" s="1">
        <v>2334</v>
      </c>
      <c r="C47">
        <v>48585</v>
      </c>
      <c r="D47"/>
      <c r="E47">
        <v>43321</v>
      </c>
      <c r="F47"/>
      <c r="G47">
        <v>20721</v>
      </c>
      <c r="H47"/>
      <c r="I47">
        <v>4985</v>
      </c>
      <c r="K47" s="10">
        <f t="shared" si="1"/>
        <v>117612</v>
      </c>
    </row>
    <row r="48" spans="1:11" x14ac:dyDescent="0.2">
      <c r="A48" t="s">
        <v>46</v>
      </c>
      <c r="B48" s="1">
        <v>2335</v>
      </c>
      <c r="C48">
        <v>305526</v>
      </c>
      <c r="D48"/>
      <c r="E48">
        <v>207600</v>
      </c>
      <c r="F48"/>
      <c r="G48">
        <v>84878</v>
      </c>
      <c r="H48"/>
      <c r="I48">
        <v>25923</v>
      </c>
      <c r="K48" s="10">
        <f t="shared" si="1"/>
        <v>623927</v>
      </c>
    </row>
    <row r="49" spans="1:11" x14ac:dyDescent="0.2">
      <c r="A49" t="s">
        <v>47</v>
      </c>
      <c r="B49" s="1">
        <v>2336</v>
      </c>
      <c r="C49">
        <v>3769</v>
      </c>
      <c r="D49"/>
      <c r="E49">
        <v>6549</v>
      </c>
      <c r="F49"/>
      <c r="G49">
        <v>1623</v>
      </c>
      <c r="H49"/>
      <c r="I49">
        <v>413</v>
      </c>
      <c r="K49" s="10">
        <f t="shared" si="1"/>
        <v>12354</v>
      </c>
    </row>
    <row r="50" spans="1:11" x14ac:dyDescent="0.2">
      <c r="A50" t="s">
        <v>48</v>
      </c>
      <c r="B50" s="1">
        <v>2337</v>
      </c>
      <c r="C50">
        <v>96147</v>
      </c>
      <c r="D50"/>
      <c r="E50">
        <v>86846</v>
      </c>
      <c r="F50"/>
      <c r="G50">
        <v>39874</v>
      </c>
      <c r="H50"/>
      <c r="I50">
        <v>9564</v>
      </c>
      <c r="K50" s="10">
        <f t="shared" si="1"/>
        <v>232431</v>
      </c>
    </row>
    <row r="51" spans="1:11" x14ac:dyDescent="0.2">
      <c r="A51" t="s">
        <v>49</v>
      </c>
      <c r="B51" s="1">
        <v>2338</v>
      </c>
      <c r="C51">
        <v>15329</v>
      </c>
      <c r="D51"/>
      <c r="E51">
        <v>31938</v>
      </c>
      <c r="F51"/>
      <c r="G51">
        <v>5837</v>
      </c>
      <c r="H51"/>
      <c r="I51">
        <v>2238</v>
      </c>
      <c r="K51" s="10">
        <f t="shared" si="1"/>
        <v>55342</v>
      </c>
    </row>
    <row r="52" spans="1:11" x14ac:dyDescent="0.2">
      <c r="A52" t="s">
        <v>50</v>
      </c>
      <c r="B52" s="1">
        <v>2339</v>
      </c>
      <c r="C52">
        <v>6027</v>
      </c>
      <c r="D52"/>
      <c r="E52">
        <v>20931</v>
      </c>
      <c r="F52"/>
      <c r="G52">
        <v>3439</v>
      </c>
      <c r="H52"/>
      <c r="I52">
        <v>850</v>
      </c>
      <c r="K52" s="10">
        <f t="shared" si="1"/>
        <v>31247</v>
      </c>
    </row>
    <row r="53" spans="1:11" x14ac:dyDescent="0.2">
      <c r="A53" t="s">
        <v>51</v>
      </c>
      <c r="B53" s="1">
        <v>2340</v>
      </c>
      <c r="C53">
        <v>778490</v>
      </c>
      <c r="D53"/>
      <c r="E53">
        <v>131180</v>
      </c>
      <c r="F53"/>
      <c r="G53">
        <v>153296</v>
      </c>
      <c r="H53"/>
      <c r="I53">
        <v>26349</v>
      </c>
      <c r="K53" s="10">
        <f t="shared" si="1"/>
        <v>1089315</v>
      </c>
    </row>
    <row r="54" spans="1:11" x14ac:dyDescent="0.2">
      <c r="A54" t="s">
        <v>52</v>
      </c>
      <c r="B54" s="1">
        <v>2341</v>
      </c>
      <c r="C54">
        <v>13625</v>
      </c>
      <c r="D54"/>
      <c r="E54">
        <v>23103</v>
      </c>
      <c r="F54"/>
      <c r="G54">
        <v>8517</v>
      </c>
      <c r="H54"/>
      <c r="I54">
        <v>2143</v>
      </c>
      <c r="K54" s="10">
        <f t="shared" si="1"/>
        <v>47388</v>
      </c>
    </row>
    <row r="55" spans="1:11" x14ac:dyDescent="0.2">
      <c r="A55" t="s">
        <v>53</v>
      </c>
      <c r="B55" s="1">
        <v>2342</v>
      </c>
      <c r="C55">
        <v>1736</v>
      </c>
      <c r="D55"/>
      <c r="E55">
        <v>7997</v>
      </c>
      <c r="F55"/>
      <c r="G55">
        <v>995</v>
      </c>
      <c r="H55"/>
      <c r="I55">
        <v>274</v>
      </c>
      <c r="K55" s="10">
        <f t="shared" si="1"/>
        <v>11002</v>
      </c>
    </row>
    <row r="56" spans="1:11" x14ac:dyDescent="0.2">
      <c r="A56" t="s">
        <v>54</v>
      </c>
      <c r="B56" s="1">
        <v>2343</v>
      </c>
      <c r="C56">
        <v>25356</v>
      </c>
      <c r="D56"/>
      <c r="E56">
        <v>53170</v>
      </c>
      <c r="F56"/>
      <c r="G56">
        <v>10169</v>
      </c>
      <c r="H56"/>
      <c r="I56">
        <v>3766</v>
      </c>
      <c r="K56" s="10">
        <f t="shared" si="1"/>
        <v>92461</v>
      </c>
    </row>
    <row r="57" spans="1:11" x14ac:dyDescent="0.2">
      <c r="A57" t="s">
        <v>55</v>
      </c>
      <c r="B57" s="1">
        <v>2344</v>
      </c>
      <c r="C57">
        <v>4890</v>
      </c>
      <c r="D57"/>
      <c r="E57">
        <v>15957</v>
      </c>
      <c r="F57"/>
      <c r="G57">
        <v>2352</v>
      </c>
      <c r="H57"/>
      <c r="I57">
        <v>672</v>
      </c>
      <c r="K57" s="10">
        <f t="shared" si="1"/>
        <v>23871</v>
      </c>
    </row>
    <row r="58" spans="1:11" x14ac:dyDescent="0.2">
      <c r="A58" t="s">
        <v>56</v>
      </c>
      <c r="B58" s="1">
        <v>2345</v>
      </c>
      <c r="C58">
        <v>10495</v>
      </c>
      <c r="D58"/>
      <c r="E58">
        <v>32815</v>
      </c>
      <c r="F58"/>
      <c r="G58">
        <v>4408</v>
      </c>
      <c r="H58"/>
      <c r="I58">
        <v>767</v>
      </c>
      <c r="K58" s="10">
        <f t="shared" si="1"/>
        <v>48485</v>
      </c>
    </row>
    <row r="59" spans="1:11" x14ac:dyDescent="0.2">
      <c r="A59" t="s">
        <v>57</v>
      </c>
      <c r="B59" s="1">
        <v>2346</v>
      </c>
      <c r="C59">
        <v>1070</v>
      </c>
      <c r="D59"/>
      <c r="E59">
        <v>2844</v>
      </c>
      <c r="F59"/>
      <c r="G59">
        <v>381</v>
      </c>
      <c r="H59"/>
      <c r="I59">
        <v>162</v>
      </c>
      <c r="K59" s="10">
        <f t="shared" si="1"/>
        <v>4457</v>
      </c>
    </row>
    <row r="60" spans="1:11" x14ac:dyDescent="0.2">
      <c r="A60" t="s">
        <v>58</v>
      </c>
      <c r="B60" s="1">
        <v>2347</v>
      </c>
      <c r="C60">
        <v>6221</v>
      </c>
      <c r="D60"/>
      <c r="E60">
        <v>17451</v>
      </c>
      <c r="F60"/>
      <c r="G60">
        <v>2940</v>
      </c>
      <c r="H60"/>
      <c r="I60">
        <v>1144</v>
      </c>
      <c r="K60" s="10">
        <f t="shared" si="1"/>
        <v>27756</v>
      </c>
    </row>
    <row r="61" spans="1:11" x14ac:dyDescent="0.2">
      <c r="A61" t="s">
        <v>59</v>
      </c>
      <c r="B61" s="1">
        <v>2348</v>
      </c>
      <c r="C61">
        <v>4927</v>
      </c>
      <c r="D61"/>
      <c r="E61">
        <v>18103</v>
      </c>
      <c r="F61"/>
      <c r="G61">
        <v>2970</v>
      </c>
      <c r="H61"/>
      <c r="I61">
        <v>797</v>
      </c>
      <c r="K61" s="10">
        <f t="shared" si="1"/>
        <v>26797</v>
      </c>
    </row>
    <row r="62" spans="1:11" x14ac:dyDescent="0.2">
      <c r="A62" t="s">
        <v>60</v>
      </c>
      <c r="B62" s="1">
        <v>2349</v>
      </c>
      <c r="C62">
        <v>7844</v>
      </c>
      <c r="D62"/>
      <c r="E62">
        <v>14389</v>
      </c>
      <c r="F62"/>
      <c r="G62">
        <v>3264</v>
      </c>
      <c r="H62"/>
      <c r="I62">
        <v>976</v>
      </c>
      <c r="K62" s="10">
        <f t="shared" si="1"/>
        <v>26473</v>
      </c>
    </row>
    <row r="63" spans="1:11" x14ac:dyDescent="0.2">
      <c r="A63" t="s">
        <v>61</v>
      </c>
      <c r="B63" s="1">
        <v>2350</v>
      </c>
      <c r="C63">
        <v>8023</v>
      </c>
      <c r="D63"/>
      <c r="E63">
        <v>20116</v>
      </c>
      <c r="F63"/>
      <c r="G63">
        <v>3436</v>
      </c>
      <c r="H63"/>
      <c r="I63">
        <v>1218</v>
      </c>
      <c r="K63" s="10">
        <f t="shared" si="1"/>
        <v>32793</v>
      </c>
    </row>
    <row r="64" spans="1:11" x14ac:dyDescent="0.2">
      <c r="A64" t="s">
        <v>62</v>
      </c>
      <c r="B64" s="1">
        <v>2351</v>
      </c>
      <c r="C64">
        <v>6338</v>
      </c>
      <c r="D64"/>
      <c r="E64">
        <v>15233</v>
      </c>
      <c r="F64"/>
      <c r="G64">
        <v>2601</v>
      </c>
      <c r="H64"/>
      <c r="I64">
        <v>1246</v>
      </c>
      <c r="K64" s="10">
        <f t="shared" si="1"/>
        <v>25418</v>
      </c>
    </row>
    <row r="65" spans="1:11" x14ac:dyDescent="0.2">
      <c r="A65" t="s">
        <v>63</v>
      </c>
      <c r="B65" s="1">
        <v>2352</v>
      </c>
      <c r="C65">
        <v>52542</v>
      </c>
      <c r="D65"/>
      <c r="E65">
        <v>72650</v>
      </c>
      <c r="F65"/>
      <c r="G65">
        <v>15955</v>
      </c>
      <c r="H65"/>
      <c r="I65">
        <v>3764</v>
      </c>
      <c r="K65" s="10">
        <f t="shared" si="1"/>
        <v>144911</v>
      </c>
    </row>
    <row r="66" spans="1:11" x14ac:dyDescent="0.2">
      <c r="A66" t="s">
        <v>64</v>
      </c>
      <c r="B66" s="1">
        <v>2353</v>
      </c>
      <c r="C66">
        <v>8714</v>
      </c>
      <c r="D66"/>
      <c r="E66">
        <v>21741</v>
      </c>
      <c r="F66"/>
      <c r="G66">
        <v>5194</v>
      </c>
      <c r="H66"/>
      <c r="I66">
        <v>1047</v>
      </c>
      <c r="K66" s="10">
        <f t="shared" si="1"/>
        <v>36696</v>
      </c>
    </row>
    <row r="67" spans="1:11" x14ac:dyDescent="0.2">
      <c r="A67" t="s">
        <v>65</v>
      </c>
      <c r="B67" s="1">
        <v>2354</v>
      </c>
      <c r="C67">
        <v>86707</v>
      </c>
      <c r="D67"/>
      <c r="E67">
        <v>130777</v>
      </c>
      <c r="F67"/>
      <c r="G67">
        <v>23992</v>
      </c>
      <c r="H67"/>
      <c r="I67">
        <v>9185</v>
      </c>
      <c r="K67" s="10">
        <f t="shared" si="1"/>
        <v>250661</v>
      </c>
    </row>
    <row r="68" spans="1:11" x14ac:dyDescent="0.2">
      <c r="A68" t="s">
        <v>66</v>
      </c>
      <c r="B68" s="1">
        <v>2355</v>
      </c>
      <c r="C68">
        <v>4681</v>
      </c>
      <c r="D68"/>
      <c r="E68">
        <v>11313</v>
      </c>
      <c r="F68"/>
      <c r="G68">
        <v>1819</v>
      </c>
      <c r="H68"/>
      <c r="I68">
        <v>661</v>
      </c>
      <c r="K68" s="10">
        <f t="shared" si="1"/>
        <v>18474</v>
      </c>
    </row>
    <row r="69" spans="1:11" ht="13.5" thickBot="1" x14ac:dyDescent="0.25">
      <c r="A69" s="2" t="s">
        <v>67</v>
      </c>
      <c r="B69" s="5">
        <v>2356</v>
      </c>
      <c r="C69">
        <v>96620</v>
      </c>
      <c r="D69"/>
      <c r="E69">
        <v>168273</v>
      </c>
      <c r="F69"/>
      <c r="G69">
        <v>54138</v>
      </c>
      <c r="H69"/>
      <c r="I69">
        <v>8871</v>
      </c>
      <c r="J69" s="13"/>
      <c r="K69" s="10">
        <f t="shared" si="1"/>
        <v>327902</v>
      </c>
    </row>
    <row r="70" spans="1:11" ht="21.75" customHeight="1" x14ac:dyDescent="0.2">
      <c r="A70" s="6" t="s">
        <v>68</v>
      </c>
      <c r="C70" s="14">
        <f>SUM(C3:C69)</f>
        <v>3846695</v>
      </c>
      <c r="D70" s="14"/>
      <c r="E70" s="14">
        <f>SUM(E3:E69)</f>
        <v>3634536</v>
      </c>
      <c r="F70" s="14"/>
      <c r="G70" s="14">
        <f>SUM(G3:G69)</f>
        <v>1190184</v>
      </c>
      <c r="H70" s="14"/>
      <c r="I70" s="14">
        <f>SUM(I3:I69)</f>
        <v>314259</v>
      </c>
      <c r="J70" s="14"/>
      <c r="K70" s="44">
        <f>SUM(K3:K69)</f>
        <v>8985674</v>
      </c>
    </row>
    <row r="71" spans="1:11" x14ac:dyDescent="0.2">
      <c r="I71" s="31"/>
    </row>
    <row r="73" spans="1:11" x14ac:dyDescent="0.2">
      <c r="I73" s="11"/>
      <c r="K73" s="11"/>
    </row>
    <row r="75" spans="1:11" x14ac:dyDescent="0.2">
      <c r="E75" s="40"/>
      <c r="K75" s="10"/>
    </row>
    <row r="76" spans="1:11" x14ac:dyDescent="0.2">
      <c r="E76" s="40"/>
    </row>
    <row r="77" spans="1:11" x14ac:dyDescent="0.2">
      <c r="E77" s="40"/>
    </row>
    <row r="78" spans="1:11" x14ac:dyDescent="0.2">
      <c r="E78" s="40"/>
    </row>
    <row r="79" spans="1:11" x14ac:dyDescent="0.2">
      <c r="E79" s="40"/>
    </row>
    <row r="80" spans="1:11" x14ac:dyDescent="0.2">
      <c r="C80" s="40"/>
      <c r="E80" s="40"/>
    </row>
    <row r="81" spans="3:11" x14ac:dyDescent="0.2">
      <c r="E81" s="41"/>
    </row>
    <row r="82" spans="3:11" x14ac:dyDescent="0.2">
      <c r="E82" s="41"/>
      <c r="K82"/>
    </row>
    <row r="83" spans="3:11" x14ac:dyDescent="0.2">
      <c r="E83" s="41"/>
      <c r="K83"/>
    </row>
    <row r="84" spans="3:11" x14ac:dyDescent="0.2">
      <c r="C84" s="10"/>
      <c r="K84"/>
    </row>
    <row r="85" spans="3:11" x14ac:dyDescent="0.2">
      <c r="K85"/>
    </row>
    <row r="86" spans="3:11" x14ac:dyDescent="0.2">
      <c r="C86" s="1"/>
      <c r="K86"/>
    </row>
    <row r="87" spans="3:11" x14ac:dyDescent="0.2">
      <c r="K87"/>
    </row>
    <row r="88" spans="3:11" x14ac:dyDescent="0.2">
      <c r="K88"/>
    </row>
    <row r="89" spans="3:11" x14ac:dyDescent="0.2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50" activePane="bottomLeft" state="frozen"/>
      <selection pane="bottomLeft" activeCell="M18" sqref="M18"/>
    </sheetView>
  </sheetViews>
  <sheetFormatPr defaultColWidth="9.140625" defaultRowHeight="12.75" x14ac:dyDescent="0.2"/>
  <cols>
    <col min="1" max="1" width="19.140625" style="11" bestFit="1" customWidth="1"/>
    <col min="2" max="2" width="10.42578125" customWidth="1"/>
    <col min="3" max="3" width="12.5703125" customWidth="1"/>
    <col min="4" max="4" width="11" customWidth="1"/>
    <col min="5" max="5" width="12.42578125" customWidth="1"/>
    <col min="6" max="6" width="11.85546875" customWidth="1"/>
    <col min="7" max="7" width="11.140625" customWidth="1"/>
    <col min="8" max="8" width="15.140625" customWidth="1"/>
    <col min="9" max="9" width="13.5703125" customWidth="1"/>
    <col min="10" max="10" width="8" style="1" customWidth="1"/>
    <col min="12" max="12" width="11.28515625" bestFit="1" customWidth="1"/>
    <col min="13" max="13" width="10.5703125" bestFit="1" customWidth="1"/>
    <col min="14" max="14" width="11.28515625" bestFit="1" customWidth="1"/>
    <col min="15" max="15" width="10" bestFit="1" customWidth="1"/>
  </cols>
  <sheetData>
    <row r="1" spans="1:15" x14ac:dyDescent="0.2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">
      <c r="A4" s="64" t="s">
        <v>1</v>
      </c>
      <c r="B4" s="42">
        <v>3</v>
      </c>
      <c r="C4" s="42">
        <v>5</v>
      </c>
      <c r="D4" s="42">
        <v>5</v>
      </c>
      <c r="E4" s="42">
        <v>7</v>
      </c>
      <c r="F4" s="42">
        <v>125</v>
      </c>
      <c r="G4" s="42">
        <v>155</v>
      </c>
      <c r="H4" s="42">
        <v>126</v>
      </c>
      <c r="I4" s="42">
        <v>166</v>
      </c>
      <c r="J4"/>
      <c r="K4" s="11"/>
      <c r="L4" s="11"/>
      <c r="M4" s="11"/>
      <c r="N4" s="11"/>
      <c r="O4" s="11"/>
    </row>
    <row r="5" spans="1:15" x14ac:dyDescent="0.2">
      <c r="A5" s="64" t="s">
        <v>2</v>
      </c>
      <c r="B5" s="42">
        <v>25</v>
      </c>
      <c r="C5" s="42">
        <v>83</v>
      </c>
      <c r="D5" s="42">
        <v>38</v>
      </c>
      <c r="E5" s="42">
        <v>16</v>
      </c>
      <c r="F5" s="42">
        <v>1404</v>
      </c>
      <c r="G5" s="42">
        <v>2536</v>
      </c>
      <c r="H5" s="42">
        <v>1418</v>
      </c>
      <c r="I5" s="42">
        <v>686</v>
      </c>
      <c r="J5"/>
      <c r="K5" s="11"/>
      <c r="L5" s="11"/>
      <c r="M5" s="11"/>
      <c r="N5" s="11"/>
      <c r="O5" s="11"/>
    </row>
    <row r="6" spans="1:15" x14ac:dyDescent="0.2">
      <c r="A6" s="64" t="s">
        <v>3</v>
      </c>
      <c r="B6" s="42">
        <v>2</v>
      </c>
      <c r="C6" s="42">
        <v>1</v>
      </c>
      <c r="D6" s="42">
        <v>4</v>
      </c>
      <c r="E6" s="42">
        <v>0</v>
      </c>
      <c r="F6" s="42">
        <v>40</v>
      </c>
      <c r="G6" s="42">
        <v>36</v>
      </c>
      <c r="H6" s="42">
        <v>109</v>
      </c>
      <c r="I6" s="42">
        <v>44</v>
      </c>
      <c r="J6"/>
      <c r="K6" s="11"/>
      <c r="L6" s="11"/>
      <c r="M6" s="11"/>
      <c r="N6" s="11"/>
      <c r="O6" s="11"/>
    </row>
    <row r="7" spans="1:15" x14ac:dyDescent="0.2">
      <c r="A7" s="64" t="s">
        <v>4</v>
      </c>
      <c r="B7" s="42">
        <v>2</v>
      </c>
      <c r="C7" s="42">
        <v>1</v>
      </c>
      <c r="D7" s="42">
        <v>6</v>
      </c>
      <c r="E7" s="42">
        <v>7</v>
      </c>
      <c r="F7" s="42">
        <v>136</v>
      </c>
      <c r="G7" s="42">
        <v>183</v>
      </c>
      <c r="H7" s="42">
        <v>269</v>
      </c>
      <c r="I7" s="42">
        <v>108</v>
      </c>
      <c r="J7"/>
      <c r="K7" s="11"/>
      <c r="L7" s="11"/>
      <c r="M7" s="11"/>
      <c r="N7" s="11"/>
      <c r="O7" s="11"/>
    </row>
    <row r="8" spans="1:15" x14ac:dyDescent="0.2">
      <c r="A8" s="64" t="s">
        <v>5</v>
      </c>
      <c r="B8" s="42">
        <v>1</v>
      </c>
      <c r="C8" s="42">
        <v>0</v>
      </c>
      <c r="D8" s="42">
        <v>3</v>
      </c>
      <c r="E8" s="42">
        <v>1</v>
      </c>
      <c r="F8" s="42">
        <v>20</v>
      </c>
      <c r="G8" s="42">
        <v>18</v>
      </c>
      <c r="H8" s="42">
        <v>33</v>
      </c>
      <c r="I8" s="42">
        <v>24</v>
      </c>
      <c r="J8"/>
      <c r="K8" s="11"/>
      <c r="L8" s="11"/>
      <c r="M8" s="11"/>
      <c r="N8" s="11"/>
      <c r="O8" s="11"/>
    </row>
    <row r="9" spans="1:15" x14ac:dyDescent="0.2">
      <c r="A9" s="64" t="s">
        <v>6</v>
      </c>
      <c r="B9" s="42">
        <v>17</v>
      </c>
      <c r="C9" s="42">
        <v>24</v>
      </c>
      <c r="D9" s="42">
        <v>17</v>
      </c>
      <c r="E9" s="42">
        <v>16</v>
      </c>
      <c r="F9" s="42">
        <v>558</v>
      </c>
      <c r="G9" s="42">
        <v>837</v>
      </c>
      <c r="H9" s="42">
        <v>689</v>
      </c>
      <c r="I9" s="42">
        <v>541</v>
      </c>
      <c r="J9"/>
      <c r="K9" s="11"/>
      <c r="L9" s="11"/>
      <c r="M9" s="11"/>
      <c r="N9" s="11"/>
      <c r="O9" s="11"/>
    </row>
    <row r="10" spans="1:15" x14ac:dyDescent="0.2">
      <c r="A10" s="64" t="s">
        <v>7</v>
      </c>
      <c r="B10" s="42">
        <v>2</v>
      </c>
      <c r="C10" s="42">
        <v>4</v>
      </c>
      <c r="D10" s="42">
        <v>4</v>
      </c>
      <c r="E10" s="42">
        <v>2</v>
      </c>
      <c r="F10" s="42">
        <v>112</v>
      </c>
      <c r="G10" s="42">
        <v>128</v>
      </c>
      <c r="H10" s="42">
        <v>112</v>
      </c>
      <c r="I10" s="42">
        <v>103</v>
      </c>
      <c r="J10"/>
      <c r="K10" s="11"/>
      <c r="L10" s="11"/>
      <c r="M10" s="11"/>
      <c r="N10" s="11"/>
      <c r="O10" s="11"/>
    </row>
    <row r="11" spans="1:15" x14ac:dyDescent="0.2">
      <c r="A11" s="64" t="s">
        <v>8</v>
      </c>
      <c r="B11" s="42">
        <v>1</v>
      </c>
      <c r="C11" s="42">
        <v>1</v>
      </c>
      <c r="D11" s="42">
        <v>1</v>
      </c>
      <c r="E11" s="42">
        <v>0</v>
      </c>
      <c r="F11" s="42">
        <v>51</v>
      </c>
      <c r="G11" s="42">
        <v>50</v>
      </c>
      <c r="H11" s="42">
        <v>64</v>
      </c>
      <c r="I11" s="42">
        <v>73</v>
      </c>
      <c r="J11"/>
      <c r="K11" s="11"/>
      <c r="L11" s="11"/>
      <c r="M11" s="11"/>
      <c r="N11" s="11"/>
      <c r="O11" s="11"/>
    </row>
    <row r="12" spans="1:15" s="21" customFormat="1" x14ac:dyDescent="0.2">
      <c r="A12" s="65" t="s">
        <v>9</v>
      </c>
      <c r="B12" s="42">
        <v>30</v>
      </c>
      <c r="C12" s="42">
        <v>39</v>
      </c>
      <c r="D12" s="42">
        <v>24</v>
      </c>
      <c r="E12" s="42">
        <v>16</v>
      </c>
      <c r="F12" s="42">
        <v>1041</v>
      </c>
      <c r="G12" s="42">
        <v>1644</v>
      </c>
      <c r="H12" s="42">
        <v>906</v>
      </c>
      <c r="I12" s="42">
        <v>916</v>
      </c>
      <c r="J12"/>
      <c r="K12" s="11"/>
      <c r="L12" s="11"/>
      <c r="M12" s="11"/>
      <c r="N12" s="11"/>
      <c r="O12" s="11"/>
    </row>
    <row r="13" spans="1:15" x14ac:dyDescent="0.2">
      <c r="A13" s="64" t="s">
        <v>10</v>
      </c>
      <c r="B13" s="42">
        <v>15</v>
      </c>
      <c r="C13" s="42">
        <v>15</v>
      </c>
      <c r="D13" s="42">
        <v>15</v>
      </c>
      <c r="E13" s="42">
        <v>9</v>
      </c>
      <c r="F13" s="42">
        <v>205</v>
      </c>
      <c r="G13" s="42">
        <v>250</v>
      </c>
      <c r="H13" s="42">
        <v>171</v>
      </c>
      <c r="I13" s="42">
        <v>179</v>
      </c>
      <c r="J13"/>
      <c r="K13" s="11"/>
      <c r="L13" s="11"/>
      <c r="M13" s="11"/>
      <c r="N13" s="11"/>
      <c r="O13" s="11"/>
    </row>
    <row r="14" spans="1:15" x14ac:dyDescent="0.2">
      <c r="A14" s="64" t="s">
        <v>11</v>
      </c>
      <c r="B14" s="42">
        <v>3</v>
      </c>
      <c r="C14" s="42">
        <v>3</v>
      </c>
      <c r="D14" s="42">
        <v>7</v>
      </c>
      <c r="E14" s="42">
        <v>1</v>
      </c>
      <c r="F14" s="42">
        <v>114</v>
      </c>
      <c r="G14" s="42">
        <v>94</v>
      </c>
      <c r="H14" s="42">
        <v>253</v>
      </c>
      <c r="I14" s="42">
        <v>93</v>
      </c>
      <c r="J14"/>
      <c r="K14" s="11"/>
      <c r="L14" s="11"/>
      <c r="M14" s="11"/>
      <c r="N14" s="11"/>
      <c r="O14" s="11"/>
    </row>
    <row r="15" spans="1:15" s="21" customFormat="1" x14ac:dyDescent="0.2">
      <c r="A15" s="65" t="s">
        <v>12</v>
      </c>
      <c r="B15" s="42">
        <v>0</v>
      </c>
      <c r="C15" s="42">
        <v>0</v>
      </c>
      <c r="D15" s="42">
        <v>0</v>
      </c>
      <c r="E15" s="42">
        <v>0</v>
      </c>
      <c r="F15" s="42">
        <v>3</v>
      </c>
      <c r="G15" s="42">
        <v>2</v>
      </c>
      <c r="H15" s="42">
        <v>10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">
      <c r="A16" s="64" t="s">
        <v>13</v>
      </c>
      <c r="B16" s="42">
        <v>5</v>
      </c>
      <c r="C16" s="42">
        <v>1</v>
      </c>
      <c r="D16" s="42">
        <v>10</v>
      </c>
      <c r="E16" s="42">
        <v>4</v>
      </c>
      <c r="F16" s="42">
        <v>70</v>
      </c>
      <c r="G16" s="42">
        <v>103</v>
      </c>
      <c r="H16" s="42">
        <v>111</v>
      </c>
      <c r="I16" s="42">
        <v>83</v>
      </c>
      <c r="J16"/>
      <c r="K16" s="11"/>
      <c r="L16" s="11"/>
      <c r="M16" s="11"/>
      <c r="N16" s="11"/>
      <c r="O16" s="11"/>
    </row>
    <row r="17" spans="1:15" x14ac:dyDescent="0.2">
      <c r="A17" s="64" t="s">
        <v>14</v>
      </c>
      <c r="B17" s="42">
        <v>0</v>
      </c>
      <c r="C17" s="42">
        <v>0</v>
      </c>
      <c r="D17" s="42">
        <v>0</v>
      </c>
      <c r="E17" s="42">
        <v>2</v>
      </c>
      <c r="F17" s="42">
        <v>145</v>
      </c>
      <c r="G17" s="42">
        <v>191</v>
      </c>
      <c r="H17" s="42">
        <v>77</v>
      </c>
      <c r="I17" s="42">
        <v>103</v>
      </c>
      <c r="J17"/>
      <c r="K17" s="11"/>
      <c r="L17" s="11"/>
      <c r="M17" s="11"/>
      <c r="N17" s="11"/>
      <c r="O17" s="11"/>
    </row>
    <row r="18" spans="1:15" s="21" customFormat="1" x14ac:dyDescent="0.2">
      <c r="A18" s="65" t="s">
        <v>15</v>
      </c>
      <c r="B18" s="42">
        <v>24</v>
      </c>
      <c r="C18" s="42">
        <v>38</v>
      </c>
      <c r="D18" s="42">
        <v>15</v>
      </c>
      <c r="E18" s="42">
        <v>15</v>
      </c>
      <c r="F18" s="42">
        <v>814</v>
      </c>
      <c r="G18" s="42">
        <v>1368</v>
      </c>
      <c r="H18" s="42">
        <v>452</v>
      </c>
      <c r="I18" s="42">
        <v>637</v>
      </c>
      <c r="J18"/>
      <c r="K18" s="11"/>
      <c r="L18" s="11"/>
      <c r="M18" s="11"/>
      <c r="N18" s="11"/>
      <c r="O18" s="11"/>
    </row>
    <row r="19" spans="1:15" x14ac:dyDescent="0.2">
      <c r="A19" s="64" t="s">
        <v>16</v>
      </c>
      <c r="B19" s="42">
        <v>0</v>
      </c>
      <c r="C19" s="42">
        <v>0</v>
      </c>
      <c r="D19" s="42">
        <v>4</v>
      </c>
      <c r="E19" s="42">
        <v>2</v>
      </c>
      <c r="F19" s="42">
        <v>21</v>
      </c>
      <c r="G19" s="42">
        <v>18</v>
      </c>
      <c r="H19" s="42">
        <v>39</v>
      </c>
      <c r="I19" s="42">
        <v>15</v>
      </c>
      <c r="J19"/>
      <c r="K19" s="11"/>
      <c r="L19" s="11"/>
      <c r="M19" s="11"/>
      <c r="N19" s="11"/>
      <c r="O19" s="11"/>
    </row>
    <row r="20" spans="1:15" x14ac:dyDescent="0.2">
      <c r="A20" s="64" t="s">
        <v>17</v>
      </c>
      <c r="B20" s="42">
        <v>0</v>
      </c>
      <c r="C20" s="42">
        <v>0</v>
      </c>
      <c r="D20" s="42">
        <v>3</v>
      </c>
      <c r="E20" s="42">
        <v>1</v>
      </c>
      <c r="F20" s="42">
        <v>38</v>
      </c>
      <c r="G20" s="42">
        <v>51</v>
      </c>
      <c r="H20" s="42">
        <v>113</v>
      </c>
      <c r="I20" s="42">
        <v>71</v>
      </c>
      <c r="J20"/>
      <c r="K20" s="11"/>
      <c r="L20" s="11"/>
      <c r="M20" s="11"/>
      <c r="N20" s="11"/>
      <c r="O20" s="11"/>
    </row>
    <row r="21" spans="1:15" x14ac:dyDescent="0.2">
      <c r="A21" s="64" t="s">
        <v>18</v>
      </c>
      <c r="B21" s="42">
        <v>1</v>
      </c>
      <c r="C21" s="42">
        <v>1</v>
      </c>
      <c r="D21" s="42">
        <v>0</v>
      </c>
      <c r="E21" s="42">
        <v>0</v>
      </c>
      <c r="F21" s="42">
        <v>32</v>
      </c>
      <c r="G21" s="42">
        <v>40</v>
      </c>
      <c r="H21" s="42">
        <v>40</v>
      </c>
      <c r="I21" s="42">
        <v>37</v>
      </c>
      <c r="J21"/>
      <c r="K21" s="11"/>
      <c r="L21" s="11"/>
      <c r="M21" s="11"/>
      <c r="N21" s="11"/>
      <c r="O21" s="11"/>
    </row>
    <row r="22" spans="1:15" x14ac:dyDescent="0.2">
      <c r="A22" s="64" t="s">
        <v>19</v>
      </c>
      <c r="B22" s="42">
        <v>0</v>
      </c>
      <c r="C22" s="42">
        <v>1</v>
      </c>
      <c r="D22" s="42">
        <v>4</v>
      </c>
      <c r="E22" s="42">
        <v>1</v>
      </c>
      <c r="F22" s="42">
        <v>49</v>
      </c>
      <c r="G22" s="42">
        <v>60</v>
      </c>
      <c r="H22" s="42">
        <v>67</v>
      </c>
      <c r="I22" s="42">
        <v>45</v>
      </c>
      <c r="J22"/>
      <c r="K22" s="11"/>
      <c r="L22" s="11"/>
      <c r="M22" s="11"/>
      <c r="N22" s="11"/>
      <c r="O22" s="11"/>
    </row>
    <row r="23" spans="1:15" x14ac:dyDescent="0.2">
      <c r="A23" s="64" t="s">
        <v>20</v>
      </c>
      <c r="B23" s="42">
        <v>1</v>
      </c>
      <c r="C23" s="42">
        <v>1</v>
      </c>
      <c r="D23" s="42">
        <v>1</v>
      </c>
      <c r="E23" s="42">
        <v>0</v>
      </c>
      <c r="F23" s="42">
        <v>63</v>
      </c>
      <c r="G23" s="42">
        <v>53</v>
      </c>
      <c r="H23" s="42">
        <v>68</v>
      </c>
      <c r="I23" s="42">
        <v>47</v>
      </c>
      <c r="J23"/>
      <c r="K23" s="11"/>
      <c r="L23" s="11"/>
      <c r="M23" s="11"/>
      <c r="N23" s="11"/>
      <c r="O23" s="11"/>
    </row>
    <row r="24" spans="1:15" x14ac:dyDescent="0.2">
      <c r="A24" s="64" t="s">
        <v>21</v>
      </c>
      <c r="B24" s="42">
        <v>12</v>
      </c>
      <c r="C24" s="42">
        <v>12</v>
      </c>
      <c r="D24" s="42">
        <v>8</v>
      </c>
      <c r="E24" s="42">
        <v>11</v>
      </c>
      <c r="F24" s="42">
        <v>460</v>
      </c>
      <c r="G24" s="42">
        <v>660</v>
      </c>
      <c r="H24" s="42">
        <v>297</v>
      </c>
      <c r="I24" s="42">
        <v>408</v>
      </c>
      <c r="J24"/>
      <c r="K24" s="11"/>
      <c r="L24" s="11"/>
      <c r="M24" s="11"/>
      <c r="N24" s="11"/>
      <c r="O24" s="11"/>
    </row>
    <row r="25" spans="1:15" x14ac:dyDescent="0.2">
      <c r="A25" s="64" t="s">
        <v>22</v>
      </c>
      <c r="B25" s="42">
        <v>18</v>
      </c>
      <c r="C25" s="42">
        <v>19</v>
      </c>
      <c r="D25" s="42">
        <v>14</v>
      </c>
      <c r="E25" s="42">
        <v>5</v>
      </c>
      <c r="F25" s="42">
        <v>715</v>
      </c>
      <c r="G25" s="42">
        <v>1371</v>
      </c>
      <c r="H25" s="42">
        <v>416</v>
      </c>
      <c r="I25" s="42">
        <v>360</v>
      </c>
      <c r="J25"/>
      <c r="K25" s="11"/>
      <c r="L25" s="11"/>
      <c r="M25" s="11"/>
      <c r="N25" s="11"/>
      <c r="O25" s="11"/>
    </row>
    <row r="26" spans="1:15" x14ac:dyDescent="0.2">
      <c r="A26" s="64" t="s">
        <v>23</v>
      </c>
      <c r="B26" s="42">
        <v>17</v>
      </c>
      <c r="C26" s="42">
        <v>32</v>
      </c>
      <c r="D26" s="42">
        <v>7</v>
      </c>
      <c r="E26" s="42">
        <v>7</v>
      </c>
      <c r="F26" s="42">
        <v>814</v>
      </c>
      <c r="G26" s="42">
        <v>1005</v>
      </c>
      <c r="H26" s="42">
        <v>509</v>
      </c>
      <c r="I26" s="42">
        <v>280</v>
      </c>
      <c r="J26"/>
      <c r="K26" s="11"/>
      <c r="L26" s="11"/>
      <c r="M26" s="11"/>
      <c r="N26" s="11"/>
      <c r="O26" s="11"/>
    </row>
    <row r="27" spans="1:15" x14ac:dyDescent="0.2">
      <c r="A27" s="64" t="s">
        <v>24</v>
      </c>
      <c r="B27" s="42">
        <v>0</v>
      </c>
      <c r="C27" s="42">
        <v>0</v>
      </c>
      <c r="D27" s="42">
        <v>1</v>
      </c>
      <c r="E27" s="42">
        <v>1</v>
      </c>
      <c r="F27" s="42">
        <v>20</v>
      </c>
      <c r="G27" s="42">
        <v>17</v>
      </c>
      <c r="H27" s="42">
        <v>50</v>
      </c>
      <c r="I27" s="42">
        <v>17</v>
      </c>
      <c r="J27"/>
      <c r="K27" s="11"/>
      <c r="L27" s="11"/>
      <c r="M27" s="11"/>
      <c r="N27" s="11"/>
      <c r="O27" s="11"/>
    </row>
    <row r="28" spans="1:15" x14ac:dyDescent="0.2">
      <c r="A28" s="64" t="s">
        <v>25</v>
      </c>
      <c r="B28" s="42">
        <v>7</v>
      </c>
      <c r="C28" s="42">
        <v>10</v>
      </c>
      <c r="D28" s="42">
        <v>5</v>
      </c>
      <c r="E28" s="42">
        <v>5</v>
      </c>
      <c r="F28" s="42">
        <v>314</v>
      </c>
      <c r="G28" s="42">
        <v>329</v>
      </c>
      <c r="H28" s="42">
        <v>324</v>
      </c>
      <c r="I28" s="42">
        <v>160</v>
      </c>
      <c r="J28"/>
      <c r="K28" s="11"/>
      <c r="L28" s="11"/>
      <c r="M28" s="11"/>
      <c r="N28" s="11"/>
      <c r="O28" s="11"/>
    </row>
    <row r="29" spans="1:15" x14ac:dyDescent="0.2">
      <c r="A29" s="64" t="s">
        <v>26</v>
      </c>
      <c r="B29" s="42">
        <v>1</v>
      </c>
      <c r="C29" s="42">
        <v>1</v>
      </c>
      <c r="D29" s="42">
        <v>3</v>
      </c>
      <c r="E29" s="42">
        <v>1</v>
      </c>
      <c r="F29" s="42">
        <v>112</v>
      </c>
      <c r="G29" s="42">
        <v>89</v>
      </c>
      <c r="H29" s="42">
        <v>279</v>
      </c>
      <c r="I29" s="42">
        <v>91</v>
      </c>
      <c r="J29"/>
      <c r="K29" s="11"/>
      <c r="L29" s="11"/>
      <c r="M29" s="11"/>
      <c r="N29" s="11"/>
      <c r="O29" s="11"/>
    </row>
    <row r="30" spans="1:15" x14ac:dyDescent="0.2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4</v>
      </c>
      <c r="G30" s="42">
        <v>0</v>
      </c>
      <c r="H30" s="42">
        <v>4</v>
      </c>
      <c r="I30" s="42">
        <v>3</v>
      </c>
      <c r="J30"/>
      <c r="K30" s="11"/>
      <c r="L30" s="11"/>
      <c r="M30" s="11"/>
      <c r="N30" s="11"/>
      <c r="O30" s="11"/>
    </row>
    <row r="31" spans="1:15" x14ac:dyDescent="0.2">
      <c r="A31" s="64" t="s">
        <v>28</v>
      </c>
      <c r="B31" s="42">
        <v>7</v>
      </c>
      <c r="C31" s="42">
        <v>16</v>
      </c>
      <c r="D31" s="42">
        <v>7</v>
      </c>
      <c r="E31" s="42">
        <v>7</v>
      </c>
      <c r="F31" s="42">
        <v>191</v>
      </c>
      <c r="G31" s="42">
        <v>221</v>
      </c>
      <c r="H31" s="42">
        <v>154</v>
      </c>
      <c r="I31" s="42">
        <v>219</v>
      </c>
      <c r="J31"/>
      <c r="K31" s="11"/>
      <c r="L31" s="11"/>
      <c r="M31" s="11"/>
      <c r="N31" s="11"/>
      <c r="O31" s="11"/>
    </row>
    <row r="32" spans="1:15" x14ac:dyDescent="0.2">
      <c r="A32" s="64" t="s">
        <v>29</v>
      </c>
      <c r="B32" s="42">
        <v>1</v>
      </c>
      <c r="C32" s="42">
        <v>0</v>
      </c>
      <c r="D32" s="42">
        <v>0</v>
      </c>
      <c r="E32" s="42">
        <v>1</v>
      </c>
      <c r="F32" s="42">
        <v>7</v>
      </c>
      <c r="G32" s="42">
        <v>3</v>
      </c>
      <c r="H32" s="42">
        <v>18</v>
      </c>
      <c r="I32" s="42">
        <v>15</v>
      </c>
      <c r="J32"/>
      <c r="K32" s="11"/>
      <c r="L32" s="11"/>
      <c r="M32" s="11"/>
      <c r="N32" s="11"/>
      <c r="O32" s="11"/>
    </row>
    <row r="33" spans="1:15" x14ac:dyDescent="0.2">
      <c r="A33" s="64" t="s">
        <v>30</v>
      </c>
      <c r="B33" s="42">
        <v>0</v>
      </c>
      <c r="C33" s="42">
        <v>0</v>
      </c>
      <c r="D33" s="42">
        <v>2</v>
      </c>
      <c r="E33" s="42">
        <v>0</v>
      </c>
      <c r="F33" s="42">
        <v>21</v>
      </c>
      <c r="G33" s="42">
        <v>13</v>
      </c>
      <c r="H33" s="42">
        <v>97</v>
      </c>
      <c r="I33" s="42">
        <v>44</v>
      </c>
      <c r="J33"/>
      <c r="K33" s="11"/>
      <c r="L33" s="11"/>
      <c r="M33" s="11"/>
      <c r="N33" s="11"/>
      <c r="O33" s="11"/>
    </row>
    <row r="34" spans="1:15" x14ac:dyDescent="0.2">
      <c r="A34" s="64" t="s">
        <v>31</v>
      </c>
      <c r="B34" s="42">
        <v>0</v>
      </c>
      <c r="C34" s="42">
        <v>1</v>
      </c>
      <c r="D34" s="42">
        <v>3</v>
      </c>
      <c r="E34" s="42">
        <v>0</v>
      </c>
      <c r="F34" s="42">
        <v>21</v>
      </c>
      <c r="G34" s="42">
        <v>28</v>
      </c>
      <c r="H34" s="42">
        <v>42</v>
      </c>
      <c r="I34" s="42">
        <v>23</v>
      </c>
      <c r="J34"/>
      <c r="K34" s="11"/>
      <c r="L34" s="11"/>
      <c r="M34" s="11"/>
      <c r="N34" s="11"/>
      <c r="O34" s="11"/>
    </row>
    <row r="35" spans="1:15" x14ac:dyDescent="0.2">
      <c r="A35" s="64" t="s">
        <v>32</v>
      </c>
      <c r="B35" s="42">
        <v>2</v>
      </c>
      <c r="C35" s="42">
        <v>3</v>
      </c>
      <c r="D35" s="42">
        <v>2</v>
      </c>
      <c r="E35" s="42">
        <v>1</v>
      </c>
      <c r="F35" s="42">
        <v>43</v>
      </c>
      <c r="G35" s="42">
        <v>50</v>
      </c>
      <c r="H35" s="42">
        <v>89</v>
      </c>
      <c r="I35" s="42">
        <v>65</v>
      </c>
      <c r="J35"/>
      <c r="K35" s="11"/>
      <c r="L35" s="11"/>
      <c r="M35" s="11"/>
      <c r="N35" s="11"/>
      <c r="O35" s="11"/>
    </row>
    <row r="36" spans="1:15" x14ac:dyDescent="0.2">
      <c r="A36" s="64" t="s">
        <v>33</v>
      </c>
      <c r="B36" s="42">
        <v>0</v>
      </c>
      <c r="C36" s="42">
        <v>0</v>
      </c>
      <c r="D36" s="42">
        <v>0</v>
      </c>
      <c r="E36" s="42">
        <v>0</v>
      </c>
      <c r="F36" s="42">
        <v>21</v>
      </c>
      <c r="G36" s="42">
        <v>29</v>
      </c>
      <c r="H36" s="42">
        <v>17</v>
      </c>
      <c r="I36" s="42">
        <v>26</v>
      </c>
      <c r="J36"/>
      <c r="K36" s="11"/>
      <c r="L36" s="11"/>
      <c r="M36" s="11"/>
      <c r="N36" s="11"/>
      <c r="O36" s="11"/>
    </row>
    <row r="37" spans="1:15" x14ac:dyDescent="0.2">
      <c r="A37" s="64" t="s">
        <v>34</v>
      </c>
      <c r="B37" s="42">
        <v>0</v>
      </c>
      <c r="C37" s="42">
        <v>0</v>
      </c>
      <c r="D37" s="42">
        <v>0</v>
      </c>
      <c r="E37" s="42">
        <v>0</v>
      </c>
      <c r="F37" s="42">
        <v>15</v>
      </c>
      <c r="G37" s="42">
        <v>11</v>
      </c>
      <c r="H37" s="42">
        <v>15</v>
      </c>
      <c r="I37" s="42">
        <v>13</v>
      </c>
      <c r="J37"/>
      <c r="K37" s="11"/>
      <c r="L37" s="11"/>
      <c r="M37" s="11"/>
      <c r="N37" s="11"/>
      <c r="O37" s="11"/>
    </row>
    <row r="38" spans="1:15" x14ac:dyDescent="0.2">
      <c r="A38" s="64" t="s">
        <v>35</v>
      </c>
      <c r="B38" s="42">
        <v>21</v>
      </c>
      <c r="C38" s="42">
        <v>16</v>
      </c>
      <c r="D38" s="42">
        <v>15</v>
      </c>
      <c r="E38" s="42">
        <v>5</v>
      </c>
      <c r="F38" s="42">
        <v>436</v>
      </c>
      <c r="G38" s="42">
        <v>447</v>
      </c>
      <c r="H38" s="42">
        <v>429</v>
      </c>
      <c r="I38" s="42">
        <v>165</v>
      </c>
      <c r="J38"/>
      <c r="K38" s="11"/>
      <c r="L38" s="11"/>
      <c r="M38" s="11"/>
      <c r="N38" s="11"/>
      <c r="O38" s="11"/>
    </row>
    <row r="39" spans="1:15" x14ac:dyDescent="0.2">
      <c r="A39" s="64" t="s">
        <v>36</v>
      </c>
      <c r="B39" s="42">
        <v>13</v>
      </c>
      <c r="C39" s="42">
        <v>28</v>
      </c>
      <c r="D39" s="42">
        <v>12</v>
      </c>
      <c r="E39" s="42">
        <v>18</v>
      </c>
      <c r="F39" s="42">
        <v>803</v>
      </c>
      <c r="G39" s="42">
        <v>1219</v>
      </c>
      <c r="H39" s="42">
        <v>607</v>
      </c>
      <c r="I39" s="42">
        <v>838</v>
      </c>
      <c r="J39"/>
      <c r="K39" s="11"/>
      <c r="L39" s="11"/>
      <c r="M39" s="11"/>
      <c r="N39" s="11"/>
      <c r="O39" s="11"/>
    </row>
    <row r="40" spans="1:15" x14ac:dyDescent="0.2">
      <c r="A40" s="64" t="s">
        <v>37</v>
      </c>
      <c r="B40" s="42">
        <v>1</v>
      </c>
      <c r="C40" s="42">
        <v>2</v>
      </c>
      <c r="D40" s="42">
        <v>4</v>
      </c>
      <c r="E40" s="42">
        <v>2</v>
      </c>
      <c r="F40" s="42">
        <v>67</v>
      </c>
      <c r="G40" s="42">
        <v>63</v>
      </c>
      <c r="H40" s="42">
        <v>117</v>
      </c>
      <c r="I40" s="42">
        <v>71</v>
      </c>
      <c r="J40"/>
      <c r="K40" s="11"/>
      <c r="L40" s="11"/>
      <c r="M40" s="11"/>
      <c r="N40" s="11"/>
      <c r="O40" s="11"/>
    </row>
    <row r="41" spans="1:15" x14ac:dyDescent="0.2">
      <c r="A41" s="64" t="s">
        <v>38</v>
      </c>
      <c r="B41" s="42">
        <v>6</v>
      </c>
      <c r="C41" s="42">
        <v>7</v>
      </c>
      <c r="D41" s="42">
        <v>5</v>
      </c>
      <c r="E41" s="42">
        <v>10</v>
      </c>
      <c r="F41" s="42">
        <v>199</v>
      </c>
      <c r="G41" s="42">
        <v>181</v>
      </c>
      <c r="H41" s="42">
        <v>175</v>
      </c>
      <c r="I41" s="42">
        <v>189</v>
      </c>
      <c r="J41"/>
      <c r="K41" s="11"/>
      <c r="L41" s="11"/>
      <c r="M41" s="11"/>
      <c r="N41" s="11"/>
      <c r="O41" s="11"/>
    </row>
    <row r="42" spans="1:15" x14ac:dyDescent="0.2">
      <c r="A42" s="64" t="s">
        <v>39</v>
      </c>
      <c r="B42" s="42">
        <v>6</v>
      </c>
      <c r="C42" s="42">
        <v>31</v>
      </c>
      <c r="D42" s="42">
        <v>11</v>
      </c>
      <c r="E42" s="42">
        <v>11</v>
      </c>
      <c r="F42" s="42">
        <v>707</v>
      </c>
      <c r="G42" s="42">
        <v>1130</v>
      </c>
      <c r="H42" s="42">
        <v>487</v>
      </c>
      <c r="I42" s="42">
        <v>336</v>
      </c>
      <c r="J42"/>
      <c r="K42" s="11"/>
      <c r="L42" s="11"/>
      <c r="M42" s="11"/>
      <c r="N42" s="11"/>
      <c r="O42" s="11"/>
    </row>
    <row r="43" spans="1:15" x14ac:dyDescent="0.2">
      <c r="A43" s="64" t="s">
        <v>40</v>
      </c>
      <c r="B43" s="42">
        <v>31</v>
      </c>
      <c r="C43" s="42">
        <v>34</v>
      </c>
      <c r="D43" s="42">
        <v>13</v>
      </c>
      <c r="E43" s="42">
        <v>9</v>
      </c>
      <c r="F43" s="42">
        <v>524</v>
      </c>
      <c r="G43" s="42">
        <v>707</v>
      </c>
      <c r="H43" s="42">
        <v>596</v>
      </c>
      <c r="I43" s="42">
        <v>271</v>
      </c>
      <c r="J43"/>
      <c r="K43" s="11"/>
      <c r="L43" s="11"/>
      <c r="M43" s="11"/>
      <c r="N43" s="11"/>
      <c r="O43" s="11"/>
    </row>
    <row r="44" spans="1:15" x14ac:dyDescent="0.2">
      <c r="A44" s="64" t="s">
        <v>41</v>
      </c>
      <c r="B44" s="42">
        <v>1</v>
      </c>
      <c r="C44" s="42">
        <v>6</v>
      </c>
      <c r="D44" s="42">
        <v>1</v>
      </c>
      <c r="E44" s="42">
        <v>2</v>
      </c>
      <c r="F44" s="42">
        <v>130</v>
      </c>
      <c r="G44" s="42">
        <v>128</v>
      </c>
      <c r="H44" s="42">
        <v>120</v>
      </c>
      <c r="I44" s="42">
        <v>147</v>
      </c>
      <c r="J44"/>
      <c r="K44" s="11"/>
      <c r="L44" s="11"/>
      <c r="M44" s="11"/>
      <c r="N44" s="11"/>
      <c r="O44" s="11"/>
    </row>
    <row r="45" spans="1:15" x14ac:dyDescent="0.2">
      <c r="A45" s="64" t="s">
        <v>91</v>
      </c>
      <c r="B45" s="42">
        <v>2</v>
      </c>
      <c r="C45" s="42">
        <v>1</v>
      </c>
      <c r="D45" s="42">
        <v>0</v>
      </c>
      <c r="E45" s="42">
        <v>2</v>
      </c>
      <c r="F45" s="42">
        <v>21</v>
      </c>
      <c r="G45" s="42">
        <v>14</v>
      </c>
      <c r="H45" s="42">
        <v>9</v>
      </c>
      <c r="I45" s="42">
        <v>11</v>
      </c>
      <c r="J45"/>
      <c r="K45" s="11"/>
      <c r="L45" s="11"/>
      <c r="M45" s="11"/>
      <c r="N45" s="11"/>
      <c r="O45" s="11"/>
    </row>
    <row r="46" spans="1:15" x14ac:dyDescent="0.2">
      <c r="A46" s="64" t="s">
        <v>43</v>
      </c>
      <c r="B46" s="42">
        <v>2</v>
      </c>
      <c r="C46" s="42">
        <v>1</v>
      </c>
      <c r="D46" s="42">
        <v>1</v>
      </c>
      <c r="E46" s="42">
        <v>2</v>
      </c>
      <c r="F46" s="42">
        <v>84</v>
      </c>
      <c r="G46" s="42">
        <v>111</v>
      </c>
      <c r="H46" s="42">
        <v>127</v>
      </c>
      <c r="I46" s="42">
        <v>75</v>
      </c>
      <c r="J46"/>
      <c r="K46" s="11"/>
      <c r="L46" s="11"/>
      <c r="M46" s="11"/>
      <c r="N46" s="11"/>
      <c r="O46" s="11"/>
    </row>
    <row r="47" spans="1:15" x14ac:dyDescent="0.2">
      <c r="A47" s="64" t="s">
        <v>44</v>
      </c>
      <c r="B47" s="42">
        <v>3</v>
      </c>
      <c r="C47" s="42">
        <v>0</v>
      </c>
      <c r="D47" s="42">
        <v>1</v>
      </c>
      <c r="E47" s="42">
        <v>3</v>
      </c>
      <c r="F47" s="42">
        <v>34</v>
      </c>
      <c r="G47" s="42">
        <v>32</v>
      </c>
      <c r="H47" s="42">
        <v>39</v>
      </c>
      <c r="I47" s="42">
        <v>28</v>
      </c>
      <c r="J47"/>
      <c r="K47" s="11"/>
      <c r="L47" s="11"/>
      <c r="M47" s="11"/>
      <c r="N47" s="11"/>
      <c r="O47" s="11"/>
    </row>
    <row r="48" spans="1:15" x14ac:dyDescent="0.2">
      <c r="A48" s="64" t="s">
        <v>45</v>
      </c>
      <c r="B48" s="42">
        <v>5</v>
      </c>
      <c r="C48" s="42">
        <v>10</v>
      </c>
      <c r="D48" s="42">
        <v>6</v>
      </c>
      <c r="E48" s="42">
        <v>8</v>
      </c>
      <c r="F48" s="42">
        <v>158</v>
      </c>
      <c r="G48" s="42">
        <v>336</v>
      </c>
      <c r="H48" s="42">
        <v>206</v>
      </c>
      <c r="I48" s="42">
        <v>231</v>
      </c>
      <c r="J48"/>
      <c r="K48" s="11"/>
      <c r="L48" s="11"/>
      <c r="M48" s="11"/>
      <c r="N48" s="11"/>
      <c r="O48" s="11"/>
    </row>
    <row r="49" spans="1:15" x14ac:dyDescent="0.2">
      <c r="A49" s="64" t="s">
        <v>46</v>
      </c>
      <c r="B49" s="42">
        <v>29</v>
      </c>
      <c r="C49" s="42">
        <v>41</v>
      </c>
      <c r="D49" s="42">
        <v>26</v>
      </c>
      <c r="E49" s="42">
        <v>24</v>
      </c>
      <c r="F49" s="42">
        <v>1377</v>
      </c>
      <c r="G49" s="42">
        <v>1879</v>
      </c>
      <c r="H49" s="42">
        <v>996</v>
      </c>
      <c r="I49" s="42">
        <v>834</v>
      </c>
      <c r="J49"/>
      <c r="K49" s="11"/>
      <c r="L49" s="11"/>
      <c r="M49" s="11"/>
      <c r="N49" s="11"/>
      <c r="O49" s="11"/>
    </row>
    <row r="50" spans="1:15" x14ac:dyDescent="0.2">
      <c r="A50" s="64" t="s">
        <v>47</v>
      </c>
      <c r="B50" s="42">
        <v>0</v>
      </c>
      <c r="C50" s="42">
        <v>0</v>
      </c>
      <c r="D50" s="42">
        <v>1</v>
      </c>
      <c r="E50" s="42">
        <v>0</v>
      </c>
      <c r="F50" s="42">
        <v>13</v>
      </c>
      <c r="G50" s="42">
        <v>10</v>
      </c>
      <c r="H50" s="42">
        <v>9</v>
      </c>
      <c r="I50" s="42">
        <v>6</v>
      </c>
      <c r="J50"/>
      <c r="K50" s="11"/>
      <c r="L50" s="11"/>
      <c r="M50" s="11"/>
      <c r="N50" s="11"/>
      <c r="O50" s="11"/>
    </row>
    <row r="51" spans="1:15" x14ac:dyDescent="0.2">
      <c r="A51" s="64" t="s">
        <v>48</v>
      </c>
      <c r="B51" s="42">
        <v>10</v>
      </c>
      <c r="C51" s="42">
        <v>28</v>
      </c>
      <c r="D51" s="42">
        <v>17</v>
      </c>
      <c r="E51" s="42">
        <v>8</v>
      </c>
      <c r="F51" s="42">
        <v>490</v>
      </c>
      <c r="G51" s="42">
        <v>859</v>
      </c>
      <c r="H51" s="42">
        <v>500</v>
      </c>
      <c r="I51" s="42">
        <v>448</v>
      </c>
      <c r="J51"/>
      <c r="K51" s="11"/>
      <c r="L51" s="11"/>
      <c r="M51" s="11"/>
      <c r="N51" s="11"/>
      <c r="O51" s="11"/>
    </row>
    <row r="52" spans="1:15" x14ac:dyDescent="0.2">
      <c r="A52" s="64" t="s">
        <v>49</v>
      </c>
      <c r="B52" s="42">
        <v>0</v>
      </c>
      <c r="C52" s="42">
        <v>1</v>
      </c>
      <c r="D52" s="42">
        <v>0</v>
      </c>
      <c r="E52" s="42">
        <v>2</v>
      </c>
      <c r="F52" s="42">
        <v>75</v>
      </c>
      <c r="G52" s="42">
        <v>74</v>
      </c>
      <c r="H52" s="42">
        <v>90</v>
      </c>
      <c r="I52" s="42">
        <v>54</v>
      </c>
      <c r="J52"/>
      <c r="K52" s="11"/>
      <c r="L52" s="11"/>
      <c r="M52" s="11"/>
      <c r="N52" s="11"/>
      <c r="O52" s="11"/>
    </row>
    <row r="53" spans="1:15" x14ac:dyDescent="0.2">
      <c r="A53" s="64" t="s">
        <v>50</v>
      </c>
      <c r="B53" s="42">
        <v>1</v>
      </c>
      <c r="C53" s="42">
        <v>2</v>
      </c>
      <c r="D53" s="42">
        <v>2</v>
      </c>
      <c r="E53" s="42">
        <v>0</v>
      </c>
      <c r="F53" s="42">
        <v>47</v>
      </c>
      <c r="G53" s="42">
        <v>65</v>
      </c>
      <c r="H53" s="42">
        <v>54</v>
      </c>
      <c r="I53" s="42">
        <v>54</v>
      </c>
      <c r="J53"/>
      <c r="K53" s="11"/>
      <c r="L53" s="11"/>
      <c r="M53" s="11"/>
      <c r="N53" s="11"/>
      <c r="O53" s="11"/>
    </row>
    <row r="54" spans="1:15" x14ac:dyDescent="0.2">
      <c r="A54" s="64" t="s">
        <v>51</v>
      </c>
      <c r="B54" s="42">
        <v>80</v>
      </c>
      <c r="C54" s="42">
        <v>302</v>
      </c>
      <c r="D54" s="42">
        <v>107</v>
      </c>
      <c r="E54" s="42">
        <v>44</v>
      </c>
      <c r="F54" s="42">
        <v>2258</v>
      </c>
      <c r="G54" s="42">
        <v>6855</v>
      </c>
      <c r="H54" s="42">
        <v>2382</v>
      </c>
      <c r="I54" s="42">
        <v>1074</v>
      </c>
      <c r="J54"/>
      <c r="K54" s="11"/>
      <c r="L54" s="11"/>
      <c r="M54" s="11"/>
      <c r="N54" s="11"/>
      <c r="O54" s="11"/>
    </row>
    <row r="55" spans="1:15" x14ac:dyDescent="0.2">
      <c r="A55" s="64" t="s">
        <v>52</v>
      </c>
      <c r="B55" s="42">
        <v>0</v>
      </c>
      <c r="C55" s="42">
        <v>2</v>
      </c>
      <c r="D55" s="42">
        <v>1</v>
      </c>
      <c r="E55" s="42">
        <v>4</v>
      </c>
      <c r="F55" s="42">
        <v>48</v>
      </c>
      <c r="G55" s="42">
        <v>87</v>
      </c>
      <c r="H55" s="42">
        <v>72</v>
      </c>
      <c r="I55" s="42">
        <v>115</v>
      </c>
      <c r="J55"/>
      <c r="K55" s="11"/>
      <c r="L55" s="11"/>
      <c r="M55" s="11"/>
      <c r="N55" s="11"/>
      <c r="O55" s="11"/>
    </row>
    <row r="56" spans="1:15" x14ac:dyDescent="0.2">
      <c r="A56" s="64" t="s">
        <v>53</v>
      </c>
      <c r="B56" s="42">
        <v>1</v>
      </c>
      <c r="C56" s="42">
        <v>0</v>
      </c>
      <c r="D56" s="42">
        <v>1</v>
      </c>
      <c r="E56" s="42">
        <v>4</v>
      </c>
      <c r="F56" s="42">
        <v>6</v>
      </c>
      <c r="G56" s="42">
        <v>6</v>
      </c>
      <c r="H56" s="42">
        <v>13</v>
      </c>
      <c r="I56" s="42">
        <v>15</v>
      </c>
      <c r="J56"/>
      <c r="K56" s="11"/>
      <c r="L56" s="11"/>
      <c r="M56" s="11"/>
      <c r="N56" s="11"/>
      <c r="O56" s="11"/>
    </row>
    <row r="57" spans="1:15" x14ac:dyDescent="0.2">
      <c r="A57" s="64" t="s">
        <v>54</v>
      </c>
      <c r="B57" s="42">
        <v>3</v>
      </c>
      <c r="C57" s="42">
        <v>3</v>
      </c>
      <c r="D57" s="42">
        <v>3</v>
      </c>
      <c r="E57" s="42">
        <v>2</v>
      </c>
      <c r="F57" s="42">
        <v>148</v>
      </c>
      <c r="G57" s="42">
        <v>135</v>
      </c>
      <c r="H57" s="42">
        <v>230</v>
      </c>
      <c r="I57" s="42">
        <v>143</v>
      </c>
      <c r="J57"/>
      <c r="K57" s="11"/>
      <c r="L57" s="11"/>
      <c r="M57" s="11"/>
      <c r="N57" s="11"/>
      <c r="O57" s="11"/>
    </row>
    <row r="58" spans="1:15" x14ac:dyDescent="0.2">
      <c r="A58" s="64" t="s">
        <v>55</v>
      </c>
      <c r="B58" s="42">
        <v>0</v>
      </c>
      <c r="C58" s="42">
        <v>1</v>
      </c>
      <c r="D58" s="42">
        <v>1</v>
      </c>
      <c r="E58" s="42">
        <v>0</v>
      </c>
      <c r="F58" s="42">
        <v>20</v>
      </c>
      <c r="G58" s="42">
        <v>22</v>
      </c>
      <c r="H58" s="42">
        <v>14</v>
      </c>
      <c r="I58" s="42">
        <v>31</v>
      </c>
      <c r="J58"/>
      <c r="K58" s="11"/>
      <c r="L58" s="11"/>
      <c r="M58" s="11"/>
      <c r="N58" s="11"/>
      <c r="O58" s="11"/>
    </row>
    <row r="59" spans="1:15" x14ac:dyDescent="0.2">
      <c r="A59" s="64" t="s">
        <v>56</v>
      </c>
      <c r="B59" s="42">
        <v>0</v>
      </c>
      <c r="C59" s="42">
        <v>0</v>
      </c>
      <c r="D59" s="42">
        <v>1</v>
      </c>
      <c r="E59" s="42">
        <v>1</v>
      </c>
      <c r="F59" s="42">
        <v>53</v>
      </c>
      <c r="G59" s="42">
        <v>51</v>
      </c>
      <c r="H59" s="42">
        <v>134</v>
      </c>
      <c r="I59" s="42">
        <v>90</v>
      </c>
      <c r="J59"/>
      <c r="K59" s="11"/>
      <c r="L59" s="11"/>
      <c r="M59" s="11"/>
      <c r="N59" s="11"/>
      <c r="O59" s="11"/>
    </row>
    <row r="60" spans="1:15" x14ac:dyDescent="0.2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7</v>
      </c>
      <c r="G60" s="42">
        <v>3</v>
      </c>
      <c r="H60" s="42">
        <v>7</v>
      </c>
      <c r="I60" s="42">
        <v>5</v>
      </c>
      <c r="J60"/>
      <c r="K60" s="11"/>
      <c r="L60" s="11"/>
      <c r="M60" s="11"/>
      <c r="N60" s="11"/>
      <c r="O60" s="11"/>
    </row>
    <row r="61" spans="1:15" x14ac:dyDescent="0.2">
      <c r="A61" s="64" t="s">
        <v>58</v>
      </c>
      <c r="B61" s="42">
        <v>0</v>
      </c>
      <c r="C61" s="42">
        <v>0</v>
      </c>
      <c r="D61" s="42">
        <v>4</v>
      </c>
      <c r="E61" s="42">
        <v>1</v>
      </c>
      <c r="F61" s="42">
        <v>37</v>
      </c>
      <c r="G61" s="42">
        <v>38</v>
      </c>
      <c r="H61" s="42">
        <v>39</v>
      </c>
      <c r="I61" s="42">
        <v>38</v>
      </c>
      <c r="J61"/>
      <c r="K61" s="11"/>
      <c r="L61" s="11"/>
      <c r="M61" s="11"/>
      <c r="N61" s="11"/>
      <c r="O61" s="11"/>
    </row>
    <row r="62" spans="1:15" x14ac:dyDescent="0.2">
      <c r="A62" s="64" t="s">
        <v>59</v>
      </c>
      <c r="B62" s="42">
        <v>1</v>
      </c>
      <c r="C62" s="42">
        <v>1</v>
      </c>
      <c r="D62" s="42">
        <v>1</v>
      </c>
      <c r="E62" s="42">
        <v>0</v>
      </c>
      <c r="F62" s="42">
        <v>40</v>
      </c>
      <c r="G62" s="42">
        <v>43</v>
      </c>
      <c r="H62" s="42">
        <v>43</v>
      </c>
      <c r="I62" s="42">
        <v>48</v>
      </c>
      <c r="J62"/>
      <c r="K62" s="11"/>
      <c r="L62" s="11"/>
      <c r="M62" s="11"/>
      <c r="N62" s="11"/>
      <c r="O62" s="11"/>
    </row>
    <row r="63" spans="1:15" x14ac:dyDescent="0.2">
      <c r="A63" s="64" t="s">
        <v>60</v>
      </c>
      <c r="B63" s="42">
        <v>3</v>
      </c>
      <c r="C63" s="42">
        <v>1</v>
      </c>
      <c r="D63" s="42">
        <v>0</v>
      </c>
      <c r="E63" s="42">
        <v>0</v>
      </c>
      <c r="F63" s="42">
        <v>23</v>
      </c>
      <c r="G63" s="42">
        <v>36</v>
      </c>
      <c r="H63" s="42">
        <v>23</v>
      </c>
      <c r="I63" s="42">
        <v>22</v>
      </c>
      <c r="J63"/>
      <c r="K63" s="11"/>
      <c r="L63" s="11"/>
      <c r="M63" s="11"/>
      <c r="N63" s="11"/>
      <c r="O63" s="11"/>
    </row>
    <row r="64" spans="1:15" x14ac:dyDescent="0.2">
      <c r="A64" s="64" t="s">
        <v>61</v>
      </c>
      <c r="B64" s="42">
        <v>0</v>
      </c>
      <c r="C64" s="42">
        <v>0</v>
      </c>
      <c r="D64" s="42">
        <v>1</v>
      </c>
      <c r="E64" s="42">
        <v>0</v>
      </c>
      <c r="F64" s="42">
        <v>41</v>
      </c>
      <c r="G64" s="42">
        <v>50</v>
      </c>
      <c r="H64" s="42">
        <v>46</v>
      </c>
      <c r="I64" s="42">
        <v>40</v>
      </c>
      <c r="J64"/>
      <c r="K64" s="11"/>
      <c r="L64" s="11"/>
      <c r="M64" s="11"/>
      <c r="N64" s="11"/>
      <c r="O64" s="11"/>
    </row>
    <row r="65" spans="1:15" x14ac:dyDescent="0.2">
      <c r="A65" s="64" t="s">
        <v>62</v>
      </c>
      <c r="B65" s="42">
        <v>1</v>
      </c>
      <c r="C65" s="42">
        <v>1</v>
      </c>
      <c r="D65" s="42">
        <v>1</v>
      </c>
      <c r="E65" s="42">
        <v>0</v>
      </c>
      <c r="F65" s="42">
        <v>31</v>
      </c>
      <c r="G65" s="42">
        <v>39</v>
      </c>
      <c r="H65" s="42">
        <v>38</v>
      </c>
      <c r="I65" s="42">
        <v>34</v>
      </c>
      <c r="J65"/>
      <c r="K65" s="11"/>
      <c r="L65" s="11"/>
      <c r="M65" s="11"/>
      <c r="N65" s="11"/>
      <c r="O65" s="11"/>
    </row>
    <row r="66" spans="1:15" x14ac:dyDescent="0.2">
      <c r="A66" s="64" t="s">
        <v>63</v>
      </c>
      <c r="B66" s="42">
        <v>6</v>
      </c>
      <c r="C66" s="42">
        <v>4</v>
      </c>
      <c r="D66" s="42">
        <v>6</v>
      </c>
      <c r="E66" s="42">
        <v>3</v>
      </c>
      <c r="F66" s="42">
        <v>184</v>
      </c>
      <c r="G66" s="42">
        <v>202</v>
      </c>
      <c r="H66" s="42">
        <v>313</v>
      </c>
      <c r="I66" s="42">
        <v>189</v>
      </c>
      <c r="J66"/>
      <c r="K66" s="11"/>
      <c r="L66" s="11"/>
      <c r="M66" s="11"/>
      <c r="N66" s="11"/>
      <c r="O66" s="11"/>
    </row>
    <row r="67" spans="1:15" x14ac:dyDescent="0.2">
      <c r="A67" s="64" t="s">
        <v>64</v>
      </c>
      <c r="B67" s="42">
        <v>1</v>
      </c>
      <c r="C67" s="42">
        <v>1</v>
      </c>
      <c r="D67" s="42">
        <v>1</v>
      </c>
      <c r="E67" s="42">
        <v>0</v>
      </c>
      <c r="F67" s="42">
        <v>32</v>
      </c>
      <c r="G67" s="42">
        <v>57</v>
      </c>
      <c r="H67" s="42">
        <v>61</v>
      </c>
      <c r="I67" s="42">
        <v>64</v>
      </c>
      <c r="J67"/>
      <c r="K67" s="11"/>
      <c r="L67" s="11"/>
      <c r="M67" s="11"/>
      <c r="N67" s="11"/>
      <c r="O67" s="11"/>
    </row>
    <row r="68" spans="1:15" x14ac:dyDescent="0.2">
      <c r="A68" s="64" t="s">
        <v>65</v>
      </c>
      <c r="B68" s="42">
        <v>10</v>
      </c>
      <c r="C68" s="42">
        <v>6</v>
      </c>
      <c r="D68" s="42">
        <v>14</v>
      </c>
      <c r="E68" s="42">
        <v>2</v>
      </c>
      <c r="F68" s="42">
        <v>346</v>
      </c>
      <c r="G68" s="42">
        <v>372</v>
      </c>
      <c r="H68" s="42">
        <v>529</v>
      </c>
      <c r="I68" s="42">
        <v>286</v>
      </c>
      <c r="J68"/>
      <c r="K68" s="11"/>
      <c r="L68" s="11"/>
      <c r="M68" s="11"/>
      <c r="N68" s="11"/>
      <c r="O68" s="11"/>
    </row>
    <row r="69" spans="1:15" x14ac:dyDescent="0.2">
      <c r="A69" s="64" t="s">
        <v>66</v>
      </c>
      <c r="B69" s="42">
        <v>0</v>
      </c>
      <c r="C69" s="42">
        <v>1</v>
      </c>
      <c r="D69" s="42">
        <v>0</v>
      </c>
      <c r="E69" s="42">
        <v>0</v>
      </c>
      <c r="F69" s="42">
        <v>35</v>
      </c>
      <c r="G69" s="42">
        <v>35</v>
      </c>
      <c r="H69" s="42">
        <v>41</v>
      </c>
      <c r="I69" s="42">
        <v>31</v>
      </c>
      <c r="J69"/>
      <c r="K69" s="11"/>
      <c r="L69" s="11"/>
      <c r="M69" s="11"/>
      <c r="N69" s="11"/>
      <c r="O69" s="11"/>
    </row>
    <row r="70" spans="1:15" x14ac:dyDescent="0.2">
      <c r="A70" s="64" t="s">
        <v>67</v>
      </c>
      <c r="B70" s="42">
        <v>17</v>
      </c>
      <c r="C70" s="42">
        <v>29</v>
      </c>
      <c r="D70" s="42">
        <v>13</v>
      </c>
      <c r="E70" s="42">
        <v>20</v>
      </c>
      <c r="F70" s="42">
        <v>703</v>
      </c>
      <c r="G70" s="42">
        <v>1098</v>
      </c>
      <c r="H70" s="42">
        <v>534</v>
      </c>
      <c r="I70" s="42">
        <v>695</v>
      </c>
      <c r="J70"/>
      <c r="K70" s="11"/>
      <c r="L70" s="11"/>
      <c r="M70" s="11"/>
      <c r="N70" s="11"/>
      <c r="O70" s="11"/>
    </row>
    <row r="71" spans="1:15" x14ac:dyDescent="0.2">
      <c r="A71" s="39" t="s">
        <v>68</v>
      </c>
      <c r="B71" s="67">
        <f>SUM(B4:B70)</f>
        <v>451</v>
      </c>
      <c r="C71" s="67">
        <f>SUM(C4:C70)</f>
        <v>872</v>
      </c>
      <c r="D71" s="67">
        <f>SUM(D4:D70)</f>
        <v>483</v>
      </c>
      <c r="E71" s="67">
        <f>SUM(E4:E70)</f>
        <v>326</v>
      </c>
      <c r="F71" s="67">
        <f t="shared" ref="F71:I71" si="0">SUM(F4:F70)</f>
        <v>16976</v>
      </c>
      <c r="G71" s="67">
        <f t="shared" si="0"/>
        <v>28027</v>
      </c>
      <c r="H71" s="67">
        <f t="shared" si="0"/>
        <v>16518</v>
      </c>
      <c r="I71" s="67">
        <f t="shared" si="0"/>
        <v>12373</v>
      </c>
      <c r="J71"/>
    </row>
    <row r="73" spans="1:15" x14ac:dyDescent="0.2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28" activePane="bottomLeft" state="frozen"/>
      <selection pane="bottomLeft" activeCell="CD23" sqref="CD23"/>
    </sheetView>
  </sheetViews>
  <sheetFormatPr defaultColWidth="9.140625" defaultRowHeight="12.75" x14ac:dyDescent="0.2"/>
  <cols>
    <col min="1" max="1" width="19.140625" style="11" bestFit="1" customWidth="1"/>
    <col min="2" max="5" width="8.28515625" style="10" customWidth="1"/>
    <col min="6" max="14" width="7.7109375" style="11" customWidth="1"/>
    <col min="15" max="15" width="7.28515625" style="10" customWidth="1"/>
    <col min="16" max="16" width="6.140625" style="10" customWidth="1"/>
    <col min="17" max="17" width="6.7109375" style="10" bestFit="1" customWidth="1"/>
    <col min="18" max="18" width="7.140625" style="10" customWidth="1"/>
    <col min="19" max="19" width="6.140625" style="10" customWidth="1"/>
    <col min="20" max="20" width="8" style="10" customWidth="1"/>
    <col min="21" max="23" width="6.28515625" style="11" customWidth="1"/>
    <col min="24" max="27" width="6.7109375" style="35" bestFit="1" customWidth="1"/>
    <col min="28" max="29" width="6.7109375" style="35" customWidth="1"/>
    <col min="30" max="30" width="7.7109375" style="35" bestFit="1" customWidth="1"/>
    <col min="31" max="31" width="6.7109375" style="35" customWidth="1"/>
    <col min="32" max="35" width="6.7109375" style="35" bestFit="1" customWidth="1"/>
    <col min="36" max="59" width="6.7109375" style="35" customWidth="1"/>
    <col min="60" max="60" width="8.42578125" style="10" customWidth="1"/>
    <col min="61" max="61" width="6.7109375" style="10" bestFit="1" customWidth="1"/>
    <col min="62" max="62" width="7.7109375" style="10" bestFit="1" customWidth="1"/>
    <col min="63" max="63" width="8.28515625" style="10" customWidth="1"/>
    <col min="64" max="16384" width="9.140625" style="11"/>
  </cols>
  <sheetData>
    <row r="1" spans="1:76" x14ac:dyDescent="0.2">
      <c r="A1" s="42"/>
      <c r="B1" s="83" t="s">
        <v>97</v>
      </c>
      <c r="C1" s="80"/>
      <c r="D1" s="80"/>
      <c r="E1" s="80"/>
      <c r="F1" s="81" t="s">
        <v>99</v>
      </c>
      <c r="G1" s="81"/>
      <c r="H1" s="81"/>
      <c r="I1" s="81"/>
      <c r="J1" s="81"/>
      <c r="K1" s="81"/>
      <c r="L1" s="84" t="s">
        <v>94</v>
      </c>
      <c r="M1" s="84"/>
      <c r="N1" s="84"/>
      <c r="O1" s="83" t="s">
        <v>100</v>
      </c>
      <c r="P1" s="83"/>
      <c r="Q1" s="83"/>
      <c r="R1" s="83"/>
      <c r="S1" s="83"/>
      <c r="T1" s="83"/>
      <c r="U1" s="83"/>
      <c r="V1" s="83"/>
      <c r="W1" s="83"/>
      <c r="X1" s="81" t="s">
        <v>101</v>
      </c>
      <c r="Y1" s="81"/>
      <c r="Z1" s="81"/>
      <c r="AA1" s="81"/>
      <c r="AB1" s="42"/>
      <c r="AC1" s="42" t="s">
        <v>105</v>
      </c>
      <c r="AD1" s="42"/>
      <c r="AE1" s="42"/>
      <c r="AF1" s="81" t="s">
        <v>106</v>
      </c>
      <c r="AG1" s="81"/>
      <c r="AH1" s="81"/>
      <c r="AI1" s="81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7" t="s">
        <v>117</v>
      </c>
      <c r="BA1" s="87"/>
      <c r="BB1" s="87"/>
      <c r="BC1" s="87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5" t="s">
        <v>127</v>
      </c>
      <c r="BQ1" s="85"/>
      <c r="BR1" s="85"/>
      <c r="BS1" s="85"/>
      <c r="BT1" s="85"/>
      <c r="BU1" s="85"/>
      <c r="BV1" s="85"/>
      <c r="BW1" s="85"/>
      <c r="BX1" s="85"/>
    </row>
    <row r="2" spans="1:76" x14ac:dyDescent="0.2">
      <c r="A2" s="42"/>
      <c r="B2" s="80" t="s">
        <v>86</v>
      </c>
      <c r="C2" s="80"/>
      <c r="D2" s="80" t="s">
        <v>87</v>
      </c>
      <c r="E2" s="80"/>
      <c r="F2" s="82" t="s">
        <v>86</v>
      </c>
      <c r="G2" s="82"/>
      <c r="H2" s="82"/>
      <c r="I2" s="82" t="s">
        <v>87</v>
      </c>
      <c r="J2" s="82"/>
      <c r="K2" s="82"/>
      <c r="L2" s="82" t="s">
        <v>93</v>
      </c>
      <c r="M2" s="82"/>
      <c r="N2" s="82"/>
      <c r="O2" s="80" t="s">
        <v>86</v>
      </c>
      <c r="P2" s="80"/>
      <c r="Q2" s="80"/>
      <c r="R2" s="80" t="s">
        <v>87</v>
      </c>
      <c r="S2" s="80"/>
      <c r="T2" s="80"/>
      <c r="U2" s="80" t="s">
        <v>93</v>
      </c>
      <c r="V2" s="80"/>
      <c r="W2" s="80"/>
      <c r="X2" s="81" t="s">
        <v>86</v>
      </c>
      <c r="Y2" s="82"/>
      <c r="Z2" s="82" t="s">
        <v>87</v>
      </c>
      <c r="AA2" s="82"/>
      <c r="AB2" s="80" t="s">
        <v>86</v>
      </c>
      <c r="AC2" s="80"/>
      <c r="AD2" s="80" t="s">
        <v>87</v>
      </c>
      <c r="AE2" s="80"/>
      <c r="AF2" s="81" t="s">
        <v>86</v>
      </c>
      <c r="AG2" s="82"/>
      <c r="AH2" s="82" t="s">
        <v>87</v>
      </c>
      <c r="AI2" s="82"/>
      <c r="AJ2" s="80" t="s">
        <v>86</v>
      </c>
      <c r="AK2" s="80"/>
      <c r="AL2" s="80" t="s">
        <v>87</v>
      </c>
      <c r="AM2" s="80"/>
      <c r="AN2" s="80" t="s">
        <v>86</v>
      </c>
      <c r="AO2" s="80"/>
      <c r="AP2" s="80" t="s">
        <v>87</v>
      </c>
      <c r="AQ2" s="80"/>
      <c r="AR2" s="80" t="s">
        <v>86</v>
      </c>
      <c r="AS2" s="80"/>
      <c r="AT2" s="80" t="s">
        <v>87</v>
      </c>
      <c r="AU2" s="80"/>
      <c r="AV2" s="80" t="s">
        <v>86</v>
      </c>
      <c r="AW2" s="80"/>
      <c r="AX2" s="80" t="s">
        <v>87</v>
      </c>
      <c r="AY2" s="80"/>
      <c r="AZ2" s="88" t="s">
        <v>86</v>
      </c>
      <c r="BA2" s="88"/>
      <c r="BB2" s="88" t="s">
        <v>87</v>
      </c>
      <c r="BC2" s="88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5" t="s">
        <v>86</v>
      </c>
      <c r="BQ2" s="86"/>
      <c r="BR2" s="86"/>
      <c r="BS2" s="85" t="s">
        <v>87</v>
      </c>
      <c r="BT2" s="86"/>
      <c r="BU2" s="86"/>
      <c r="BV2" s="86" t="s">
        <v>93</v>
      </c>
      <c r="BW2" s="86"/>
      <c r="BX2" s="86"/>
    </row>
    <row r="3" spans="1:76" x14ac:dyDescent="0.2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41" activePane="bottomLeft" state="frozen"/>
      <selection pane="bottomLeft" activeCell="H11" sqref="H11"/>
    </sheetView>
  </sheetViews>
  <sheetFormatPr defaultColWidth="9.140625" defaultRowHeight="12.75" x14ac:dyDescent="0.2"/>
  <cols>
    <col min="1" max="1" width="19.140625" style="11" bestFit="1" customWidth="1"/>
    <col min="2" max="2" width="22.140625" style="21" customWidth="1"/>
    <col min="3" max="3" width="20" style="21" customWidth="1"/>
    <col min="4" max="4" width="18.5703125" style="30" customWidth="1"/>
    <col min="5" max="5" width="18" style="22" customWidth="1"/>
    <col min="6" max="6" width="5.5703125" style="21" bestFit="1" customWidth="1"/>
    <col min="7" max="16384" width="9.140625" style="21"/>
  </cols>
  <sheetData>
    <row r="1" spans="1:5" x14ac:dyDescent="0.2">
      <c r="A1" s="42"/>
      <c r="B1" s="90" t="s">
        <v>130</v>
      </c>
      <c r="C1" s="91"/>
      <c r="D1" s="92" t="s">
        <v>126</v>
      </c>
      <c r="E1" s="93"/>
    </row>
    <row r="2" spans="1:5" x14ac:dyDescent="0.2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">
      <c r="A3" s="42" t="s">
        <v>1</v>
      </c>
      <c r="B3" s="53">
        <v>5</v>
      </c>
      <c r="C3" s="53">
        <v>8</v>
      </c>
      <c r="D3" s="53">
        <v>121</v>
      </c>
      <c r="E3" s="53">
        <v>250</v>
      </c>
    </row>
    <row r="4" spans="1:5" x14ac:dyDescent="0.2">
      <c r="A4" s="42" t="s">
        <v>2</v>
      </c>
      <c r="B4" s="53">
        <v>101</v>
      </c>
      <c r="C4" s="53">
        <v>33</v>
      </c>
      <c r="D4" s="53">
        <v>2064</v>
      </c>
      <c r="E4" s="53">
        <v>1100</v>
      </c>
    </row>
    <row r="5" spans="1:5" x14ac:dyDescent="0.2">
      <c r="A5" s="42" t="s">
        <v>3</v>
      </c>
      <c r="B5" s="53">
        <v>0</v>
      </c>
      <c r="C5" s="53">
        <v>0</v>
      </c>
      <c r="D5" s="53">
        <v>22</v>
      </c>
      <c r="E5" s="53">
        <v>50</v>
      </c>
    </row>
    <row r="6" spans="1:5" x14ac:dyDescent="0.2">
      <c r="A6" s="42" t="s">
        <v>4</v>
      </c>
      <c r="B6" s="53">
        <v>4</v>
      </c>
      <c r="C6" s="53">
        <v>5</v>
      </c>
      <c r="D6" s="53">
        <v>97</v>
      </c>
      <c r="E6" s="53">
        <v>123</v>
      </c>
    </row>
    <row r="7" spans="1:5" x14ac:dyDescent="0.2">
      <c r="A7" s="42" t="s">
        <v>5</v>
      </c>
      <c r="B7" s="53">
        <v>1</v>
      </c>
      <c r="C7" s="53">
        <v>1</v>
      </c>
      <c r="D7" s="53">
        <v>9</v>
      </c>
      <c r="E7" s="53">
        <v>14</v>
      </c>
    </row>
    <row r="8" spans="1:5" x14ac:dyDescent="0.2">
      <c r="A8" s="42" t="s">
        <v>6</v>
      </c>
      <c r="B8" s="53">
        <v>28</v>
      </c>
      <c r="C8" s="53">
        <v>22</v>
      </c>
      <c r="D8" s="53">
        <v>964</v>
      </c>
      <c r="E8" s="53">
        <v>787</v>
      </c>
    </row>
    <row r="9" spans="1:5" x14ac:dyDescent="0.2">
      <c r="A9" s="42" t="s">
        <v>7</v>
      </c>
      <c r="B9" s="53">
        <v>1</v>
      </c>
      <c r="C9" s="53">
        <v>4</v>
      </c>
      <c r="D9" s="53">
        <v>80</v>
      </c>
      <c r="E9" s="53">
        <v>116</v>
      </c>
    </row>
    <row r="10" spans="1:5" x14ac:dyDescent="0.2">
      <c r="A10" s="42" t="s">
        <v>8</v>
      </c>
      <c r="B10" s="53">
        <v>1</v>
      </c>
      <c r="C10" s="53">
        <v>0</v>
      </c>
      <c r="D10" s="53">
        <v>35</v>
      </c>
      <c r="E10" s="53">
        <v>60</v>
      </c>
    </row>
    <row r="11" spans="1:5" x14ac:dyDescent="0.2">
      <c r="A11" s="42" t="s">
        <v>9</v>
      </c>
      <c r="B11" s="53">
        <v>38</v>
      </c>
      <c r="C11" s="53">
        <v>50</v>
      </c>
      <c r="D11" s="53">
        <v>1198</v>
      </c>
      <c r="E11" s="53">
        <v>1336</v>
      </c>
    </row>
    <row r="12" spans="1:5" x14ac:dyDescent="0.2">
      <c r="A12" s="42" t="s">
        <v>10</v>
      </c>
      <c r="B12" s="53">
        <v>18</v>
      </c>
      <c r="C12" s="53">
        <v>25</v>
      </c>
      <c r="D12" s="53">
        <v>134</v>
      </c>
      <c r="E12" s="53">
        <v>236</v>
      </c>
    </row>
    <row r="13" spans="1:5" x14ac:dyDescent="0.2">
      <c r="A13" s="42" t="s">
        <v>11</v>
      </c>
      <c r="B13" s="53">
        <v>0</v>
      </c>
      <c r="C13" s="53">
        <v>4</v>
      </c>
      <c r="D13" s="53">
        <v>99</v>
      </c>
      <c r="E13" s="53">
        <v>109</v>
      </c>
    </row>
    <row r="14" spans="1:5" x14ac:dyDescent="0.2">
      <c r="A14" s="42" t="s">
        <v>12</v>
      </c>
      <c r="B14" s="53">
        <v>0</v>
      </c>
      <c r="C14" s="53">
        <v>0</v>
      </c>
      <c r="D14" s="53">
        <v>2</v>
      </c>
      <c r="E14" s="53">
        <v>3</v>
      </c>
    </row>
    <row r="15" spans="1:5" x14ac:dyDescent="0.2">
      <c r="A15" s="42" t="s">
        <v>13</v>
      </c>
      <c r="B15" s="53">
        <v>3</v>
      </c>
      <c r="C15" s="53">
        <v>4</v>
      </c>
      <c r="D15" s="53">
        <v>68</v>
      </c>
      <c r="E15" s="53">
        <v>78</v>
      </c>
    </row>
    <row r="16" spans="1:5" x14ac:dyDescent="0.2">
      <c r="A16" s="42" t="s">
        <v>14</v>
      </c>
      <c r="B16" s="53">
        <v>0</v>
      </c>
      <c r="C16" s="53">
        <v>4</v>
      </c>
      <c r="D16" s="53">
        <v>133</v>
      </c>
      <c r="E16" s="53">
        <v>134</v>
      </c>
    </row>
    <row r="17" spans="1:5" x14ac:dyDescent="0.2">
      <c r="A17" s="42" t="s">
        <v>15</v>
      </c>
      <c r="B17" s="53">
        <v>25</v>
      </c>
      <c r="C17" s="53">
        <v>45</v>
      </c>
      <c r="D17" s="53">
        <v>862</v>
      </c>
      <c r="E17" s="53">
        <v>905</v>
      </c>
    </row>
    <row r="18" spans="1:5" x14ac:dyDescent="0.2">
      <c r="A18" s="42" t="s">
        <v>16</v>
      </c>
      <c r="B18" s="53">
        <v>0</v>
      </c>
      <c r="C18" s="53">
        <v>0</v>
      </c>
      <c r="D18" s="53">
        <v>15</v>
      </c>
      <c r="E18" s="53">
        <v>25</v>
      </c>
    </row>
    <row r="19" spans="1:5" x14ac:dyDescent="0.2">
      <c r="A19" s="42" t="s">
        <v>17</v>
      </c>
      <c r="B19" s="53">
        <v>1</v>
      </c>
      <c r="C19" s="53">
        <v>0</v>
      </c>
      <c r="D19" s="53">
        <v>41</v>
      </c>
      <c r="E19" s="53">
        <v>62</v>
      </c>
    </row>
    <row r="20" spans="1:5" x14ac:dyDescent="0.2">
      <c r="A20" s="42" t="s">
        <v>18</v>
      </c>
      <c r="B20" s="53">
        <v>2</v>
      </c>
      <c r="C20" s="53">
        <v>1</v>
      </c>
      <c r="D20" s="53">
        <v>29</v>
      </c>
      <c r="E20" s="53">
        <v>41</v>
      </c>
    </row>
    <row r="21" spans="1:5" x14ac:dyDescent="0.2">
      <c r="A21" s="42" t="s">
        <v>19</v>
      </c>
      <c r="B21" s="53">
        <v>2</v>
      </c>
      <c r="C21" s="53">
        <v>1</v>
      </c>
      <c r="D21" s="53">
        <v>34</v>
      </c>
      <c r="E21" s="53">
        <v>56</v>
      </c>
    </row>
    <row r="22" spans="1:5" x14ac:dyDescent="0.2">
      <c r="A22" s="42" t="s">
        <v>20</v>
      </c>
      <c r="B22" s="53">
        <v>1</v>
      </c>
      <c r="C22" s="53">
        <v>1</v>
      </c>
      <c r="D22" s="53">
        <v>53</v>
      </c>
      <c r="E22" s="53">
        <v>57</v>
      </c>
    </row>
    <row r="23" spans="1:5" x14ac:dyDescent="0.2">
      <c r="A23" s="42" t="s">
        <v>21</v>
      </c>
      <c r="B23" s="53">
        <v>16</v>
      </c>
      <c r="C23" s="53">
        <v>15</v>
      </c>
      <c r="D23" s="53">
        <v>462</v>
      </c>
      <c r="E23" s="53">
        <v>535</v>
      </c>
    </row>
    <row r="24" spans="1:5" x14ac:dyDescent="0.2">
      <c r="A24" s="42" t="s">
        <v>22</v>
      </c>
      <c r="B24" s="53">
        <v>27</v>
      </c>
      <c r="C24" s="53">
        <v>18</v>
      </c>
      <c r="D24" s="53">
        <v>1048</v>
      </c>
      <c r="E24" s="53">
        <v>572</v>
      </c>
    </row>
    <row r="25" spans="1:5" x14ac:dyDescent="0.2">
      <c r="A25" s="42" t="s">
        <v>23</v>
      </c>
      <c r="B25" s="53">
        <v>43</v>
      </c>
      <c r="C25" s="53">
        <v>17</v>
      </c>
      <c r="D25" s="53">
        <v>900</v>
      </c>
      <c r="E25" s="53">
        <v>545</v>
      </c>
    </row>
    <row r="26" spans="1:5" x14ac:dyDescent="0.2">
      <c r="A26" s="42" t="s">
        <v>24</v>
      </c>
      <c r="B26" s="53">
        <v>0</v>
      </c>
      <c r="C26" s="53">
        <v>1</v>
      </c>
      <c r="D26" s="53">
        <v>8</v>
      </c>
      <c r="E26" s="53">
        <v>26</v>
      </c>
    </row>
    <row r="27" spans="1:5" x14ac:dyDescent="0.2">
      <c r="A27" s="42" t="s">
        <v>25</v>
      </c>
      <c r="B27" s="53">
        <v>10</v>
      </c>
      <c r="C27" s="53">
        <v>7</v>
      </c>
      <c r="D27" s="53">
        <v>236</v>
      </c>
      <c r="E27" s="53">
        <v>198</v>
      </c>
    </row>
    <row r="28" spans="1:5" x14ac:dyDescent="0.2">
      <c r="A28" s="42" t="s">
        <v>26</v>
      </c>
      <c r="B28" s="53">
        <v>2</v>
      </c>
      <c r="C28" s="53">
        <v>3</v>
      </c>
      <c r="D28" s="53">
        <v>82</v>
      </c>
      <c r="E28" s="53">
        <v>93</v>
      </c>
    </row>
    <row r="29" spans="1:5" x14ac:dyDescent="0.2">
      <c r="A29" s="42" t="s">
        <v>27</v>
      </c>
      <c r="B29" s="53">
        <v>0</v>
      </c>
      <c r="C29" s="53">
        <v>0</v>
      </c>
      <c r="D29" s="53">
        <v>1</v>
      </c>
      <c r="E29" s="53">
        <v>1</v>
      </c>
    </row>
    <row r="30" spans="1:5" x14ac:dyDescent="0.2">
      <c r="A30" s="42" t="s">
        <v>28</v>
      </c>
      <c r="B30" s="53">
        <v>5</v>
      </c>
      <c r="C30" s="53">
        <v>12</v>
      </c>
      <c r="D30" s="53">
        <v>207</v>
      </c>
      <c r="E30" s="53">
        <v>326</v>
      </c>
    </row>
    <row r="31" spans="1:5" x14ac:dyDescent="0.2">
      <c r="A31" s="42" t="s">
        <v>29</v>
      </c>
      <c r="B31" s="53">
        <v>0</v>
      </c>
      <c r="C31" s="53">
        <v>1</v>
      </c>
      <c r="D31" s="53">
        <v>10</v>
      </c>
      <c r="E31" s="53">
        <v>16</v>
      </c>
    </row>
    <row r="32" spans="1:5" x14ac:dyDescent="0.2">
      <c r="A32" s="42" t="s">
        <v>30</v>
      </c>
      <c r="B32" s="53">
        <v>0</v>
      </c>
      <c r="C32" s="53">
        <v>2</v>
      </c>
      <c r="D32" s="53">
        <v>25</v>
      </c>
      <c r="E32" s="53">
        <v>22</v>
      </c>
    </row>
    <row r="33" spans="1:5" x14ac:dyDescent="0.2">
      <c r="A33" s="42" t="s">
        <v>31</v>
      </c>
      <c r="B33" s="53">
        <v>1</v>
      </c>
      <c r="C33" s="53">
        <v>2</v>
      </c>
      <c r="D33" s="53">
        <v>15</v>
      </c>
      <c r="E33" s="53">
        <v>21</v>
      </c>
    </row>
    <row r="34" spans="1:5" x14ac:dyDescent="0.2">
      <c r="A34" s="42" t="s">
        <v>32</v>
      </c>
      <c r="B34" s="53">
        <v>0</v>
      </c>
      <c r="C34" s="53">
        <v>1</v>
      </c>
      <c r="D34" s="53">
        <v>43</v>
      </c>
      <c r="E34" s="53">
        <v>47</v>
      </c>
    </row>
    <row r="35" spans="1:5" x14ac:dyDescent="0.2">
      <c r="A35" s="42" t="s">
        <v>33</v>
      </c>
      <c r="B35" s="53">
        <v>0</v>
      </c>
      <c r="C35" s="53">
        <v>0</v>
      </c>
      <c r="D35" s="53">
        <v>7</v>
      </c>
      <c r="E35" s="53">
        <v>22</v>
      </c>
    </row>
    <row r="36" spans="1:5" x14ac:dyDescent="0.2">
      <c r="A36" s="42" t="s">
        <v>34</v>
      </c>
      <c r="B36" s="53">
        <v>0</v>
      </c>
      <c r="C36" s="53">
        <v>0</v>
      </c>
      <c r="D36" s="53">
        <v>16</v>
      </c>
      <c r="E36" s="53">
        <v>14</v>
      </c>
    </row>
    <row r="37" spans="1:5" x14ac:dyDescent="0.2">
      <c r="A37" s="42" t="s">
        <v>35</v>
      </c>
      <c r="B37" s="53">
        <v>9</v>
      </c>
      <c r="C37" s="53">
        <v>4</v>
      </c>
      <c r="D37" s="53">
        <v>333</v>
      </c>
      <c r="E37" s="53">
        <v>267</v>
      </c>
    </row>
    <row r="38" spans="1:5" x14ac:dyDescent="0.2">
      <c r="A38" s="42" t="s">
        <v>36</v>
      </c>
      <c r="B38" s="53">
        <v>32</v>
      </c>
      <c r="C38" s="53">
        <v>32</v>
      </c>
      <c r="D38" s="53">
        <v>983</v>
      </c>
      <c r="E38" s="53">
        <v>1114</v>
      </c>
    </row>
    <row r="39" spans="1:5" x14ac:dyDescent="0.2">
      <c r="A39" s="42" t="s">
        <v>37</v>
      </c>
      <c r="B39" s="53">
        <v>3</v>
      </c>
      <c r="C39" s="53">
        <v>1</v>
      </c>
      <c r="D39" s="53">
        <v>52</v>
      </c>
      <c r="E39" s="53">
        <v>58</v>
      </c>
    </row>
    <row r="40" spans="1:5" x14ac:dyDescent="0.2">
      <c r="A40" s="42" t="s">
        <v>38</v>
      </c>
      <c r="B40" s="53">
        <v>8</v>
      </c>
      <c r="C40" s="53">
        <v>5</v>
      </c>
      <c r="D40" s="53">
        <v>153</v>
      </c>
      <c r="E40" s="53">
        <v>162</v>
      </c>
    </row>
    <row r="41" spans="1:5" x14ac:dyDescent="0.2">
      <c r="A41" s="42" t="s">
        <v>39</v>
      </c>
      <c r="B41" s="53">
        <v>17</v>
      </c>
      <c r="C41" s="53">
        <v>10</v>
      </c>
      <c r="D41" s="53">
        <v>705</v>
      </c>
      <c r="E41" s="53">
        <v>497</v>
      </c>
    </row>
    <row r="42" spans="1:5" x14ac:dyDescent="0.2">
      <c r="A42" s="42" t="s">
        <v>40</v>
      </c>
      <c r="B42" s="53">
        <v>14</v>
      </c>
      <c r="C42" s="53">
        <v>13</v>
      </c>
      <c r="D42" s="53">
        <v>446</v>
      </c>
      <c r="E42" s="53">
        <v>356</v>
      </c>
    </row>
    <row r="43" spans="1:5" x14ac:dyDescent="0.2">
      <c r="A43" s="42" t="s">
        <v>41</v>
      </c>
      <c r="B43" s="53">
        <v>3</v>
      </c>
      <c r="C43" s="53">
        <v>6</v>
      </c>
      <c r="D43" s="53">
        <v>120</v>
      </c>
      <c r="E43" s="53">
        <v>169</v>
      </c>
    </row>
    <row r="44" spans="1:5" x14ac:dyDescent="0.2">
      <c r="A44" s="42" t="s">
        <v>42</v>
      </c>
      <c r="B44" s="53">
        <v>0</v>
      </c>
      <c r="C44" s="53">
        <v>1</v>
      </c>
      <c r="D44" s="53">
        <v>10</v>
      </c>
      <c r="E44" s="53">
        <v>15</v>
      </c>
    </row>
    <row r="45" spans="1:5" x14ac:dyDescent="0.2">
      <c r="A45" s="42" t="s">
        <v>43</v>
      </c>
      <c r="B45" s="53">
        <v>4</v>
      </c>
      <c r="C45" s="53">
        <v>4</v>
      </c>
      <c r="D45" s="53">
        <v>89</v>
      </c>
      <c r="E45" s="53">
        <v>90</v>
      </c>
    </row>
    <row r="46" spans="1:5" x14ac:dyDescent="0.2">
      <c r="A46" s="42" t="s">
        <v>44</v>
      </c>
      <c r="B46" s="53">
        <v>0</v>
      </c>
      <c r="C46" s="53">
        <v>1</v>
      </c>
      <c r="D46" s="53">
        <v>11</v>
      </c>
      <c r="E46" s="53">
        <v>29</v>
      </c>
    </row>
    <row r="47" spans="1:5" x14ac:dyDescent="0.2">
      <c r="A47" s="42" t="s">
        <v>45</v>
      </c>
      <c r="B47" s="53">
        <v>7</v>
      </c>
      <c r="C47" s="53">
        <v>4</v>
      </c>
      <c r="D47" s="53">
        <v>283</v>
      </c>
      <c r="E47" s="53">
        <v>216</v>
      </c>
    </row>
    <row r="48" spans="1:5" x14ac:dyDescent="0.2">
      <c r="A48" s="42" t="s">
        <v>46</v>
      </c>
      <c r="B48" s="53">
        <v>43</v>
      </c>
      <c r="C48" s="53">
        <v>49</v>
      </c>
      <c r="D48" s="53">
        <v>1647</v>
      </c>
      <c r="E48" s="53">
        <v>1346</v>
      </c>
    </row>
    <row r="49" spans="1:5" x14ac:dyDescent="0.2">
      <c r="A49" s="42" t="s">
        <v>47</v>
      </c>
      <c r="B49" s="53">
        <v>1</v>
      </c>
      <c r="C49" s="53">
        <v>2</v>
      </c>
      <c r="D49" s="53">
        <v>7</v>
      </c>
      <c r="E49" s="53">
        <v>12</v>
      </c>
    </row>
    <row r="50" spans="1:5" x14ac:dyDescent="0.2">
      <c r="A50" s="42" t="s">
        <v>48</v>
      </c>
      <c r="B50" s="53">
        <v>20</v>
      </c>
      <c r="C50" s="53">
        <v>14</v>
      </c>
      <c r="D50" s="53">
        <v>655</v>
      </c>
      <c r="E50" s="53">
        <v>509</v>
      </c>
    </row>
    <row r="51" spans="1:5" x14ac:dyDescent="0.2">
      <c r="A51" s="42" t="s">
        <v>49</v>
      </c>
      <c r="B51" s="53">
        <v>2</v>
      </c>
      <c r="C51" s="53">
        <v>4</v>
      </c>
      <c r="D51" s="53">
        <v>60</v>
      </c>
      <c r="E51" s="53">
        <v>71</v>
      </c>
    </row>
    <row r="52" spans="1:5" x14ac:dyDescent="0.2">
      <c r="A52" s="42" t="s">
        <v>50</v>
      </c>
      <c r="B52" s="53">
        <v>1</v>
      </c>
      <c r="C52" s="53">
        <v>3</v>
      </c>
      <c r="D52" s="53">
        <v>46</v>
      </c>
      <c r="E52" s="53">
        <v>79</v>
      </c>
    </row>
    <row r="53" spans="1:5" x14ac:dyDescent="0.2">
      <c r="A53" s="42" t="s">
        <v>51</v>
      </c>
      <c r="B53" s="53">
        <v>414</v>
      </c>
      <c r="C53" s="53">
        <v>55</v>
      </c>
      <c r="D53" s="53">
        <v>6161</v>
      </c>
      <c r="E53" s="53">
        <v>1446</v>
      </c>
    </row>
    <row r="54" spans="1:5" x14ac:dyDescent="0.2">
      <c r="A54" s="42" t="s">
        <v>52</v>
      </c>
      <c r="B54" s="53">
        <v>2</v>
      </c>
      <c r="C54" s="53">
        <v>1</v>
      </c>
      <c r="D54" s="53">
        <v>74</v>
      </c>
      <c r="E54" s="53">
        <v>95</v>
      </c>
    </row>
    <row r="55" spans="1:5" x14ac:dyDescent="0.2">
      <c r="A55" s="42" t="s">
        <v>53</v>
      </c>
      <c r="B55" s="53">
        <v>0</v>
      </c>
      <c r="C55" s="53">
        <v>1</v>
      </c>
      <c r="D55" s="53">
        <v>7</v>
      </c>
      <c r="E55" s="53">
        <v>15</v>
      </c>
    </row>
    <row r="56" spans="1:5" x14ac:dyDescent="0.2">
      <c r="A56" s="42" t="s">
        <v>54</v>
      </c>
      <c r="B56" s="53">
        <v>3</v>
      </c>
      <c r="C56" s="53">
        <v>6</v>
      </c>
      <c r="D56" s="53">
        <v>126</v>
      </c>
      <c r="E56" s="53">
        <v>157</v>
      </c>
    </row>
    <row r="57" spans="1:5" x14ac:dyDescent="0.2">
      <c r="A57" s="42" t="s">
        <v>55</v>
      </c>
      <c r="B57" s="53">
        <v>1</v>
      </c>
      <c r="C57" s="53">
        <v>0</v>
      </c>
      <c r="D57" s="53">
        <v>10</v>
      </c>
      <c r="E57" s="53">
        <v>13</v>
      </c>
    </row>
    <row r="58" spans="1:5" x14ac:dyDescent="0.2">
      <c r="A58" s="42" t="s">
        <v>56</v>
      </c>
      <c r="B58" s="53">
        <v>2</v>
      </c>
      <c r="C58" s="53">
        <v>1</v>
      </c>
      <c r="D58" s="53">
        <v>57</v>
      </c>
      <c r="E58" s="53">
        <v>74</v>
      </c>
    </row>
    <row r="59" spans="1:5" x14ac:dyDescent="0.2">
      <c r="A59" s="42" t="s">
        <v>57</v>
      </c>
      <c r="B59" s="53">
        <v>0</v>
      </c>
      <c r="C59" s="53">
        <v>1</v>
      </c>
      <c r="D59" s="53">
        <v>1</v>
      </c>
      <c r="E59" s="53">
        <v>9</v>
      </c>
    </row>
    <row r="60" spans="1:5" x14ac:dyDescent="0.2">
      <c r="A60" s="42" t="s">
        <v>58</v>
      </c>
      <c r="B60" s="53">
        <v>0</v>
      </c>
      <c r="C60" s="53">
        <v>0</v>
      </c>
      <c r="D60" s="53">
        <v>31</v>
      </c>
      <c r="E60" s="53">
        <v>37</v>
      </c>
    </row>
    <row r="61" spans="1:5" x14ac:dyDescent="0.2">
      <c r="A61" s="42" t="s">
        <v>59</v>
      </c>
      <c r="B61" s="53">
        <v>0</v>
      </c>
      <c r="C61" s="53">
        <v>1</v>
      </c>
      <c r="D61" s="53">
        <v>27</v>
      </c>
      <c r="E61" s="53">
        <v>42</v>
      </c>
    </row>
    <row r="62" spans="1:5" x14ac:dyDescent="0.2">
      <c r="A62" s="42" t="s">
        <v>60</v>
      </c>
      <c r="B62" s="53">
        <v>1</v>
      </c>
      <c r="C62" s="53">
        <v>0</v>
      </c>
      <c r="D62" s="53">
        <v>12</v>
      </c>
      <c r="E62" s="53">
        <v>31</v>
      </c>
    </row>
    <row r="63" spans="1:5" x14ac:dyDescent="0.2">
      <c r="A63" s="42" t="s">
        <v>61</v>
      </c>
      <c r="B63" s="53">
        <v>0</v>
      </c>
      <c r="C63" s="53">
        <v>0</v>
      </c>
      <c r="D63" s="53">
        <v>38</v>
      </c>
      <c r="E63" s="53">
        <v>56</v>
      </c>
    </row>
    <row r="64" spans="1:5" x14ac:dyDescent="0.2">
      <c r="A64" s="42" t="s">
        <v>62</v>
      </c>
      <c r="B64" s="53">
        <v>2</v>
      </c>
      <c r="C64" s="53">
        <v>0</v>
      </c>
      <c r="D64" s="53">
        <v>23</v>
      </c>
      <c r="E64" s="53">
        <v>42</v>
      </c>
    </row>
    <row r="65" spans="1:5" x14ac:dyDescent="0.2">
      <c r="A65" s="42" t="s">
        <v>63</v>
      </c>
      <c r="B65" s="53">
        <v>6</v>
      </c>
      <c r="C65" s="53">
        <v>6</v>
      </c>
      <c r="D65" s="53">
        <v>172</v>
      </c>
      <c r="E65" s="53">
        <v>202</v>
      </c>
    </row>
    <row r="66" spans="1:5" x14ac:dyDescent="0.2">
      <c r="A66" s="42" t="s">
        <v>64</v>
      </c>
      <c r="B66" s="53">
        <v>1</v>
      </c>
      <c r="C66" s="53">
        <v>2</v>
      </c>
      <c r="D66" s="53">
        <v>41</v>
      </c>
      <c r="E66" s="53">
        <v>43</v>
      </c>
    </row>
    <row r="67" spans="1:5" x14ac:dyDescent="0.2">
      <c r="A67" s="42" t="s">
        <v>65</v>
      </c>
      <c r="B67" s="53">
        <v>5</v>
      </c>
      <c r="C67" s="53">
        <v>4</v>
      </c>
      <c r="D67" s="53">
        <v>290</v>
      </c>
      <c r="E67" s="53">
        <v>322</v>
      </c>
    </row>
    <row r="68" spans="1:5" x14ac:dyDescent="0.2">
      <c r="A68" s="42" t="s">
        <v>66</v>
      </c>
      <c r="B68" s="53">
        <v>0</v>
      </c>
      <c r="C68" s="53">
        <v>1</v>
      </c>
      <c r="D68" s="53">
        <v>28</v>
      </c>
      <c r="E68" s="53">
        <v>50</v>
      </c>
    </row>
    <row r="69" spans="1:5" x14ac:dyDescent="0.2">
      <c r="A69" s="42" t="s">
        <v>67</v>
      </c>
      <c r="B69" s="53">
        <v>39</v>
      </c>
      <c r="C69" s="53">
        <v>36</v>
      </c>
      <c r="D69" s="53">
        <v>933</v>
      </c>
      <c r="E69" s="53">
        <v>947</v>
      </c>
    </row>
    <row r="70" spans="1:5" x14ac:dyDescent="0.2">
      <c r="A70" s="39" t="s">
        <v>68</v>
      </c>
      <c r="B70" s="43">
        <f>SUM(B3:B69)</f>
        <v>975</v>
      </c>
      <c r="C70" s="43">
        <f>SUM(C3:C69)</f>
        <v>555</v>
      </c>
      <c r="D70" s="43">
        <f t="shared" ref="D70:E70" si="0">SUM(D3:D69)</f>
        <v>22751</v>
      </c>
      <c r="E70" s="43">
        <f t="shared" si="0"/>
        <v>16551</v>
      </c>
    </row>
    <row r="71" spans="1:5" x14ac:dyDescent="0.2">
      <c r="D71" s="89"/>
      <c r="E71" s="89"/>
    </row>
    <row r="72" spans="1:5" x14ac:dyDescent="0.2">
      <c r="B72" s="29"/>
      <c r="C72" s="29"/>
      <c r="D72" s="29"/>
      <c r="E72" s="29"/>
    </row>
    <row r="73" spans="1:5" x14ac:dyDescent="0.2">
      <c r="D73" s="89"/>
      <c r="E73" s="89"/>
    </row>
    <row r="74" spans="1:5" x14ac:dyDescent="0.2">
      <c r="D74" s="89"/>
      <c r="E74" s="89"/>
    </row>
    <row r="75" spans="1:5" x14ac:dyDescent="0.2">
      <c r="B75" s="29"/>
      <c r="D75" s="89"/>
      <c r="E75" s="89"/>
    </row>
    <row r="76" spans="1:5" x14ac:dyDescent="0.2">
      <c r="B76" s="29"/>
      <c r="D76" s="89"/>
      <c r="E76" s="89"/>
    </row>
    <row r="77" spans="1:5" x14ac:dyDescent="0.2">
      <c r="B77" s="29"/>
      <c r="D77" s="89"/>
      <c r="E77" s="89"/>
    </row>
    <row r="78" spans="1:5" x14ac:dyDescent="0.2">
      <c r="B78" s="29"/>
      <c r="D78" s="89"/>
      <c r="E78" s="89"/>
    </row>
    <row r="79" spans="1:5" x14ac:dyDescent="0.2">
      <c r="D79" s="89"/>
      <c r="E79" s="89"/>
    </row>
    <row r="80" spans="1:5" x14ac:dyDescent="0.2">
      <c r="D80" s="89"/>
      <c r="E80" s="89"/>
    </row>
    <row r="81" spans="4:5" x14ac:dyDescent="0.2">
      <c r="D81" s="89"/>
      <c r="E81" s="89"/>
    </row>
    <row r="82" spans="4:5" x14ac:dyDescent="0.2">
      <c r="D82" s="89"/>
      <c r="E82" s="89"/>
    </row>
    <row r="83" spans="4:5" x14ac:dyDescent="0.2">
      <c r="D83" s="89"/>
      <c r="E83" s="89"/>
    </row>
    <row r="84" spans="4:5" x14ac:dyDescent="0.2">
      <c r="D84" s="89"/>
      <c r="E84" s="89"/>
    </row>
    <row r="85" spans="4:5" x14ac:dyDescent="0.2">
      <c r="D85" s="89"/>
      <c r="E85" s="89"/>
    </row>
    <row r="86" spans="4:5" x14ac:dyDescent="0.2">
      <c r="D86" s="89"/>
      <c r="E86" s="89"/>
    </row>
    <row r="87" spans="4:5" x14ac:dyDescent="0.2">
      <c r="D87" s="89"/>
      <c r="E87" s="89"/>
    </row>
    <row r="88" spans="4:5" x14ac:dyDescent="0.2">
      <c r="D88" s="89"/>
      <c r="E88" s="89"/>
    </row>
    <row r="89" spans="4:5" x14ac:dyDescent="0.2">
      <c r="D89" s="89"/>
      <c r="E89" s="89"/>
    </row>
    <row r="90" spans="4:5" x14ac:dyDescent="0.2">
      <c r="D90" s="89"/>
      <c r="E90" s="89"/>
    </row>
    <row r="91" spans="4:5" x14ac:dyDescent="0.2">
      <c r="D91" s="89"/>
      <c r="E91" s="89"/>
    </row>
    <row r="92" spans="4:5" x14ac:dyDescent="0.2">
      <c r="D92" s="89"/>
      <c r="E92" s="89"/>
    </row>
    <row r="93" spans="4:5" x14ac:dyDescent="0.2">
      <c r="D93" s="89"/>
      <c r="E93" s="89"/>
    </row>
    <row r="94" spans="4:5" x14ac:dyDescent="0.2">
      <c r="D94" s="89"/>
      <c r="E94" s="89"/>
    </row>
    <row r="95" spans="4:5" x14ac:dyDescent="0.2">
      <c r="D95" s="89"/>
      <c r="E95" s="89"/>
    </row>
    <row r="96" spans="4:5" x14ac:dyDescent="0.2">
      <c r="D96" s="89"/>
      <c r="E96" s="89"/>
    </row>
    <row r="97" spans="4:5" x14ac:dyDescent="0.2">
      <c r="D97" s="89"/>
      <c r="E97" s="89"/>
    </row>
    <row r="98" spans="4:5" x14ac:dyDescent="0.2">
      <c r="D98" s="89"/>
      <c r="E98" s="89"/>
    </row>
    <row r="99" spans="4:5" x14ac:dyDescent="0.2">
      <c r="D99" s="89"/>
      <c r="E99" s="89"/>
    </row>
    <row r="100" spans="4:5" x14ac:dyDescent="0.2">
      <c r="D100" s="89"/>
      <c r="E100" s="89"/>
    </row>
    <row r="101" spans="4:5" x14ac:dyDescent="0.2">
      <c r="D101" s="89"/>
      <c r="E101" s="89"/>
    </row>
    <row r="102" spans="4:5" x14ac:dyDescent="0.2">
      <c r="D102" s="89"/>
      <c r="E102" s="89"/>
    </row>
    <row r="103" spans="4:5" x14ac:dyDescent="0.2">
      <c r="D103" s="89"/>
      <c r="E103" s="89"/>
    </row>
    <row r="104" spans="4:5" x14ac:dyDescent="0.2">
      <c r="D104" s="89"/>
      <c r="E104" s="89"/>
    </row>
    <row r="105" spans="4:5" x14ac:dyDescent="0.2">
      <c r="D105" s="89"/>
      <c r="E105" s="89"/>
    </row>
    <row r="106" spans="4:5" x14ac:dyDescent="0.2">
      <c r="D106" s="89"/>
      <c r="E106" s="89"/>
    </row>
    <row r="107" spans="4:5" x14ac:dyDescent="0.2">
      <c r="D107" s="89"/>
      <c r="E107" s="89"/>
    </row>
    <row r="108" spans="4:5" x14ac:dyDescent="0.2">
      <c r="D108" s="89"/>
      <c r="E108" s="89"/>
    </row>
    <row r="109" spans="4:5" x14ac:dyDescent="0.2">
      <c r="D109" s="89"/>
      <c r="E109" s="89"/>
    </row>
    <row r="110" spans="4:5" x14ac:dyDescent="0.2">
      <c r="D110" s="89"/>
      <c r="E110" s="89"/>
    </row>
    <row r="111" spans="4:5" x14ac:dyDescent="0.2">
      <c r="D111" s="89"/>
      <c r="E111" s="89"/>
    </row>
    <row r="112" spans="4:5" x14ac:dyDescent="0.2">
      <c r="D112" s="89"/>
      <c r="E112" s="89"/>
    </row>
    <row r="113" spans="4:5" x14ac:dyDescent="0.2">
      <c r="D113" s="89"/>
      <c r="E113" s="89"/>
    </row>
    <row r="114" spans="4:5" x14ac:dyDescent="0.2">
      <c r="D114" s="89"/>
      <c r="E114" s="89"/>
    </row>
    <row r="115" spans="4:5" x14ac:dyDescent="0.2">
      <c r="D115" s="89"/>
      <c r="E115" s="89"/>
    </row>
    <row r="116" spans="4:5" x14ac:dyDescent="0.2">
      <c r="D116" s="89"/>
      <c r="E116" s="89"/>
    </row>
    <row r="117" spans="4:5" x14ac:dyDescent="0.2">
      <c r="D117" s="89"/>
      <c r="E117" s="89"/>
    </row>
    <row r="118" spans="4:5" x14ac:dyDescent="0.2">
      <c r="D118" s="89"/>
      <c r="E118" s="89"/>
    </row>
    <row r="119" spans="4:5" x14ac:dyDescent="0.2">
      <c r="D119" s="89"/>
      <c r="E119" s="89"/>
    </row>
    <row r="120" spans="4:5" x14ac:dyDescent="0.2">
      <c r="D120" s="89"/>
      <c r="E120" s="89"/>
    </row>
    <row r="121" spans="4:5" x14ac:dyDescent="0.2">
      <c r="D121" s="89"/>
      <c r="E121" s="89"/>
    </row>
    <row r="122" spans="4:5" x14ac:dyDescent="0.2">
      <c r="D122" s="89"/>
      <c r="E122" s="89"/>
    </row>
    <row r="123" spans="4:5" x14ac:dyDescent="0.2">
      <c r="D123" s="89"/>
      <c r="E123" s="89"/>
    </row>
    <row r="124" spans="4:5" x14ac:dyDescent="0.2">
      <c r="D124" s="89"/>
      <c r="E124" s="89"/>
    </row>
    <row r="125" spans="4:5" x14ac:dyDescent="0.2">
      <c r="D125" s="89"/>
      <c r="E125" s="89"/>
    </row>
    <row r="126" spans="4:5" x14ac:dyDescent="0.2">
      <c r="D126" s="89"/>
      <c r="E126" s="89"/>
    </row>
    <row r="127" spans="4:5" x14ac:dyDescent="0.2">
      <c r="D127" s="89"/>
      <c r="E127" s="89"/>
    </row>
    <row r="128" spans="4:5" x14ac:dyDescent="0.2">
      <c r="D128" s="89"/>
      <c r="E128" s="89"/>
    </row>
    <row r="129" spans="4:5" x14ac:dyDescent="0.2">
      <c r="D129" s="89"/>
      <c r="E129" s="89"/>
    </row>
    <row r="130" spans="4:5" x14ac:dyDescent="0.2">
      <c r="D130" s="89"/>
      <c r="E130" s="89"/>
    </row>
    <row r="131" spans="4:5" x14ac:dyDescent="0.2">
      <c r="D131" s="89"/>
      <c r="E131" s="89"/>
    </row>
    <row r="132" spans="4:5" x14ac:dyDescent="0.2">
      <c r="D132" s="89"/>
      <c r="E132" s="89"/>
    </row>
    <row r="133" spans="4:5" x14ac:dyDescent="0.2">
      <c r="D133" s="89"/>
      <c r="E133" s="89"/>
    </row>
    <row r="134" spans="4:5" x14ac:dyDescent="0.2">
      <c r="D134" s="89"/>
      <c r="E134" s="89"/>
    </row>
    <row r="135" spans="4:5" x14ac:dyDescent="0.2">
      <c r="D135" s="89"/>
      <c r="E135" s="89"/>
    </row>
    <row r="136" spans="4:5" x14ac:dyDescent="0.2">
      <c r="D136" s="89"/>
      <c r="E136" s="89"/>
    </row>
    <row r="137" spans="4:5" x14ac:dyDescent="0.2">
      <c r="D137" s="94"/>
      <c r="E137" s="94"/>
    </row>
    <row r="138" spans="4:5" ht="15" x14ac:dyDescent="0.2">
      <c r="D138" s="33"/>
      <c r="E138"/>
    </row>
  </sheetData>
  <mergeCells count="68"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75:E75"/>
    <mergeCell ref="B1:C1"/>
    <mergeCell ref="D1:E1"/>
    <mergeCell ref="D71:E71"/>
    <mergeCell ref="D73:E73"/>
    <mergeCell ref="D74:E7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45" activePane="bottomLeft" state="frozen"/>
      <selection pane="bottomLeft" activeCell="AL21" sqref="AL21"/>
    </sheetView>
  </sheetViews>
  <sheetFormatPr defaultColWidth="9.140625" defaultRowHeight="12.75" x14ac:dyDescent="0.2"/>
  <cols>
    <col min="1" max="1" width="19.140625" style="11" bestFit="1" customWidth="1"/>
    <col min="2" max="3" width="19.42578125" style="31" customWidth="1"/>
    <col min="4" max="5" width="19.140625" style="29" customWidth="1"/>
    <col min="6" max="6" width="18.140625" style="29" customWidth="1"/>
    <col min="7" max="7" width="17.710937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703125" style="30" customWidth="1"/>
    <col min="27" max="27" width="18" style="22" customWidth="1"/>
    <col min="28" max="28" width="21.28515625" style="29" customWidth="1"/>
    <col min="29" max="29" width="18" style="29" bestFit="1" customWidth="1"/>
    <col min="30" max="31" width="18.5703125" style="29" bestFit="1" customWidth="1"/>
    <col min="32" max="32" width="17.85546875" style="29" bestFit="1" customWidth="1"/>
    <col min="33" max="33" width="21" style="29" customWidth="1"/>
    <col min="34" max="34" width="27.28515625" style="29" customWidth="1"/>
    <col min="35" max="16384" width="9.140625" style="29"/>
  </cols>
  <sheetData>
    <row r="1" spans="1:34" x14ac:dyDescent="0.2">
      <c r="A1" s="47"/>
      <c r="B1" s="83" t="s">
        <v>97</v>
      </c>
      <c r="C1" s="83"/>
      <c r="D1" s="81" t="s">
        <v>98</v>
      </c>
      <c r="E1" s="81"/>
      <c r="F1" s="51" t="s">
        <v>96</v>
      </c>
      <c r="G1" s="83" t="s">
        <v>100</v>
      </c>
      <c r="H1" s="83"/>
      <c r="I1" s="83"/>
      <c r="J1" s="81" t="s">
        <v>101</v>
      </c>
      <c r="K1" s="81"/>
      <c r="L1" s="83" t="s">
        <v>105</v>
      </c>
      <c r="M1" s="83"/>
      <c r="N1" s="81" t="s">
        <v>106</v>
      </c>
      <c r="O1" s="81"/>
      <c r="P1" s="83" t="s">
        <v>107</v>
      </c>
      <c r="Q1" s="83"/>
      <c r="R1" s="83" t="s">
        <v>110</v>
      </c>
      <c r="S1" s="83"/>
      <c r="T1" s="83" t="s">
        <v>112</v>
      </c>
      <c r="U1" s="83"/>
      <c r="V1" s="83" t="s">
        <v>113</v>
      </c>
      <c r="W1" s="83"/>
      <c r="X1" s="87" t="s">
        <v>117</v>
      </c>
      <c r="Y1" s="87"/>
      <c r="Z1" s="92" t="s">
        <v>119</v>
      </c>
      <c r="AA1" s="93"/>
      <c r="AB1" s="92" t="s">
        <v>124</v>
      </c>
      <c r="AC1" s="93"/>
      <c r="AD1" s="92" t="s">
        <v>125</v>
      </c>
      <c r="AE1" s="93"/>
      <c r="AF1" s="81" t="s">
        <v>128</v>
      </c>
      <c r="AG1" s="81"/>
      <c r="AH1" s="81"/>
    </row>
    <row r="2" spans="1:34" x14ac:dyDescent="0.2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">
      <c r="Z71" s="89"/>
      <c r="AA71" s="89"/>
    </row>
    <row r="72" spans="1:34" x14ac:dyDescent="0.2">
      <c r="Z72" s="29"/>
      <c r="AA72" s="29"/>
    </row>
    <row r="73" spans="1:34" x14ac:dyDescent="0.2">
      <c r="Z73" s="89"/>
      <c r="AA73" s="89"/>
    </row>
    <row r="74" spans="1:34" x14ac:dyDescent="0.2">
      <c r="Z74" s="89"/>
      <c r="AA74" s="89"/>
    </row>
    <row r="75" spans="1:34" x14ac:dyDescent="0.2">
      <c r="Z75" s="89"/>
      <c r="AA75" s="89"/>
    </row>
    <row r="76" spans="1:34" x14ac:dyDescent="0.2">
      <c r="Z76" s="89"/>
      <c r="AA76" s="89"/>
    </row>
    <row r="77" spans="1:34" x14ac:dyDescent="0.2">
      <c r="Z77" s="89"/>
      <c r="AA77" s="89"/>
    </row>
    <row r="78" spans="1:34" x14ac:dyDescent="0.2">
      <c r="Z78" s="89"/>
      <c r="AA78" s="89"/>
    </row>
    <row r="79" spans="1:34" x14ac:dyDescent="0.2">
      <c r="Z79" s="89"/>
      <c r="AA79" s="89"/>
    </row>
    <row r="80" spans="1:34" x14ac:dyDescent="0.2">
      <c r="Z80" s="89"/>
      <c r="AA80" s="89"/>
    </row>
    <row r="81" spans="26:27" x14ac:dyDescent="0.2">
      <c r="Z81" s="89"/>
      <c r="AA81" s="89"/>
    </row>
    <row r="82" spans="26:27" x14ac:dyDescent="0.2">
      <c r="Z82" s="89"/>
      <c r="AA82" s="89"/>
    </row>
    <row r="83" spans="26:27" x14ac:dyDescent="0.2">
      <c r="Z83" s="89"/>
      <c r="AA83" s="89"/>
    </row>
    <row r="84" spans="26:27" x14ac:dyDescent="0.2">
      <c r="Z84" s="89"/>
      <c r="AA84" s="89"/>
    </row>
    <row r="85" spans="26:27" x14ac:dyDescent="0.2">
      <c r="Z85" s="89"/>
      <c r="AA85" s="89"/>
    </row>
    <row r="86" spans="26:27" x14ac:dyDescent="0.2">
      <c r="Z86" s="89"/>
      <c r="AA86" s="89"/>
    </row>
    <row r="87" spans="26:27" x14ac:dyDescent="0.2">
      <c r="Z87" s="89"/>
      <c r="AA87" s="89"/>
    </row>
    <row r="88" spans="26:27" x14ac:dyDescent="0.2">
      <c r="Z88" s="89"/>
      <c r="AA88" s="89"/>
    </row>
    <row r="89" spans="26:27" x14ac:dyDescent="0.2">
      <c r="Z89" s="89"/>
      <c r="AA89" s="89"/>
    </row>
    <row r="90" spans="26:27" x14ac:dyDescent="0.2">
      <c r="Z90" s="89"/>
      <c r="AA90" s="89"/>
    </row>
    <row r="91" spans="26:27" x14ac:dyDescent="0.2">
      <c r="Z91" s="89"/>
      <c r="AA91" s="89"/>
    </row>
    <row r="92" spans="26:27" x14ac:dyDescent="0.2">
      <c r="Z92" s="89"/>
      <c r="AA92" s="89"/>
    </row>
    <row r="93" spans="26:27" x14ac:dyDescent="0.2">
      <c r="Z93" s="89"/>
      <c r="AA93" s="89"/>
    </row>
    <row r="94" spans="26:27" x14ac:dyDescent="0.2">
      <c r="Z94" s="89"/>
      <c r="AA94" s="89"/>
    </row>
    <row r="95" spans="26:27" x14ac:dyDescent="0.2">
      <c r="Z95" s="89"/>
      <c r="AA95" s="89"/>
    </row>
    <row r="96" spans="26:27" x14ac:dyDescent="0.2">
      <c r="Z96" s="89"/>
      <c r="AA96" s="89"/>
    </row>
    <row r="97" spans="26:27" x14ac:dyDescent="0.2">
      <c r="Z97" s="89"/>
      <c r="AA97" s="89"/>
    </row>
    <row r="98" spans="26:27" x14ac:dyDescent="0.2">
      <c r="Z98" s="89"/>
      <c r="AA98" s="89"/>
    </row>
    <row r="99" spans="26:27" x14ac:dyDescent="0.2">
      <c r="Z99" s="89"/>
      <c r="AA99" s="89"/>
    </row>
    <row r="100" spans="26:27" x14ac:dyDescent="0.2">
      <c r="Z100" s="89"/>
      <c r="AA100" s="89"/>
    </row>
    <row r="101" spans="26:27" x14ac:dyDescent="0.2">
      <c r="Z101" s="89"/>
      <c r="AA101" s="89"/>
    </row>
    <row r="102" spans="26:27" x14ac:dyDescent="0.2">
      <c r="Z102" s="89"/>
      <c r="AA102" s="89"/>
    </row>
    <row r="103" spans="26:27" x14ac:dyDescent="0.2">
      <c r="Z103" s="89"/>
      <c r="AA103" s="89"/>
    </row>
    <row r="104" spans="26:27" x14ac:dyDescent="0.2">
      <c r="Z104" s="89"/>
      <c r="AA104" s="89"/>
    </row>
    <row r="105" spans="26:27" x14ac:dyDescent="0.2">
      <c r="Z105" s="89"/>
      <c r="AA105" s="89"/>
    </row>
    <row r="106" spans="26:27" x14ac:dyDescent="0.2">
      <c r="Z106" s="89"/>
      <c r="AA106" s="89"/>
    </row>
    <row r="107" spans="26:27" x14ac:dyDescent="0.2">
      <c r="Z107" s="89"/>
      <c r="AA107" s="89"/>
    </row>
    <row r="108" spans="26:27" x14ac:dyDescent="0.2">
      <c r="Z108" s="89"/>
      <c r="AA108" s="89"/>
    </row>
    <row r="109" spans="26:27" x14ac:dyDescent="0.2">
      <c r="Z109" s="89"/>
      <c r="AA109" s="89"/>
    </row>
    <row r="110" spans="26:27" x14ac:dyDescent="0.2">
      <c r="Z110" s="89"/>
      <c r="AA110" s="89"/>
    </row>
    <row r="111" spans="26:27" x14ac:dyDescent="0.2">
      <c r="Z111" s="89"/>
      <c r="AA111" s="89"/>
    </row>
    <row r="112" spans="26:27" x14ac:dyDescent="0.2">
      <c r="Z112" s="89"/>
      <c r="AA112" s="89"/>
    </row>
    <row r="113" spans="26:27" x14ac:dyDescent="0.2">
      <c r="Z113" s="89"/>
      <c r="AA113" s="89"/>
    </row>
    <row r="114" spans="26:27" x14ac:dyDescent="0.2">
      <c r="Z114" s="89"/>
      <c r="AA114" s="89"/>
    </row>
    <row r="115" spans="26:27" x14ac:dyDescent="0.2">
      <c r="Z115" s="89"/>
      <c r="AA115" s="89"/>
    </row>
    <row r="116" spans="26:27" x14ac:dyDescent="0.2">
      <c r="Z116" s="89"/>
      <c r="AA116" s="89"/>
    </row>
    <row r="117" spans="26:27" x14ac:dyDescent="0.2">
      <c r="Z117" s="89"/>
      <c r="AA117" s="89"/>
    </row>
    <row r="118" spans="26:27" x14ac:dyDescent="0.2">
      <c r="Z118" s="89"/>
      <c r="AA118" s="89"/>
    </row>
    <row r="119" spans="26:27" x14ac:dyDescent="0.2">
      <c r="Z119" s="89"/>
      <c r="AA119" s="89"/>
    </row>
    <row r="120" spans="26:27" x14ac:dyDescent="0.2">
      <c r="Z120" s="89"/>
      <c r="AA120" s="89"/>
    </row>
    <row r="121" spans="26:27" x14ac:dyDescent="0.2">
      <c r="Z121" s="89"/>
      <c r="AA121" s="89"/>
    </row>
    <row r="122" spans="26:27" x14ac:dyDescent="0.2">
      <c r="Z122" s="89"/>
      <c r="AA122" s="89"/>
    </row>
    <row r="123" spans="26:27" x14ac:dyDescent="0.2">
      <c r="Z123" s="89"/>
      <c r="AA123" s="89"/>
    </row>
    <row r="124" spans="26:27" x14ac:dyDescent="0.2">
      <c r="Z124" s="89"/>
      <c r="AA124" s="89"/>
    </row>
    <row r="125" spans="26:27" x14ac:dyDescent="0.2">
      <c r="Z125" s="89"/>
      <c r="AA125" s="89"/>
    </row>
    <row r="126" spans="26:27" x14ac:dyDescent="0.2">
      <c r="Z126" s="89"/>
      <c r="AA126" s="89"/>
    </row>
    <row r="127" spans="26:27" x14ac:dyDescent="0.2">
      <c r="Z127" s="89"/>
      <c r="AA127" s="89"/>
    </row>
    <row r="128" spans="26:27" x14ac:dyDescent="0.2">
      <c r="Z128" s="89"/>
      <c r="AA128" s="89"/>
    </row>
    <row r="129" spans="26:27" x14ac:dyDescent="0.2">
      <c r="Z129" s="89"/>
      <c r="AA129" s="89"/>
    </row>
    <row r="130" spans="26:27" x14ac:dyDescent="0.2">
      <c r="Z130" s="89"/>
      <c r="AA130" s="89"/>
    </row>
    <row r="131" spans="26:27" x14ac:dyDescent="0.2">
      <c r="Z131" s="89"/>
      <c r="AA131" s="89"/>
    </row>
    <row r="132" spans="26:27" x14ac:dyDescent="0.2">
      <c r="Z132" s="89"/>
      <c r="AA132" s="89"/>
    </row>
    <row r="133" spans="26:27" x14ac:dyDescent="0.2">
      <c r="Z133" s="89"/>
      <c r="AA133" s="89"/>
    </row>
    <row r="134" spans="26:27" x14ac:dyDescent="0.2">
      <c r="Z134" s="89"/>
      <c r="AA134" s="89"/>
    </row>
    <row r="135" spans="26:27" x14ac:dyDescent="0.2">
      <c r="Z135" s="89"/>
      <c r="AA135" s="89"/>
    </row>
    <row r="136" spans="26:27" x14ac:dyDescent="0.2">
      <c r="Z136" s="89"/>
      <c r="AA136" s="89"/>
    </row>
    <row r="137" spans="26:27" x14ac:dyDescent="0.2">
      <c r="Z137" s="94"/>
      <c r="AA137" s="94"/>
    </row>
    <row r="138" spans="26:27" ht="15" x14ac:dyDescent="0.2">
      <c r="Z138" s="33"/>
      <c r="AA138"/>
    </row>
  </sheetData>
  <mergeCells count="81">
    <mergeCell ref="Z137:AA137"/>
    <mergeCell ref="Z132:AA132"/>
    <mergeCell ref="Z133:AA133"/>
    <mergeCell ref="Z134:AA134"/>
    <mergeCell ref="Z135:AA135"/>
    <mergeCell ref="Z136:AA136"/>
    <mergeCell ref="Z127:AA127"/>
    <mergeCell ref="Z128:AA128"/>
    <mergeCell ref="Z129:AA129"/>
    <mergeCell ref="Z130:AA130"/>
    <mergeCell ref="Z131:AA131"/>
    <mergeCell ref="Z122:AA122"/>
    <mergeCell ref="Z123:AA123"/>
    <mergeCell ref="Z124:AA124"/>
    <mergeCell ref="Z125:AA125"/>
    <mergeCell ref="Z126:AA126"/>
    <mergeCell ref="Z117:AA117"/>
    <mergeCell ref="Z118:AA118"/>
    <mergeCell ref="Z119:AA119"/>
    <mergeCell ref="Z120:AA120"/>
    <mergeCell ref="Z121:AA121"/>
    <mergeCell ref="Z112:AA112"/>
    <mergeCell ref="Z113:AA113"/>
    <mergeCell ref="Z114:AA114"/>
    <mergeCell ref="Z115:AA115"/>
    <mergeCell ref="Z116:AA116"/>
    <mergeCell ref="Z107:AA107"/>
    <mergeCell ref="Z108:AA108"/>
    <mergeCell ref="Z109:AA109"/>
    <mergeCell ref="Z110:AA110"/>
    <mergeCell ref="Z111:AA111"/>
    <mergeCell ref="Z102:AA102"/>
    <mergeCell ref="Z103:AA103"/>
    <mergeCell ref="Z104:AA104"/>
    <mergeCell ref="Z105:AA105"/>
    <mergeCell ref="Z106:AA106"/>
    <mergeCell ref="Z97:AA97"/>
    <mergeCell ref="Z98:AA98"/>
    <mergeCell ref="Z99:AA99"/>
    <mergeCell ref="Z100:AA100"/>
    <mergeCell ref="Z101:AA101"/>
    <mergeCell ref="Z92:AA92"/>
    <mergeCell ref="Z93:AA93"/>
    <mergeCell ref="Z94:AA94"/>
    <mergeCell ref="Z95:AA95"/>
    <mergeCell ref="Z96:AA96"/>
    <mergeCell ref="Z87:AA87"/>
    <mergeCell ref="Z88:AA88"/>
    <mergeCell ref="Z89:AA89"/>
    <mergeCell ref="Z90:AA90"/>
    <mergeCell ref="Z91:AA91"/>
    <mergeCell ref="Z82:AA82"/>
    <mergeCell ref="Z83:AA83"/>
    <mergeCell ref="Z84:AA84"/>
    <mergeCell ref="Z85:AA85"/>
    <mergeCell ref="Z86:AA86"/>
    <mergeCell ref="Z77:AA77"/>
    <mergeCell ref="Z78:AA78"/>
    <mergeCell ref="Z79:AA79"/>
    <mergeCell ref="Z80:AA80"/>
    <mergeCell ref="Z81:AA81"/>
    <mergeCell ref="Z71:AA71"/>
    <mergeCell ref="Z73:AA73"/>
    <mergeCell ref="Z74:AA74"/>
    <mergeCell ref="Z75:AA75"/>
    <mergeCell ref="Z76:AA76"/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56" activePane="bottomRight" state="frozen"/>
      <selection pane="topRight" activeCell="B1" sqref="B1"/>
      <selection pane="bottomLeft" activeCell="A2" sqref="A2"/>
      <selection pane="bottomRight" activeCell="J15" sqref="J15"/>
    </sheetView>
  </sheetViews>
  <sheetFormatPr defaultColWidth="9.140625" defaultRowHeight="12.75" x14ac:dyDescent="0.2"/>
  <cols>
    <col min="1" max="1" width="19.140625" style="11" bestFit="1" customWidth="1"/>
    <col min="2" max="7" width="12.7109375" style="10" customWidth="1"/>
    <col min="8" max="8" width="9.85546875" style="11" bestFit="1" customWidth="1"/>
    <col min="9" max="9" width="16.7109375" style="11" customWidth="1"/>
    <col min="10" max="11" width="9.140625" style="11"/>
    <col min="12" max="17" width="9.5703125" style="11" bestFit="1" customWidth="1"/>
    <col min="18" max="16384" width="9.140625" style="11"/>
  </cols>
  <sheetData>
    <row r="1" spans="1:8" x14ac:dyDescent="0.2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">
      <c r="A2" s="11" t="s">
        <v>1</v>
      </c>
      <c r="B2" s="11">
        <v>6289</v>
      </c>
      <c r="C2" s="11">
        <v>10641</v>
      </c>
      <c r="D2" s="11">
        <v>10881</v>
      </c>
      <c r="E2" s="11">
        <v>10056</v>
      </c>
      <c r="F2" s="11">
        <v>13738</v>
      </c>
      <c r="G2" s="11">
        <v>14056</v>
      </c>
      <c r="H2" s="11">
        <v>10994</v>
      </c>
    </row>
    <row r="3" spans="1:8" x14ac:dyDescent="0.2">
      <c r="A3" s="11" t="s">
        <v>2</v>
      </c>
      <c r="B3" s="11">
        <v>79506</v>
      </c>
      <c r="C3" s="11">
        <v>172258</v>
      </c>
      <c r="D3" s="11">
        <v>161999</v>
      </c>
      <c r="E3" s="11">
        <v>123387</v>
      </c>
      <c r="F3" s="11">
        <v>131610</v>
      </c>
      <c r="G3" s="11">
        <v>139476</v>
      </c>
      <c r="H3" s="11">
        <v>109113</v>
      </c>
    </row>
    <row r="4" spans="1:8" x14ac:dyDescent="0.2">
      <c r="A4" s="11" t="s">
        <v>3</v>
      </c>
      <c r="B4" s="11">
        <v>3123</v>
      </c>
      <c r="C4" s="11">
        <v>5614</v>
      </c>
      <c r="D4" s="11">
        <v>6143</v>
      </c>
      <c r="E4" s="11">
        <v>6387</v>
      </c>
      <c r="F4" s="11">
        <v>7728</v>
      </c>
      <c r="G4" s="11">
        <v>8244</v>
      </c>
      <c r="H4" s="11">
        <v>6358</v>
      </c>
    </row>
    <row r="5" spans="1:8" x14ac:dyDescent="0.2">
      <c r="A5" s="11" t="s">
        <v>4</v>
      </c>
      <c r="B5" s="11">
        <v>7519</v>
      </c>
      <c r="C5" s="11">
        <v>16060</v>
      </c>
      <c r="D5" s="11">
        <v>17867</v>
      </c>
      <c r="E5" s="11">
        <v>16293</v>
      </c>
      <c r="F5" s="11">
        <v>19550</v>
      </c>
      <c r="G5" s="11">
        <v>21013</v>
      </c>
      <c r="H5" s="11">
        <v>15775</v>
      </c>
    </row>
    <row r="6" spans="1:8" x14ac:dyDescent="0.2">
      <c r="A6" s="11" t="s">
        <v>5</v>
      </c>
      <c r="B6" s="11">
        <v>2234</v>
      </c>
      <c r="C6" s="11">
        <v>4241</v>
      </c>
      <c r="D6" s="11">
        <v>4460</v>
      </c>
      <c r="E6" s="11">
        <v>4784</v>
      </c>
      <c r="F6" s="11">
        <v>6048</v>
      </c>
      <c r="G6" s="11">
        <v>6356</v>
      </c>
      <c r="H6" s="11">
        <v>4915</v>
      </c>
    </row>
    <row r="7" spans="1:8" x14ac:dyDescent="0.2">
      <c r="A7" s="11" t="s">
        <v>6</v>
      </c>
      <c r="B7" s="11">
        <v>23416</v>
      </c>
      <c r="C7" s="11">
        <v>41912</v>
      </c>
      <c r="D7" s="11">
        <v>44017</v>
      </c>
      <c r="E7" s="11">
        <v>40645</v>
      </c>
      <c r="F7" s="11">
        <v>47610</v>
      </c>
      <c r="G7" s="11">
        <v>43003</v>
      </c>
      <c r="H7" s="11">
        <v>33810</v>
      </c>
    </row>
    <row r="8" spans="1:8" x14ac:dyDescent="0.2">
      <c r="A8" s="11" t="s">
        <v>7</v>
      </c>
      <c r="B8" s="11">
        <v>6217</v>
      </c>
      <c r="C8" s="11">
        <v>11304</v>
      </c>
      <c r="D8" s="11">
        <v>12288</v>
      </c>
      <c r="E8" s="11">
        <v>12189</v>
      </c>
      <c r="F8" s="11">
        <v>13627</v>
      </c>
      <c r="G8" s="11">
        <v>13985</v>
      </c>
      <c r="H8" s="11">
        <v>11952</v>
      </c>
    </row>
    <row r="9" spans="1:8" x14ac:dyDescent="0.2">
      <c r="A9" s="11" t="s">
        <v>8</v>
      </c>
      <c r="B9" s="11">
        <v>2917</v>
      </c>
      <c r="C9" s="11">
        <v>5290</v>
      </c>
      <c r="D9" s="11">
        <v>5758</v>
      </c>
      <c r="E9" s="11">
        <v>5389</v>
      </c>
      <c r="F9" s="11">
        <v>6987</v>
      </c>
      <c r="G9" s="11">
        <v>6899</v>
      </c>
      <c r="H9" s="11">
        <v>5654</v>
      </c>
    </row>
    <row r="10" spans="1:8" x14ac:dyDescent="0.2">
      <c r="A10" s="11" t="s">
        <v>9</v>
      </c>
      <c r="B10" s="11">
        <v>39556</v>
      </c>
      <c r="C10" s="11">
        <v>68388</v>
      </c>
      <c r="D10" s="11">
        <v>73727</v>
      </c>
      <c r="E10" s="11">
        <v>71038</v>
      </c>
      <c r="F10" s="11">
        <v>86692</v>
      </c>
      <c r="G10" s="11">
        <v>82377</v>
      </c>
      <c r="H10" s="11">
        <v>62815</v>
      </c>
    </row>
    <row r="11" spans="1:8" x14ac:dyDescent="0.2">
      <c r="A11" s="11" t="s">
        <v>10</v>
      </c>
      <c r="B11" s="11">
        <v>11194</v>
      </c>
      <c r="C11" s="11">
        <v>20541</v>
      </c>
      <c r="D11" s="11">
        <v>22617</v>
      </c>
      <c r="E11" s="11">
        <v>20869</v>
      </c>
      <c r="F11" s="11">
        <v>25065</v>
      </c>
      <c r="G11" s="11">
        <v>24615</v>
      </c>
      <c r="H11" s="11">
        <v>18898</v>
      </c>
    </row>
    <row r="12" spans="1:8" x14ac:dyDescent="0.2">
      <c r="A12" s="11" t="s">
        <v>11</v>
      </c>
      <c r="B12" s="11">
        <v>6258</v>
      </c>
      <c r="C12" s="11">
        <v>11175</v>
      </c>
      <c r="D12" s="11">
        <v>12049</v>
      </c>
      <c r="E12" s="11">
        <v>12607</v>
      </c>
      <c r="F12" s="11">
        <v>14474</v>
      </c>
      <c r="G12" s="11">
        <v>16343</v>
      </c>
      <c r="H12" s="11">
        <v>12922</v>
      </c>
    </row>
    <row r="13" spans="1:8" x14ac:dyDescent="0.2">
      <c r="A13" s="11" t="s">
        <v>12</v>
      </c>
      <c r="B13" s="11">
        <v>145</v>
      </c>
      <c r="C13" s="11">
        <v>294</v>
      </c>
      <c r="D13" s="11">
        <v>363</v>
      </c>
      <c r="E13" s="11">
        <v>347</v>
      </c>
      <c r="F13" s="11">
        <v>543</v>
      </c>
      <c r="G13" s="11">
        <v>659</v>
      </c>
      <c r="H13" s="11">
        <v>532</v>
      </c>
    </row>
    <row r="14" spans="1:8" x14ac:dyDescent="0.2">
      <c r="A14" s="11" t="s">
        <v>13</v>
      </c>
      <c r="B14" s="11">
        <v>3148</v>
      </c>
      <c r="C14" s="11">
        <v>6163</v>
      </c>
      <c r="D14" s="11">
        <v>6815</v>
      </c>
      <c r="E14" s="11">
        <v>6848</v>
      </c>
      <c r="F14" s="11">
        <v>8599</v>
      </c>
      <c r="G14" s="11">
        <v>8310</v>
      </c>
      <c r="H14" s="11">
        <v>5873</v>
      </c>
    </row>
    <row r="15" spans="1:8" x14ac:dyDescent="0.2">
      <c r="A15" s="11" t="s">
        <v>14</v>
      </c>
      <c r="B15" s="11">
        <v>17477</v>
      </c>
      <c r="C15" s="11">
        <v>19476</v>
      </c>
      <c r="D15" s="11">
        <v>13817</v>
      </c>
      <c r="E15" s="11">
        <v>12362</v>
      </c>
      <c r="F15" s="11">
        <v>13893</v>
      </c>
      <c r="G15" s="11">
        <v>13537</v>
      </c>
      <c r="H15" s="11">
        <v>11497</v>
      </c>
    </row>
    <row r="16" spans="1:8" x14ac:dyDescent="0.2">
      <c r="A16" s="11" t="s">
        <v>15</v>
      </c>
      <c r="B16" s="11">
        <v>36796</v>
      </c>
      <c r="C16" s="11">
        <v>60845</v>
      </c>
      <c r="D16" s="11">
        <v>60154</v>
      </c>
      <c r="E16" s="11">
        <v>58910</v>
      </c>
      <c r="F16" s="11">
        <v>66693</v>
      </c>
      <c r="G16" s="11">
        <v>59801</v>
      </c>
      <c r="H16" s="11">
        <v>46424</v>
      </c>
    </row>
    <row r="17" spans="1:8" x14ac:dyDescent="0.2">
      <c r="A17" s="11" t="s">
        <v>16</v>
      </c>
      <c r="B17" s="11">
        <v>1662</v>
      </c>
      <c r="C17" s="11">
        <v>3081</v>
      </c>
      <c r="D17" s="11">
        <v>3283</v>
      </c>
      <c r="E17" s="11">
        <v>3403</v>
      </c>
      <c r="F17" s="11">
        <v>4205</v>
      </c>
      <c r="G17" s="11">
        <v>4301</v>
      </c>
      <c r="H17" s="11">
        <v>3376</v>
      </c>
    </row>
    <row r="18" spans="1:8" x14ac:dyDescent="0.2">
      <c r="A18" s="11" t="s">
        <v>17</v>
      </c>
      <c r="B18" s="11">
        <v>3333</v>
      </c>
      <c r="C18" s="11">
        <v>6431</v>
      </c>
      <c r="D18" s="11">
        <v>7095</v>
      </c>
      <c r="E18" s="11">
        <v>7470</v>
      </c>
      <c r="F18" s="11">
        <v>9110</v>
      </c>
      <c r="G18" s="11">
        <v>9004</v>
      </c>
      <c r="H18" s="11">
        <v>7102</v>
      </c>
    </row>
    <row r="19" spans="1:8" x14ac:dyDescent="0.2">
      <c r="A19" s="11" t="s">
        <v>18</v>
      </c>
      <c r="B19" s="11">
        <v>1710</v>
      </c>
      <c r="C19" s="11">
        <v>3293</v>
      </c>
      <c r="D19" s="11">
        <v>3282</v>
      </c>
      <c r="E19" s="11">
        <v>3333</v>
      </c>
      <c r="F19" s="11">
        <v>3833</v>
      </c>
      <c r="G19" s="11">
        <v>3955</v>
      </c>
      <c r="H19" s="11">
        <v>3103</v>
      </c>
    </row>
    <row r="20" spans="1:8" x14ac:dyDescent="0.2">
      <c r="A20" s="11" t="s">
        <v>19</v>
      </c>
      <c r="B20" s="11">
        <v>3751</v>
      </c>
      <c r="C20" s="11">
        <v>5946</v>
      </c>
      <c r="D20" s="11">
        <v>5894</v>
      </c>
      <c r="E20" s="11">
        <v>5785</v>
      </c>
      <c r="F20" s="11">
        <v>6721</v>
      </c>
      <c r="G20" s="11">
        <v>6985</v>
      </c>
      <c r="H20" s="11">
        <v>5514</v>
      </c>
    </row>
    <row r="21" spans="1:8" x14ac:dyDescent="0.2">
      <c r="A21" s="11" t="s">
        <v>20</v>
      </c>
      <c r="B21" s="11">
        <v>3886</v>
      </c>
      <c r="C21" s="11">
        <v>6978</v>
      </c>
      <c r="D21" s="11">
        <v>7468</v>
      </c>
      <c r="E21" s="11">
        <v>7346</v>
      </c>
      <c r="F21" s="11">
        <v>9296</v>
      </c>
      <c r="G21" s="11">
        <v>9776</v>
      </c>
      <c r="H21" s="11">
        <v>8163</v>
      </c>
    </row>
    <row r="22" spans="1:8" x14ac:dyDescent="0.2">
      <c r="A22" s="11" t="s">
        <v>21</v>
      </c>
      <c r="B22" s="11">
        <v>16018</v>
      </c>
      <c r="C22" s="11">
        <v>28157</v>
      </c>
      <c r="D22" s="11">
        <v>30228</v>
      </c>
      <c r="E22" s="11">
        <v>27361</v>
      </c>
      <c r="F22" s="11">
        <v>29159</v>
      </c>
      <c r="G22" s="11">
        <v>28220</v>
      </c>
      <c r="H22" s="11">
        <v>24506</v>
      </c>
    </row>
    <row r="23" spans="1:8" x14ac:dyDescent="0.2">
      <c r="A23" s="11" t="s">
        <v>22</v>
      </c>
      <c r="B23" s="11">
        <v>17070</v>
      </c>
      <c r="C23" s="11">
        <v>34619</v>
      </c>
      <c r="D23" s="11">
        <v>34767</v>
      </c>
      <c r="E23" s="11">
        <v>30024</v>
      </c>
      <c r="F23" s="11">
        <v>32507</v>
      </c>
      <c r="G23" s="11">
        <v>30401</v>
      </c>
      <c r="H23" s="11">
        <v>21875</v>
      </c>
    </row>
    <row r="24" spans="1:8" x14ac:dyDescent="0.2">
      <c r="A24" s="11" t="s">
        <v>23</v>
      </c>
      <c r="B24" s="11">
        <v>37688</v>
      </c>
      <c r="C24" s="11">
        <v>66328</v>
      </c>
      <c r="D24" s="11">
        <v>72592</v>
      </c>
      <c r="E24" s="11">
        <v>60844</v>
      </c>
      <c r="F24" s="11">
        <v>65303</v>
      </c>
      <c r="G24" s="11">
        <v>62022</v>
      </c>
      <c r="H24" s="11">
        <v>45972</v>
      </c>
    </row>
    <row r="25" spans="1:8" x14ac:dyDescent="0.2">
      <c r="A25" s="11" t="s">
        <v>24</v>
      </c>
      <c r="B25" s="11">
        <v>1465</v>
      </c>
      <c r="C25" s="11">
        <v>2538</v>
      </c>
      <c r="D25" s="11">
        <v>2752</v>
      </c>
      <c r="E25" s="11">
        <v>2828</v>
      </c>
      <c r="F25" s="11">
        <v>3906</v>
      </c>
      <c r="G25" s="11">
        <v>3938</v>
      </c>
      <c r="H25" s="11">
        <v>3025</v>
      </c>
    </row>
    <row r="26" spans="1:8" x14ac:dyDescent="0.2">
      <c r="A26" s="11" t="s">
        <v>25</v>
      </c>
      <c r="B26" s="11">
        <v>14422</v>
      </c>
      <c r="C26" s="11">
        <v>27128</v>
      </c>
      <c r="D26" s="11">
        <v>27230</v>
      </c>
      <c r="E26" s="11">
        <v>25186</v>
      </c>
      <c r="F26" s="11">
        <v>28671</v>
      </c>
      <c r="G26" s="11">
        <v>29546</v>
      </c>
      <c r="H26" s="11">
        <v>22553</v>
      </c>
    </row>
    <row r="27" spans="1:8" x14ac:dyDescent="0.2">
      <c r="A27" s="11" t="s">
        <v>26</v>
      </c>
      <c r="B27" s="11">
        <v>5048</v>
      </c>
      <c r="C27" s="11">
        <v>10719</v>
      </c>
      <c r="D27" s="11">
        <v>11634</v>
      </c>
      <c r="E27" s="11">
        <v>12080</v>
      </c>
      <c r="F27" s="11">
        <v>14060</v>
      </c>
      <c r="G27" s="11">
        <v>14640</v>
      </c>
      <c r="H27" s="11">
        <v>11335</v>
      </c>
    </row>
    <row r="28" spans="1:8" x14ac:dyDescent="0.2">
      <c r="A28" s="11" t="s">
        <v>27</v>
      </c>
      <c r="B28" s="11">
        <v>153</v>
      </c>
      <c r="C28" s="11">
        <v>237</v>
      </c>
      <c r="D28" s="11">
        <v>307</v>
      </c>
      <c r="E28" s="11">
        <v>388</v>
      </c>
      <c r="F28" s="11">
        <v>674</v>
      </c>
      <c r="G28" s="11">
        <v>835</v>
      </c>
      <c r="H28" s="11">
        <v>651</v>
      </c>
    </row>
    <row r="29" spans="1:8" x14ac:dyDescent="0.2">
      <c r="A29" s="11" t="s">
        <v>28</v>
      </c>
      <c r="B29" s="11">
        <v>8289</v>
      </c>
      <c r="C29" s="11">
        <v>15413</v>
      </c>
      <c r="D29" s="11">
        <v>16169</v>
      </c>
      <c r="E29" s="11">
        <v>15713</v>
      </c>
      <c r="F29" s="11">
        <v>18069</v>
      </c>
      <c r="G29" s="11">
        <v>16963</v>
      </c>
      <c r="H29" s="11">
        <v>14818</v>
      </c>
    </row>
    <row r="30" spans="1:8" x14ac:dyDescent="0.2">
      <c r="A30" s="11" t="s">
        <v>29</v>
      </c>
      <c r="B30" s="11">
        <v>719</v>
      </c>
      <c r="C30" s="11">
        <v>1372</v>
      </c>
      <c r="D30" s="11">
        <v>1397</v>
      </c>
      <c r="E30" s="11">
        <v>1530</v>
      </c>
      <c r="F30" s="11">
        <v>1878</v>
      </c>
      <c r="G30" s="11">
        <v>1758</v>
      </c>
      <c r="H30" s="11">
        <v>1448</v>
      </c>
    </row>
    <row r="31" spans="1:8" x14ac:dyDescent="0.2">
      <c r="A31" s="11" t="s">
        <v>30</v>
      </c>
      <c r="B31" s="11">
        <v>1522</v>
      </c>
      <c r="C31" s="11">
        <v>2993</v>
      </c>
      <c r="D31" s="11">
        <v>3062</v>
      </c>
      <c r="E31" s="11">
        <v>3417</v>
      </c>
      <c r="F31" s="11">
        <v>3794</v>
      </c>
      <c r="G31" s="11">
        <v>3984</v>
      </c>
      <c r="H31" s="11">
        <v>3017</v>
      </c>
    </row>
    <row r="32" spans="1:8" x14ac:dyDescent="0.2">
      <c r="A32" s="11" t="s">
        <v>31</v>
      </c>
      <c r="B32" s="11">
        <v>2292</v>
      </c>
      <c r="C32" s="11">
        <v>3731</v>
      </c>
      <c r="D32" s="11">
        <v>3608</v>
      </c>
      <c r="E32" s="11">
        <v>3990</v>
      </c>
      <c r="F32" s="11">
        <v>4947</v>
      </c>
      <c r="G32" s="11">
        <v>5060</v>
      </c>
      <c r="H32" s="11">
        <v>4244</v>
      </c>
    </row>
    <row r="33" spans="1:8" x14ac:dyDescent="0.2">
      <c r="A33" s="11" t="s">
        <v>32</v>
      </c>
      <c r="B33" s="11">
        <v>4464</v>
      </c>
      <c r="C33" s="11">
        <v>6615</v>
      </c>
      <c r="D33" s="11">
        <v>6736</v>
      </c>
      <c r="E33" s="11">
        <v>6933</v>
      </c>
      <c r="F33" s="11">
        <v>8302</v>
      </c>
      <c r="G33" s="11">
        <v>8997</v>
      </c>
      <c r="H33" s="11">
        <v>7058</v>
      </c>
    </row>
    <row r="34" spans="1:8" x14ac:dyDescent="0.2">
      <c r="A34" s="11" t="s">
        <v>33</v>
      </c>
      <c r="B34" s="11">
        <v>2064</v>
      </c>
      <c r="C34" s="11">
        <v>3593</v>
      </c>
      <c r="D34" s="11">
        <v>4161</v>
      </c>
      <c r="E34" s="11">
        <v>4075</v>
      </c>
      <c r="F34" s="11">
        <v>4897</v>
      </c>
      <c r="G34" s="11">
        <v>5286</v>
      </c>
      <c r="H34" s="11">
        <v>4007</v>
      </c>
    </row>
    <row r="35" spans="1:8" x14ac:dyDescent="0.2">
      <c r="A35" s="11" t="s">
        <v>34</v>
      </c>
      <c r="B35" s="11">
        <v>935</v>
      </c>
      <c r="C35" s="11">
        <v>1775</v>
      </c>
      <c r="D35" s="11">
        <v>1995</v>
      </c>
      <c r="E35" s="11">
        <v>2114</v>
      </c>
      <c r="F35" s="11">
        <v>2606</v>
      </c>
      <c r="G35" s="11">
        <v>2566</v>
      </c>
      <c r="H35" s="11">
        <v>2083</v>
      </c>
    </row>
    <row r="36" spans="1:8" x14ac:dyDescent="0.2">
      <c r="A36" s="11" t="s">
        <v>35</v>
      </c>
      <c r="B36" s="11">
        <v>12088</v>
      </c>
      <c r="C36" s="11">
        <v>22889</v>
      </c>
      <c r="D36" s="11">
        <v>24207</v>
      </c>
      <c r="E36" s="11">
        <v>21703</v>
      </c>
      <c r="F36" s="11">
        <v>24998</v>
      </c>
      <c r="G36" s="11">
        <v>24115</v>
      </c>
      <c r="H36" s="11">
        <v>19929</v>
      </c>
    </row>
    <row r="37" spans="1:8" x14ac:dyDescent="0.2">
      <c r="A37" s="11" t="s">
        <v>36</v>
      </c>
      <c r="B37" s="11">
        <v>30555</v>
      </c>
      <c r="C37" s="11">
        <v>58866</v>
      </c>
      <c r="D37" s="11">
        <v>59649</v>
      </c>
      <c r="E37" s="11">
        <v>51106</v>
      </c>
      <c r="F37" s="11">
        <v>56753</v>
      </c>
      <c r="G37" s="11">
        <v>57554</v>
      </c>
      <c r="H37" s="11">
        <v>49956</v>
      </c>
    </row>
    <row r="38" spans="1:8" x14ac:dyDescent="0.2">
      <c r="A38" s="11" t="s">
        <v>37</v>
      </c>
      <c r="B38" s="11">
        <v>4254</v>
      </c>
      <c r="C38" s="11">
        <v>7861</v>
      </c>
      <c r="D38" s="11">
        <v>8382</v>
      </c>
      <c r="E38" s="11">
        <v>8286</v>
      </c>
      <c r="F38" s="11">
        <v>9756</v>
      </c>
      <c r="G38" s="11">
        <v>10401</v>
      </c>
      <c r="H38" s="11">
        <v>8381</v>
      </c>
    </row>
    <row r="39" spans="1:8" x14ac:dyDescent="0.2">
      <c r="A39" s="11" t="s">
        <v>38</v>
      </c>
      <c r="B39" s="11">
        <v>7238</v>
      </c>
      <c r="C39" s="11">
        <v>13131</v>
      </c>
      <c r="D39" s="11">
        <v>14478</v>
      </c>
      <c r="E39" s="11">
        <v>14088</v>
      </c>
      <c r="F39" s="11">
        <v>15924</v>
      </c>
      <c r="G39" s="11">
        <v>15678</v>
      </c>
      <c r="H39" s="11">
        <v>13561</v>
      </c>
    </row>
    <row r="40" spans="1:8" x14ac:dyDescent="0.2">
      <c r="A40" s="11" t="s">
        <v>39</v>
      </c>
      <c r="B40" s="11">
        <v>21635</v>
      </c>
      <c r="C40" s="11">
        <v>41900</v>
      </c>
      <c r="D40" s="11">
        <v>42544</v>
      </c>
      <c r="E40" s="11">
        <v>38668</v>
      </c>
      <c r="F40" s="11">
        <v>41248</v>
      </c>
      <c r="G40" s="11">
        <v>38394</v>
      </c>
      <c r="H40" s="11">
        <v>29957</v>
      </c>
    </row>
    <row r="41" spans="1:8" x14ac:dyDescent="0.2">
      <c r="A41" s="11" t="s">
        <v>40</v>
      </c>
      <c r="B41" s="11">
        <v>16016</v>
      </c>
      <c r="C41" s="11">
        <v>30874</v>
      </c>
      <c r="D41" s="11">
        <v>33354</v>
      </c>
      <c r="E41" s="11">
        <v>30670</v>
      </c>
      <c r="F41" s="11">
        <v>35925</v>
      </c>
      <c r="G41" s="11">
        <v>33429</v>
      </c>
      <c r="H41" s="11">
        <v>27444</v>
      </c>
    </row>
    <row r="42" spans="1:8" x14ac:dyDescent="0.2">
      <c r="A42" s="11" t="s">
        <v>41</v>
      </c>
      <c r="B42" s="11">
        <v>5553</v>
      </c>
      <c r="C42" s="11">
        <v>10048</v>
      </c>
      <c r="D42" s="11">
        <v>11448</v>
      </c>
      <c r="E42" s="11">
        <v>10439</v>
      </c>
      <c r="F42" s="11">
        <v>12165</v>
      </c>
      <c r="G42" s="11">
        <v>12988</v>
      </c>
      <c r="H42" s="11">
        <v>10019</v>
      </c>
    </row>
    <row r="43" spans="1:8" x14ac:dyDescent="0.2">
      <c r="A43" s="11" t="s">
        <v>91</v>
      </c>
      <c r="B43" s="11">
        <v>1791</v>
      </c>
      <c r="C43" s="11">
        <v>3290</v>
      </c>
      <c r="D43" s="11">
        <v>3671</v>
      </c>
      <c r="E43" s="11">
        <v>3760</v>
      </c>
      <c r="F43" s="11">
        <v>4548</v>
      </c>
      <c r="G43" s="11">
        <v>4646</v>
      </c>
      <c r="H43" s="11">
        <v>3570</v>
      </c>
    </row>
    <row r="44" spans="1:8" x14ac:dyDescent="0.2">
      <c r="A44" s="11" t="s">
        <v>43</v>
      </c>
      <c r="B44" s="11">
        <v>5497</v>
      </c>
      <c r="C44" s="11">
        <v>9797</v>
      </c>
      <c r="D44" s="11">
        <v>9996</v>
      </c>
      <c r="E44" s="11">
        <v>9887</v>
      </c>
      <c r="F44" s="11">
        <v>12356</v>
      </c>
      <c r="G44" s="11">
        <v>13459</v>
      </c>
      <c r="H44" s="11">
        <v>10909</v>
      </c>
    </row>
    <row r="45" spans="1:8" x14ac:dyDescent="0.2">
      <c r="A45" s="11" t="s">
        <v>44</v>
      </c>
      <c r="B45" s="11">
        <v>1734</v>
      </c>
      <c r="C45" s="11">
        <v>3639</v>
      </c>
      <c r="D45" s="11">
        <v>3892</v>
      </c>
      <c r="E45" s="11">
        <v>3912</v>
      </c>
      <c r="F45" s="11">
        <v>5016</v>
      </c>
      <c r="G45" s="11">
        <v>4774</v>
      </c>
      <c r="H45" s="11">
        <v>4183</v>
      </c>
    </row>
    <row r="46" spans="1:8" x14ac:dyDescent="0.2">
      <c r="A46" s="11" t="s">
        <v>45</v>
      </c>
      <c r="B46" s="11">
        <v>9620</v>
      </c>
      <c r="C46" s="11">
        <v>17526</v>
      </c>
      <c r="D46" s="11">
        <v>17762</v>
      </c>
      <c r="E46" s="11">
        <v>17472</v>
      </c>
      <c r="F46" s="11">
        <v>22510</v>
      </c>
      <c r="G46" s="11">
        <v>20289</v>
      </c>
      <c r="H46" s="11">
        <v>12433</v>
      </c>
    </row>
    <row r="47" spans="1:8" x14ac:dyDescent="0.2">
      <c r="A47" s="11" t="s">
        <v>46</v>
      </c>
      <c r="B47" s="11">
        <v>53740</v>
      </c>
      <c r="C47" s="11">
        <v>96813</v>
      </c>
      <c r="D47" s="11">
        <v>105009</v>
      </c>
      <c r="E47" s="11">
        <v>93695</v>
      </c>
      <c r="F47" s="11">
        <v>101544</v>
      </c>
      <c r="G47" s="11">
        <v>95451</v>
      </c>
      <c r="H47" s="11">
        <v>77675</v>
      </c>
    </row>
    <row r="48" spans="1:8" x14ac:dyDescent="0.2">
      <c r="A48" s="11" t="s">
        <v>47</v>
      </c>
      <c r="B48" s="11">
        <v>814</v>
      </c>
      <c r="C48" s="11">
        <v>1874</v>
      </c>
      <c r="D48" s="11">
        <v>2021</v>
      </c>
      <c r="E48" s="11">
        <v>1647</v>
      </c>
      <c r="F48" s="11">
        <v>1978</v>
      </c>
      <c r="G48" s="11">
        <v>2166</v>
      </c>
      <c r="H48" s="11">
        <v>1854</v>
      </c>
    </row>
    <row r="49" spans="1:8" x14ac:dyDescent="0.2">
      <c r="A49" s="11" t="s">
        <v>48</v>
      </c>
      <c r="B49" s="11">
        <v>22584</v>
      </c>
      <c r="C49" s="11">
        <v>36854</v>
      </c>
      <c r="D49" s="11">
        <v>35898</v>
      </c>
      <c r="E49" s="11">
        <v>33160</v>
      </c>
      <c r="F49" s="11">
        <v>38457</v>
      </c>
      <c r="G49" s="11">
        <v>36436</v>
      </c>
      <c r="H49" s="11">
        <v>29042</v>
      </c>
    </row>
    <row r="50" spans="1:8" x14ac:dyDescent="0.2">
      <c r="A50" s="11" t="s">
        <v>49</v>
      </c>
      <c r="B50" s="11">
        <v>3645</v>
      </c>
      <c r="C50" s="11">
        <v>7194</v>
      </c>
      <c r="D50" s="11">
        <v>8564</v>
      </c>
      <c r="E50" s="11">
        <v>8221</v>
      </c>
      <c r="F50" s="11">
        <v>9673</v>
      </c>
      <c r="G50" s="11">
        <v>10034</v>
      </c>
      <c r="H50" s="11">
        <v>8011</v>
      </c>
    </row>
    <row r="51" spans="1:8" x14ac:dyDescent="0.2">
      <c r="A51" s="11" t="s">
        <v>50</v>
      </c>
      <c r="B51" s="11">
        <v>2356</v>
      </c>
      <c r="C51" s="11">
        <v>4337</v>
      </c>
      <c r="D51" s="11">
        <v>4872</v>
      </c>
      <c r="E51" s="11">
        <v>4735</v>
      </c>
      <c r="F51" s="11">
        <v>5826</v>
      </c>
      <c r="G51" s="11">
        <v>5356</v>
      </c>
      <c r="H51" s="11">
        <v>3765</v>
      </c>
    </row>
    <row r="52" spans="1:8" x14ac:dyDescent="0.2">
      <c r="A52" s="11" t="s">
        <v>51</v>
      </c>
      <c r="B52" s="11">
        <v>99968</v>
      </c>
      <c r="C52" s="11">
        <v>258865</v>
      </c>
      <c r="D52" s="11">
        <v>222310</v>
      </c>
      <c r="E52" s="11">
        <v>144279</v>
      </c>
      <c r="F52" s="11">
        <v>144613</v>
      </c>
      <c r="G52" s="11">
        <v>127136</v>
      </c>
      <c r="H52" s="11">
        <v>92144</v>
      </c>
    </row>
    <row r="53" spans="1:8" x14ac:dyDescent="0.2">
      <c r="A53" s="11" t="s">
        <v>52</v>
      </c>
      <c r="B53" s="11">
        <v>3146</v>
      </c>
      <c r="C53" s="11">
        <v>5959</v>
      </c>
      <c r="D53" s="11">
        <v>6484</v>
      </c>
      <c r="E53" s="11">
        <v>6635</v>
      </c>
      <c r="F53" s="11">
        <v>9543</v>
      </c>
      <c r="G53" s="11">
        <v>9237</v>
      </c>
      <c r="H53" s="11">
        <v>6384</v>
      </c>
    </row>
    <row r="54" spans="1:8" x14ac:dyDescent="0.2">
      <c r="A54" s="11" t="s">
        <v>53</v>
      </c>
      <c r="B54" s="11">
        <v>737</v>
      </c>
      <c r="C54" s="11">
        <v>1265</v>
      </c>
      <c r="D54" s="11">
        <v>1474</v>
      </c>
      <c r="E54" s="11">
        <v>1499</v>
      </c>
      <c r="F54" s="11">
        <v>2035</v>
      </c>
      <c r="G54" s="11">
        <v>2226</v>
      </c>
      <c r="H54" s="11">
        <v>1766</v>
      </c>
    </row>
    <row r="55" spans="1:8" x14ac:dyDescent="0.2">
      <c r="A55" s="11" t="s">
        <v>54</v>
      </c>
      <c r="B55" s="11">
        <v>6858</v>
      </c>
      <c r="C55" s="11">
        <v>12490</v>
      </c>
      <c r="D55" s="11">
        <v>13878</v>
      </c>
      <c r="E55" s="11">
        <v>14198</v>
      </c>
      <c r="F55" s="11">
        <v>16641</v>
      </c>
      <c r="G55" s="11">
        <v>16140</v>
      </c>
      <c r="H55" s="11">
        <v>12256</v>
      </c>
    </row>
    <row r="56" spans="1:8" x14ac:dyDescent="0.2">
      <c r="A56" s="11" t="s">
        <v>55</v>
      </c>
      <c r="B56" s="11">
        <v>2219</v>
      </c>
      <c r="C56" s="11">
        <v>3211</v>
      </c>
      <c r="D56" s="11">
        <v>3480</v>
      </c>
      <c r="E56" s="11">
        <v>3441</v>
      </c>
      <c r="F56" s="11">
        <v>4148</v>
      </c>
      <c r="G56" s="11">
        <v>3977</v>
      </c>
      <c r="H56" s="11">
        <v>3395</v>
      </c>
    </row>
    <row r="57" spans="1:8" x14ac:dyDescent="0.2">
      <c r="A57" s="11" t="s">
        <v>56</v>
      </c>
      <c r="B57" s="11">
        <v>3237</v>
      </c>
      <c r="C57" s="11">
        <v>5983</v>
      </c>
      <c r="D57" s="11">
        <v>6773</v>
      </c>
      <c r="E57" s="11">
        <v>7060</v>
      </c>
      <c r="F57" s="11">
        <v>8564</v>
      </c>
      <c r="G57" s="11">
        <v>9375</v>
      </c>
      <c r="H57" s="11">
        <v>7493</v>
      </c>
    </row>
    <row r="58" spans="1:8" x14ac:dyDescent="0.2">
      <c r="A58" s="11" t="s">
        <v>57</v>
      </c>
      <c r="B58" s="11">
        <v>249</v>
      </c>
      <c r="C58" s="11">
        <v>412</v>
      </c>
      <c r="D58" s="11">
        <v>561</v>
      </c>
      <c r="E58" s="11">
        <v>562</v>
      </c>
      <c r="F58" s="11">
        <v>805</v>
      </c>
      <c r="G58" s="11">
        <v>1074</v>
      </c>
      <c r="H58" s="11">
        <v>794</v>
      </c>
    </row>
    <row r="59" spans="1:8" x14ac:dyDescent="0.2">
      <c r="A59" s="11" t="s">
        <v>58</v>
      </c>
      <c r="B59" s="11">
        <v>1874</v>
      </c>
      <c r="C59" s="11">
        <v>3635</v>
      </c>
      <c r="D59" s="11">
        <v>3977</v>
      </c>
      <c r="E59" s="11">
        <v>3695</v>
      </c>
      <c r="F59" s="11">
        <v>5028</v>
      </c>
      <c r="G59" s="11">
        <v>5341</v>
      </c>
      <c r="H59" s="11">
        <v>4206</v>
      </c>
    </row>
    <row r="60" spans="1:8" x14ac:dyDescent="0.2">
      <c r="A60" s="11" t="s">
        <v>59</v>
      </c>
      <c r="B60" s="11">
        <v>1863</v>
      </c>
      <c r="C60" s="11">
        <v>3287</v>
      </c>
      <c r="D60" s="11">
        <v>3910</v>
      </c>
      <c r="E60" s="11">
        <v>3748</v>
      </c>
      <c r="F60" s="11">
        <v>4752</v>
      </c>
      <c r="G60" s="11">
        <v>5064</v>
      </c>
      <c r="H60" s="11">
        <v>4173</v>
      </c>
    </row>
    <row r="61" spans="1:8" x14ac:dyDescent="0.2">
      <c r="A61" s="11" t="s">
        <v>60</v>
      </c>
      <c r="B61" s="11">
        <v>3688</v>
      </c>
      <c r="C61" s="11">
        <v>4061</v>
      </c>
      <c r="D61" s="11">
        <v>3646</v>
      </c>
      <c r="E61" s="11">
        <v>3447</v>
      </c>
      <c r="F61" s="11">
        <v>3993</v>
      </c>
      <c r="G61" s="11">
        <v>3886</v>
      </c>
      <c r="H61" s="11">
        <v>3752</v>
      </c>
    </row>
    <row r="62" spans="1:8" x14ac:dyDescent="0.2">
      <c r="A62" s="11" t="s">
        <v>61</v>
      </c>
      <c r="B62" s="11">
        <v>2209</v>
      </c>
      <c r="C62" s="11">
        <v>3922</v>
      </c>
      <c r="D62" s="11">
        <v>4670</v>
      </c>
      <c r="E62" s="11">
        <v>4770</v>
      </c>
      <c r="F62" s="11">
        <v>5695</v>
      </c>
      <c r="G62" s="11">
        <v>6588</v>
      </c>
      <c r="H62" s="11">
        <v>4939</v>
      </c>
    </row>
    <row r="63" spans="1:8" x14ac:dyDescent="0.2">
      <c r="A63" s="11" t="s">
        <v>62</v>
      </c>
      <c r="B63" s="11">
        <v>1718</v>
      </c>
      <c r="C63" s="11">
        <v>3055</v>
      </c>
      <c r="D63" s="11">
        <v>3617</v>
      </c>
      <c r="E63" s="11">
        <v>3503</v>
      </c>
      <c r="F63" s="11">
        <v>4672</v>
      </c>
      <c r="G63" s="11">
        <v>5035</v>
      </c>
      <c r="H63" s="11">
        <v>3818</v>
      </c>
    </row>
    <row r="64" spans="1:8" x14ac:dyDescent="0.2">
      <c r="A64" s="11" t="s">
        <v>63</v>
      </c>
      <c r="B64" s="11">
        <v>10356</v>
      </c>
      <c r="C64" s="11">
        <v>19652</v>
      </c>
      <c r="D64" s="11">
        <v>22506</v>
      </c>
      <c r="E64" s="11">
        <v>21251</v>
      </c>
      <c r="F64" s="11">
        <v>25040</v>
      </c>
      <c r="G64" s="11">
        <v>26079</v>
      </c>
      <c r="H64" s="11">
        <v>20027</v>
      </c>
    </row>
    <row r="65" spans="1:8" x14ac:dyDescent="0.2">
      <c r="A65" s="11" t="s">
        <v>64</v>
      </c>
      <c r="B65" s="11">
        <v>2210</v>
      </c>
      <c r="C65" s="11">
        <v>4555</v>
      </c>
      <c r="D65" s="11">
        <v>5040</v>
      </c>
      <c r="E65" s="11">
        <v>4910</v>
      </c>
      <c r="F65" s="11">
        <v>6893</v>
      </c>
      <c r="G65" s="11">
        <v>7447</v>
      </c>
      <c r="H65" s="11">
        <v>5641</v>
      </c>
    </row>
    <row r="66" spans="1:8" x14ac:dyDescent="0.2">
      <c r="A66" s="11" t="s">
        <v>65</v>
      </c>
      <c r="B66" s="11">
        <v>17339</v>
      </c>
      <c r="C66" s="11">
        <v>33042</v>
      </c>
      <c r="D66" s="11">
        <v>36416</v>
      </c>
      <c r="E66" s="11">
        <v>35095</v>
      </c>
      <c r="F66" s="11">
        <v>44115</v>
      </c>
      <c r="G66" s="11">
        <v>46606</v>
      </c>
      <c r="H66" s="11">
        <v>38048</v>
      </c>
    </row>
    <row r="67" spans="1:8" x14ac:dyDescent="0.2">
      <c r="A67" s="11" t="s">
        <v>66</v>
      </c>
      <c r="B67" s="11">
        <v>1347</v>
      </c>
      <c r="C67" s="11">
        <v>2489</v>
      </c>
      <c r="D67" s="11">
        <v>2698</v>
      </c>
      <c r="E67" s="11">
        <v>2691</v>
      </c>
      <c r="F67" s="11">
        <v>3247</v>
      </c>
      <c r="G67" s="11">
        <v>3348</v>
      </c>
      <c r="H67" s="11">
        <v>2654</v>
      </c>
    </row>
    <row r="68" spans="1:8" ht="13.5" thickBot="1" x14ac:dyDescent="0.25">
      <c r="A68" s="13" t="s">
        <v>67</v>
      </c>
      <c r="B68" s="13">
        <v>26644</v>
      </c>
      <c r="C68" s="13">
        <v>50363</v>
      </c>
      <c r="D68" s="13">
        <v>54798</v>
      </c>
      <c r="E68" s="13">
        <v>50267</v>
      </c>
      <c r="F68" s="13">
        <v>57048</v>
      </c>
      <c r="G68" s="13">
        <v>50508</v>
      </c>
      <c r="H68" s="13">
        <v>38274</v>
      </c>
    </row>
    <row r="69" spans="1:8" x14ac:dyDescent="0.2">
      <c r="A69" s="32" t="s">
        <v>68</v>
      </c>
      <c r="B69" s="32">
        <f>SUM(B2:B68)</f>
        <v>757068</v>
      </c>
      <c r="C69" s="32">
        <f t="shared" ref="C69:G69" si="0">SUM(C2:C68)</f>
        <v>1468288</v>
      </c>
      <c r="D69" s="32">
        <f t="shared" si="0"/>
        <v>1478600</v>
      </c>
      <c r="E69" s="32">
        <f t="shared" si="0"/>
        <v>1288431</v>
      </c>
      <c r="F69" s="32">
        <f t="shared" si="0"/>
        <v>1460304</v>
      </c>
      <c r="G69" s="32">
        <f t="shared" si="0"/>
        <v>1421148</v>
      </c>
      <c r="H69" s="32">
        <f>SUM(H2:H68)</f>
        <v>1111835</v>
      </c>
    </row>
    <row r="70" spans="1:8" x14ac:dyDescent="0.2">
      <c r="B70" s="17">
        <f t="shared" ref="B70:H70" si="1">B69/$B$72</f>
        <v>8.4252778366987274E-2</v>
      </c>
      <c r="C70" s="17">
        <f>C69/$B$72</f>
        <v>0.16340321271392663</v>
      </c>
      <c r="D70" s="17">
        <f>D69/$B$72</f>
        <v>0.16455081722305973</v>
      </c>
      <c r="E70" s="17">
        <f t="shared" si="1"/>
        <v>0.14338724062324096</v>
      </c>
      <c r="F70" s="17">
        <f t="shared" si="1"/>
        <v>0.16251468726775531</v>
      </c>
      <c r="G70" s="17">
        <f t="shared" si="1"/>
        <v>0.15815708426546524</v>
      </c>
      <c r="H70" s="17">
        <f t="shared" si="1"/>
        <v>0.12373417953956486</v>
      </c>
    </row>
    <row r="72" spans="1:8" x14ac:dyDescent="0.2">
      <c r="A72" s="32" t="s">
        <v>80</v>
      </c>
      <c r="B72" s="16">
        <f>SUM(B69:H69)</f>
        <v>8985674</v>
      </c>
      <c r="C72" s="14"/>
    </row>
    <row r="81" spans="2:7" x14ac:dyDescent="0.2">
      <c r="G81" s="11"/>
    </row>
    <row r="82" spans="2:7" x14ac:dyDescent="0.2">
      <c r="G82" s="11"/>
    </row>
    <row r="83" spans="2:7" x14ac:dyDescent="0.2">
      <c r="E83" s="11"/>
      <c r="G83" s="11"/>
    </row>
    <row r="84" spans="2:7" x14ac:dyDescent="0.2">
      <c r="B84" s="11"/>
      <c r="E84" s="11"/>
      <c r="G84" s="11"/>
    </row>
    <row r="85" spans="2:7" x14ac:dyDescent="0.2">
      <c r="E85" s="11"/>
      <c r="G85" s="11"/>
    </row>
    <row r="86" spans="2:7" x14ac:dyDescent="0.2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47" activePane="bottomRight" state="frozen"/>
      <selection pane="topRight" activeCell="C1" sqref="C1"/>
      <selection pane="bottomLeft" activeCell="A2" sqref="A2"/>
      <selection pane="bottomRight" activeCell="L13" sqref="L13"/>
    </sheetView>
  </sheetViews>
  <sheetFormatPr defaultColWidth="9.140625" defaultRowHeight="12.75" x14ac:dyDescent="0.2"/>
  <cols>
    <col min="1" max="1" width="19.85546875" style="11" customWidth="1"/>
    <col min="2" max="2" width="9" style="10" customWidth="1"/>
    <col min="3" max="8" width="12.28515625" style="10" customWidth="1"/>
    <col min="9" max="9" width="11" style="11" bestFit="1" customWidth="1"/>
    <col min="10" max="10" width="6.42578125" style="11" customWidth="1"/>
    <col min="11" max="16384" width="9.140625" style="11"/>
  </cols>
  <sheetData>
    <row r="1" spans="1:9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">
      <c r="A2" s="11" t="s">
        <v>1</v>
      </c>
      <c r="B2" s="10" t="s">
        <v>0</v>
      </c>
      <c r="C2" s="11">
        <v>1948</v>
      </c>
      <c r="D2" s="11">
        <v>2778</v>
      </c>
      <c r="E2" s="11">
        <v>2338</v>
      </c>
      <c r="F2" s="11">
        <v>2121</v>
      </c>
      <c r="G2" s="11">
        <v>2651</v>
      </c>
      <c r="H2" s="11">
        <v>3783</v>
      </c>
      <c r="I2" s="11">
        <v>3548</v>
      </c>
    </row>
    <row r="3" spans="1:9" x14ac:dyDescent="0.2">
      <c r="A3" s="11" t="s">
        <v>2</v>
      </c>
      <c r="B3" s="10" t="s">
        <v>0</v>
      </c>
      <c r="C3" s="11">
        <v>41588</v>
      </c>
      <c r="D3" s="11">
        <v>94612</v>
      </c>
      <c r="E3" s="11">
        <v>89624</v>
      </c>
      <c r="F3" s="11">
        <v>64387</v>
      </c>
      <c r="G3" s="11">
        <v>67243</v>
      </c>
      <c r="H3" s="11">
        <v>79974</v>
      </c>
      <c r="I3" s="11">
        <v>65940</v>
      </c>
    </row>
    <row r="4" spans="1:9" x14ac:dyDescent="0.2">
      <c r="A4" s="11" t="s">
        <v>3</v>
      </c>
      <c r="B4" s="10" t="s">
        <v>0</v>
      </c>
      <c r="C4" s="11">
        <v>607</v>
      </c>
      <c r="D4" s="11">
        <v>1100</v>
      </c>
      <c r="E4" s="11">
        <v>1198</v>
      </c>
      <c r="F4" s="11">
        <v>1262</v>
      </c>
      <c r="G4" s="11">
        <v>1750</v>
      </c>
      <c r="H4" s="11">
        <v>2543</v>
      </c>
      <c r="I4" s="11">
        <v>2186</v>
      </c>
    </row>
    <row r="5" spans="1:9" x14ac:dyDescent="0.2">
      <c r="A5" s="11" t="s">
        <v>4</v>
      </c>
      <c r="B5" s="10" t="s">
        <v>0</v>
      </c>
      <c r="C5" s="11">
        <v>2517</v>
      </c>
      <c r="D5" s="11">
        <v>5675</v>
      </c>
      <c r="E5" s="11">
        <v>6382</v>
      </c>
      <c r="F5" s="11">
        <v>5917</v>
      </c>
      <c r="G5" s="11">
        <v>7312</v>
      </c>
      <c r="H5" s="11">
        <v>9820</v>
      </c>
      <c r="I5" s="11">
        <v>8079</v>
      </c>
    </row>
    <row r="6" spans="1:9" x14ac:dyDescent="0.2">
      <c r="A6" s="11" t="s">
        <v>5</v>
      </c>
      <c r="B6" s="10" t="s">
        <v>0</v>
      </c>
      <c r="C6" s="11">
        <v>307</v>
      </c>
      <c r="D6" s="11">
        <v>522</v>
      </c>
      <c r="E6" s="11">
        <v>585</v>
      </c>
      <c r="F6" s="11">
        <v>622</v>
      </c>
      <c r="G6" s="11">
        <v>851</v>
      </c>
      <c r="H6" s="11">
        <v>1181</v>
      </c>
      <c r="I6" s="11">
        <v>1193</v>
      </c>
    </row>
    <row r="7" spans="1:9" x14ac:dyDescent="0.2">
      <c r="A7" s="11" t="s">
        <v>6</v>
      </c>
      <c r="B7" s="10" t="s">
        <v>0</v>
      </c>
      <c r="C7" s="11">
        <v>8530</v>
      </c>
      <c r="D7" s="11">
        <v>15781</v>
      </c>
      <c r="E7" s="11">
        <v>16340</v>
      </c>
      <c r="F7" s="11">
        <v>14912</v>
      </c>
      <c r="G7" s="11">
        <v>16831</v>
      </c>
      <c r="H7" s="11">
        <v>17354</v>
      </c>
      <c r="I7" s="11">
        <v>14569</v>
      </c>
    </row>
    <row r="8" spans="1:9" x14ac:dyDescent="0.2">
      <c r="A8" s="11" t="s">
        <v>7</v>
      </c>
      <c r="B8" s="10" t="s">
        <v>0</v>
      </c>
      <c r="C8" s="11">
        <v>1518</v>
      </c>
      <c r="D8" s="11">
        <v>3050</v>
      </c>
      <c r="E8" s="11">
        <v>3121</v>
      </c>
      <c r="F8" s="11">
        <v>2566</v>
      </c>
      <c r="G8" s="11">
        <v>2735</v>
      </c>
      <c r="H8" s="11">
        <v>3533</v>
      </c>
      <c r="I8" s="11">
        <v>3278</v>
      </c>
    </row>
    <row r="9" spans="1:9" x14ac:dyDescent="0.2">
      <c r="A9" s="11" t="s">
        <v>8</v>
      </c>
      <c r="B9" s="10" t="s">
        <v>0</v>
      </c>
      <c r="C9" s="11">
        <v>513</v>
      </c>
      <c r="D9" s="11">
        <v>1058</v>
      </c>
      <c r="E9" s="11">
        <v>1068</v>
      </c>
      <c r="F9" s="11">
        <v>914</v>
      </c>
      <c r="G9" s="11">
        <v>1169</v>
      </c>
      <c r="H9" s="11">
        <v>1600</v>
      </c>
      <c r="I9" s="11">
        <v>1494</v>
      </c>
    </row>
    <row r="10" spans="1:9" x14ac:dyDescent="0.2">
      <c r="A10" s="11" t="s">
        <v>9</v>
      </c>
      <c r="B10" s="10" t="s">
        <v>0</v>
      </c>
      <c r="C10" s="11">
        <v>15693</v>
      </c>
      <c r="D10" s="11">
        <v>28175</v>
      </c>
      <c r="E10" s="11">
        <v>30072</v>
      </c>
      <c r="F10" s="11">
        <v>27137</v>
      </c>
      <c r="G10" s="11">
        <v>31082</v>
      </c>
      <c r="H10" s="11">
        <v>34558</v>
      </c>
      <c r="I10" s="11">
        <v>27254</v>
      </c>
    </row>
    <row r="11" spans="1:9" x14ac:dyDescent="0.2">
      <c r="A11" s="11" t="s">
        <v>10</v>
      </c>
      <c r="B11" s="10" t="s">
        <v>0</v>
      </c>
      <c r="C11" s="11">
        <v>3002</v>
      </c>
      <c r="D11" s="11">
        <v>5336</v>
      </c>
      <c r="E11" s="11">
        <v>5947</v>
      </c>
      <c r="F11" s="11">
        <v>5059</v>
      </c>
      <c r="G11" s="11">
        <v>5749</v>
      </c>
      <c r="H11" s="11">
        <v>7534</v>
      </c>
      <c r="I11" s="11">
        <v>6630</v>
      </c>
    </row>
    <row r="12" spans="1:9" x14ac:dyDescent="0.2">
      <c r="A12" s="11" t="s">
        <v>11</v>
      </c>
      <c r="B12" s="10" t="s">
        <v>0</v>
      </c>
      <c r="C12" s="11">
        <v>1709</v>
      </c>
      <c r="D12" s="11">
        <v>3309</v>
      </c>
      <c r="E12" s="11">
        <v>3680</v>
      </c>
      <c r="F12" s="11">
        <v>3706</v>
      </c>
      <c r="G12" s="11">
        <v>4621</v>
      </c>
      <c r="H12" s="11">
        <v>6589</v>
      </c>
      <c r="I12" s="11">
        <v>5728</v>
      </c>
    </row>
    <row r="13" spans="1:9" x14ac:dyDescent="0.2">
      <c r="A13" s="11" t="s">
        <v>12</v>
      </c>
      <c r="B13" s="10" t="s">
        <v>0</v>
      </c>
      <c r="C13" s="11">
        <v>35</v>
      </c>
      <c r="D13" s="11">
        <v>65</v>
      </c>
      <c r="E13" s="11">
        <v>78</v>
      </c>
      <c r="F13" s="11">
        <v>60</v>
      </c>
      <c r="G13" s="11">
        <v>107</v>
      </c>
      <c r="H13" s="11">
        <v>170</v>
      </c>
      <c r="I13" s="11">
        <v>148</v>
      </c>
    </row>
    <row r="14" spans="1:9" x14ac:dyDescent="0.2">
      <c r="A14" s="11" t="s">
        <v>13</v>
      </c>
      <c r="B14" s="10" t="s">
        <v>0</v>
      </c>
      <c r="C14" s="11">
        <v>871</v>
      </c>
      <c r="D14" s="11">
        <v>1774</v>
      </c>
      <c r="E14" s="11">
        <v>1937</v>
      </c>
      <c r="F14" s="11">
        <v>1926</v>
      </c>
      <c r="G14" s="11">
        <v>2391</v>
      </c>
      <c r="H14" s="11">
        <v>2885</v>
      </c>
      <c r="I14" s="11">
        <v>2290</v>
      </c>
    </row>
    <row r="15" spans="1:9" x14ac:dyDescent="0.2">
      <c r="A15" s="11" t="s">
        <v>14</v>
      </c>
      <c r="B15" s="10" t="s">
        <v>0</v>
      </c>
      <c r="C15" s="11">
        <v>7626</v>
      </c>
      <c r="D15" s="11">
        <v>9130</v>
      </c>
      <c r="E15" s="11">
        <v>5728</v>
      </c>
      <c r="F15" s="11">
        <v>4654</v>
      </c>
      <c r="G15" s="11">
        <v>4497</v>
      </c>
      <c r="H15" s="11">
        <v>5088</v>
      </c>
      <c r="I15" s="11">
        <v>4698</v>
      </c>
    </row>
    <row r="16" spans="1:9" x14ac:dyDescent="0.2">
      <c r="A16" s="11" t="s">
        <v>15</v>
      </c>
      <c r="B16" s="10" t="s">
        <v>0</v>
      </c>
      <c r="C16" s="11">
        <v>16483</v>
      </c>
      <c r="D16" s="11">
        <v>27387</v>
      </c>
      <c r="E16" s="11">
        <v>26385</v>
      </c>
      <c r="F16" s="11">
        <v>23453</v>
      </c>
      <c r="G16" s="11">
        <v>24010</v>
      </c>
      <c r="H16" s="11">
        <v>24443</v>
      </c>
      <c r="I16" s="11">
        <v>18895</v>
      </c>
    </row>
    <row r="17" spans="1:9" x14ac:dyDescent="0.2">
      <c r="A17" s="11" t="s">
        <v>16</v>
      </c>
      <c r="B17" s="10" t="s">
        <v>0</v>
      </c>
      <c r="C17" s="11">
        <v>300</v>
      </c>
      <c r="D17" s="11">
        <v>644</v>
      </c>
      <c r="E17" s="11">
        <v>593</v>
      </c>
      <c r="F17" s="11">
        <v>595</v>
      </c>
      <c r="G17" s="11">
        <v>723</v>
      </c>
      <c r="H17" s="11">
        <v>1158</v>
      </c>
      <c r="I17" s="11">
        <v>1029</v>
      </c>
    </row>
    <row r="18" spans="1:9" x14ac:dyDescent="0.2">
      <c r="A18" s="11" t="s">
        <v>17</v>
      </c>
      <c r="B18" s="10" t="s">
        <v>0</v>
      </c>
      <c r="C18" s="11">
        <v>695</v>
      </c>
      <c r="D18" s="11">
        <v>1357</v>
      </c>
      <c r="E18" s="11">
        <v>1466</v>
      </c>
      <c r="F18" s="11">
        <v>1514</v>
      </c>
      <c r="G18" s="11">
        <v>1949</v>
      </c>
      <c r="H18" s="11">
        <v>2561</v>
      </c>
      <c r="I18" s="11">
        <v>2481</v>
      </c>
    </row>
    <row r="19" spans="1:9" x14ac:dyDescent="0.2">
      <c r="A19" s="11" t="s">
        <v>18</v>
      </c>
      <c r="B19" s="10" t="s">
        <v>0</v>
      </c>
      <c r="C19" s="11">
        <v>385</v>
      </c>
      <c r="D19" s="11">
        <v>851</v>
      </c>
      <c r="E19" s="11">
        <v>780</v>
      </c>
      <c r="F19" s="11">
        <v>749</v>
      </c>
      <c r="G19" s="11">
        <v>902</v>
      </c>
      <c r="H19" s="11">
        <v>1273</v>
      </c>
      <c r="I19" s="11">
        <v>1124</v>
      </c>
    </row>
    <row r="20" spans="1:9" x14ac:dyDescent="0.2">
      <c r="A20" s="11" t="s">
        <v>19</v>
      </c>
      <c r="B20" s="10" t="s">
        <v>0</v>
      </c>
      <c r="C20" s="11">
        <v>1186</v>
      </c>
      <c r="D20" s="11">
        <v>1740</v>
      </c>
      <c r="E20" s="11">
        <v>1664</v>
      </c>
      <c r="F20" s="11">
        <v>1483</v>
      </c>
      <c r="G20" s="11">
        <v>1604</v>
      </c>
      <c r="H20" s="11">
        <v>2200</v>
      </c>
      <c r="I20" s="11">
        <v>1899</v>
      </c>
    </row>
    <row r="21" spans="1:9" x14ac:dyDescent="0.2">
      <c r="A21" s="11" t="s">
        <v>20</v>
      </c>
      <c r="B21" s="10" t="s">
        <v>0</v>
      </c>
      <c r="C21" s="11">
        <v>1007</v>
      </c>
      <c r="D21" s="11">
        <v>1820</v>
      </c>
      <c r="E21" s="11">
        <v>1753</v>
      </c>
      <c r="F21" s="11">
        <v>1737</v>
      </c>
      <c r="G21" s="11">
        <v>2152</v>
      </c>
      <c r="H21" s="11">
        <v>3030</v>
      </c>
      <c r="I21" s="11">
        <v>2886</v>
      </c>
    </row>
    <row r="22" spans="1:9" x14ac:dyDescent="0.2">
      <c r="A22" s="11" t="s">
        <v>21</v>
      </c>
      <c r="B22" s="10" t="s">
        <v>0</v>
      </c>
      <c r="C22" s="11">
        <v>6272</v>
      </c>
      <c r="D22" s="11">
        <v>10376</v>
      </c>
      <c r="E22" s="11">
        <v>10888</v>
      </c>
      <c r="F22" s="11">
        <v>8745</v>
      </c>
      <c r="G22" s="11">
        <v>7999</v>
      </c>
      <c r="H22" s="11">
        <v>9053</v>
      </c>
      <c r="I22" s="11">
        <v>8356</v>
      </c>
    </row>
    <row r="23" spans="1:9" x14ac:dyDescent="0.2">
      <c r="A23" s="11" t="s">
        <v>22</v>
      </c>
      <c r="B23" s="10" t="s">
        <v>0</v>
      </c>
      <c r="C23" s="11">
        <v>7421</v>
      </c>
      <c r="D23" s="11">
        <v>15669</v>
      </c>
      <c r="E23" s="11">
        <v>15298</v>
      </c>
      <c r="F23" s="11">
        <v>12903</v>
      </c>
      <c r="G23" s="11">
        <v>13007</v>
      </c>
      <c r="H23" s="11">
        <v>13161</v>
      </c>
      <c r="I23" s="11">
        <v>9208</v>
      </c>
    </row>
    <row r="24" spans="1:9" x14ac:dyDescent="0.2">
      <c r="A24" s="11" t="s">
        <v>23</v>
      </c>
      <c r="B24" s="10" t="s">
        <v>0</v>
      </c>
      <c r="C24" s="11">
        <v>19118</v>
      </c>
      <c r="D24" s="11">
        <v>34970</v>
      </c>
      <c r="E24" s="11">
        <v>38766</v>
      </c>
      <c r="F24" s="11">
        <v>30624</v>
      </c>
      <c r="G24" s="11">
        <v>29412</v>
      </c>
      <c r="H24" s="11">
        <v>29065</v>
      </c>
      <c r="I24" s="11">
        <v>20931</v>
      </c>
    </row>
    <row r="25" spans="1:9" x14ac:dyDescent="0.2">
      <c r="A25" s="11" t="s">
        <v>24</v>
      </c>
      <c r="B25" s="10" t="s">
        <v>0</v>
      </c>
      <c r="C25" s="11">
        <v>320</v>
      </c>
      <c r="D25" s="11">
        <v>596</v>
      </c>
      <c r="E25" s="11">
        <v>652</v>
      </c>
      <c r="F25" s="11">
        <v>642</v>
      </c>
      <c r="G25" s="11">
        <v>1004</v>
      </c>
      <c r="H25" s="11">
        <v>1314</v>
      </c>
      <c r="I25" s="11">
        <v>1242</v>
      </c>
    </row>
    <row r="26" spans="1:9" x14ac:dyDescent="0.2">
      <c r="A26" s="11" t="s">
        <v>25</v>
      </c>
      <c r="B26" s="10" t="s">
        <v>0</v>
      </c>
      <c r="C26" s="11">
        <v>5428</v>
      </c>
      <c r="D26" s="11">
        <v>11270</v>
      </c>
      <c r="E26" s="11">
        <v>11169</v>
      </c>
      <c r="F26" s="11">
        <v>10136</v>
      </c>
      <c r="G26" s="11">
        <v>11690</v>
      </c>
      <c r="H26" s="11">
        <v>14821</v>
      </c>
      <c r="I26" s="11">
        <v>11915</v>
      </c>
    </row>
    <row r="27" spans="1:9" x14ac:dyDescent="0.2">
      <c r="A27" s="11" t="s">
        <v>26</v>
      </c>
      <c r="B27" s="10" t="s">
        <v>0</v>
      </c>
      <c r="C27" s="11">
        <v>1331</v>
      </c>
      <c r="D27" s="11">
        <v>2925</v>
      </c>
      <c r="E27" s="11">
        <v>3483</v>
      </c>
      <c r="F27" s="11">
        <v>3839</v>
      </c>
      <c r="G27" s="11">
        <v>5010</v>
      </c>
      <c r="H27" s="11">
        <v>6843</v>
      </c>
      <c r="I27" s="11">
        <v>6007</v>
      </c>
    </row>
    <row r="28" spans="1:9" x14ac:dyDescent="0.2">
      <c r="A28" s="11" t="s">
        <v>27</v>
      </c>
      <c r="B28" s="10" t="s">
        <v>0</v>
      </c>
      <c r="C28" s="11">
        <v>18</v>
      </c>
      <c r="D28" s="11">
        <v>47</v>
      </c>
      <c r="E28" s="11">
        <v>57</v>
      </c>
      <c r="F28" s="11">
        <v>69</v>
      </c>
      <c r="G28" s="11">
        <v>148</v>
      </c>
      <c r="H28" s="11">
        <v>242</v>
      </c>
      <c r="I28" s="11">
        <v>206</v>
      </c>
    </row>
    <row r="29" spans="1:9" x14ac:dyDescent="0.2">
      <c r="A29" s="11" t="s">
        <v>28</v>
      </c>
      <c r="B29" s="10" t="s">
        <v>0</v>
      </c>
      <c r="C29" s="11">
        <v>2033</v>
      </c>
      <c r="D29" s="11">
        <v>3695</v>
      </c>
      <c r="E29" s="11">
        <v>3467</v>
      </c>
      <c r="F29" s="11">
        <v>3108</v>
      </c>
      <c r="G29" s="11">
        <v>3228</v>
      </c>
      <c r="H29" s="11">
        <v>3957</v>
      </c>
      <c r="I29" s="11">
        <v>4034</v>
      </c>
    </row>
    <row r="30" spans="1:9" x14ac:dyDescent="0.2">
      <c r="A30" s="11" t="s">
        <v>29</v>
      </c>
      <c r="B30" s="10" t="s">
        <v>0</v>
      </c>
      <c r="C30" s="11">
        <v>84</v>
      </c>
      <c r="D30" s="11">
        <v>138</v>
      </c>
      <c r="E30" s="11">
        <v>160</v>
      </c>
      <c r="F30" s="11">
        <v>173</v>
      </c>
      <c r="G30" s="11">
        <v>247</v>
      </c>
      <c r="H30" s="11">
        <v>284</v>
      </c>
      <c r="I30" s="11">
        <v>387</v>
      </c>
    </row>
    <row r="31" spans="1:9" x14ac:dyDescent="0.2">
      <c r="A31" s="11" t="s">
        <v>30</v>
      </c>
      <c r="B31" s="10" t="s">
        <v>0</v>
      </c>
      <c r="C31" s="11">
        <v>301</v>
      </c>
      <c r="D31" s="11">
        <v>666</v>
      </c>
      <c r="E31" s="11">
        <v>820</v>
      </c>
      <c r="F31" s="11">
        <v>944</v>
      </c>
      <c r="G31" s="11">
        <v>1271</v>
      </c>
      <c r="H31" s="11">
        <v>1814</v>
      </c>
      <c r="I31" s="11">
        <v>1533</v>
      </c>
    </row>
    <row r="32" spans="1:9" x14ac:dyDescent="0.2">
      <c r="A32" s="11" t="s">
        <v>31</v>
      </c>
      <c r="B32" s="10" t="s">
        <v>0</v>
      </c>
      <c r="C32" s="11">
        <v>592</v>
      </c>
      <c r="D32" s="11">
        <v>854</v>
      </c>
      <c r="E32" s="11">
        <v>601</v>
      </c>
      <c r="F32" s="11">
        <v>708</v>
      </c>
      <c r="G32" s="11">
        <v>863</v>
      </c>
      <c r="H32" s="11">
        <v>1206</v>
      </c>
      <c r="I32" s="11">
        <v>1182</v>
      </c>
    </row>
    <row r="33" spans="1:9" x14ac:dyDescent="0.2">
      <c r="A33" s="11" t="s">
        <v>32</v>
      </c>
      <c r="B33" s="10" t="s">
        <v>0</v>
      </c>
      <c r="C33" s="11">
        <v>1265</v>
      </c>
      <c r="D33" s="11">
        <v>1833</v>
      </c>
      <c r="E33" s="11">
        <v>1518</v>
      </c>
      <c r="F33" s="11">
        <v>1514</v>
      </c>
      <c r="G33" s="11">
        <v>2068</v>
      </c>
      <c r="H33" s="11">
        <v>3005</v>
      </c>
      <c r="I33" s="11">
        <v>2673</v>
      </c>
    </row>
    <row r="34" spans="1:9" x14ac:dyDescent="0.2">
      <c r="A34" s="11" t="s">
        <v>33</v>
      </c>
      <c r="B34" s="10" t="s">
        <v>0</v>
      </c>
      <c r="C34" s="11">
        <v>349</v>
      </c>
      <c r="D34" s="11">
        <v>620</v>
      </c>
      <c r="E34" s="11">
        <v>672</v>
      </c>
      <c r="F34" s="11">
        <v>666</v>
      </c>
      <c r="G34" s="11">
        <v>790</v>
      </c>
      <c r="H34" s="11">
        <v>1260</v>
      </c>
      <c r="I34" s="11">
        <v>1076</v>
      </c>
    </row>
    <row r="35" spans="1:9" x14ac:dyDescent="0.2">
      <c r="A35" s="11" t="s">
        <v>34</v>
      </c>
      <c r="B35" s="10" t="s">
        <v>0</v>
      </c>
      <c r="C35" s="11">
        <v>136</v>
      </c>
      <c r="D35" s="11">
        <v>244</v>
      </c>
      <c r="E35" s="11">
        <v>298</v>
      </c>
      <c r="F35" s="11">
        <v>325</v>
      </c>
      <c r="G35" s="11">
        <v>408</v>
      </c>
      <c r="H35" s="11">
        <v>592</v>
      </c>
      <c r="I35" s="11">
        <v>535</v>
      </c>
    </row>
    <row r="36" spans="1:9" x14ac:dyDescent="0.2">
      <c r="A36" s="11" t="s">
        <v>35</v>
      </c>
      <c r="B36" s="10" t="s">
        <v>0</v>
      </c>
      <c r="C36" s="11">
        <v>5233</v>
      </c>
      <c r="D36" s="11">
        <v>10641</v>
      </c>
      <c r="E36" s="11">
        <v>11771</v>
      </c>
      <c r="F36" s="11">
        <v>10282</v>
      </c>
      <c r="G36" s="11">
        <v>12538</v>
      </c>
      <c r="H36" s="11">
        <v>14052</v>
      </c>
      <c r="I36" s="11">
        <v>12261</v>
      </c>
    </row>
    <row r="37" spans="1:9" x14ac:dyDescent="0.2">
      <c r="A37" s="11" t="s">
        <v>36</v>
      </c>
      <c r="B37" s="10" t="s">
        <v>0</v>
      </c>
      <c r="C37" s="11">
        <v>9734</v>
      </c>
      <c r="D37" s="11">
        <v>20092</v>
      </c>
      <c r="E37" s="11">
        <v>19674</v>
      </c>
      <c r="F37" s="11">
        <v>15309</v>
      </c>
      <c r="G37" s="11">
        <v>15260</v>
      </c>
      <c r="H37" s="11">
        <v>17458</v>
      </c>
      <c r="I37" s="11">
        <v>15483</v>
      </c>
    </row>
    <row r="38" spans="1:9" x14ac:dyDescent="0.2">
      <c r="A38" s="11" t="s">
        <v>37</v>
      </c>
      <c r="B38" s="10" t="s">
        <v>0</v>
      </c>
      <c r="C38" s="11">
        <v>1157</v>
      </c>
      <c r="D38" s="11">
        <v>2392</v>
      </c>
      <c r="E38" s="11">
        <v>2500</v>
      </c>
      <c r="F38" s="11">
        <v>2467</v>
      </c>
      <c r="G38" s="11">
        <v>3230</v>
      </c>
      <c r="H38" s="11">
        <v>4195</v>
      </c>
      <c r="I38" s="11">
        <v>3730</v>
      </c>
    </row>
    <row r="39" spans="1:9" x14ac:dyDescent="0.2">
      <c r="A39" s="11" t="s">
        <v>38</v>
      </c>
      <c r="B39" s="10" t="s">
        <v>0</v>
      </c>
      <c r="C39" s="11">
        <v>2079</v>
      </c>
      <c r="D39" s="11">
        <v>3719</v>
      </c>
      <c r="E39" s="11">
        <v>4045</v>
      </c>
      <c r="F39" s="11">
        <v>3659</v>
      </c>
      <c r="G39" s="11">
        <v>3853</v>
      </c>
      <c r="H39" s="11">
        <v>4226</v>
      </c>
      <c r="I39" s="11">
        <v>3870</v>
      </c>
    </row>
    <row r="40" spans="1:9" x14ac:dyDescent="0.2">
      <c r="A40" s="11" t="s">
        <v>39</v>
      </c>
      <c r="B40" s="10" t="s">
        <v>0</v>
      </c>
      <c r="C40" s="11">
        <v>9295</v>
      </c>
      <c r="D40" s="11">
        <v>18366</v>
      </c>
      <c r="E40" s="11">
        <v>18714</v>
      </c>
      <c r="F40" s="11">
        <v>16766</v>
      </c>
      <c r="G40" s="11">
        <v>17040</v>
      </c>
      <c r="H40" s="11">
        <v>17459</v>
      </c>
      <c r="I40" s="11">
        <v>14129</v>
      </c>
    </row>
    <row r="41" spans="1:9" x14ac:dyDescent="0.2">
      <c r="A41" s="11" t="s">
        <v>40</v>
      </c>
      <c r="B41" s="10" t="s">
        <v>0</v>
      </c>
      <c r="C41" s="11">
        <v>6048</v>
      </c>
      <c r="D41" s="11">
        <v>12244</v>
      </c>
      <c r="E41" s="11">
        <v>13321</v>
      </c>
      <c r="F41" s="11">
        <v>11982</v>
      </c>
      <c r="G41" s="11">
        <v>13775</v>
      </c>
      <c r="H41" s="11">
        <v>15035</v>
      </c>
      <c r="I41" s="11">
        <v>12924</v>
      </c>
    </row>
    <row r="42" spans="1:9" x14ac:dyDescent="0.2">
      <c r="A42" s="11" t="s">
        <v>41</v>
      </c>
      <c r="B42" s="10" t="s">
        <v>0</v>
      </c>
      <c r="C42" s="11">
        <v>1427</v>
      </c>
      <c r="D42" s="11">
        <v>2895</v>
      </c>
      <c r="E42" s="11">
        <v>2834</v>
      </c>
      <c r="F42" s="11">
        <v>2333</v>
      </c>
      <c r="G42" s="11">
        <v>2582</v>
      </c>
      <c r="H42" s="11">
        <v>3370</v>
      </c>
      <c r="I42" s="11">
        <v>2765</v>
      </c>
    </row>
    <row r="43" spans="1:9" x14ac:dyDescent="0.2">
      <c r="A43" s="11" t="s">
        <v>42</v>
      </c>
      <c r="B43" s="10" t="s">
        <v>0</v>
      </c>
      <c r="C43" s="11">
        <v>374</v>
      </c>
      <c r="D43" s="11">
        <v>742</v>
      </c>
      <c r="E43" s="11">
        <v>693</v>
      </c>
      <c r="F43" s="11">
        <v>653</v>
      </c>
      <c r="G43" s="11">
        <v>777</v>
      </c>
      <c r="H43" s="11">
        <v>1121</v>
      </c>
      <c r="I43" s="11">
        <v>951</v>
      </c>
    </row>
    <row r="44" spans="1:9" x14ac:dyDescent="0.2">
      <c r="A44" s="11" t="s">
        <v>43</v>
      </c>
      <c r="B44" s="10" t="s">
        <v>0</v>
      </c>
      <c r="C44" s="11">
        <v>1383</v>
      </c>
      <c r="D44" s="11">
        <v>2661</v>
      </c>
      <c r="E44" s="11">
        <v>2957</v>
      </c>
      <c r="F44" s="11">
        <v>2767</v>
      </c>
      <c r="G44" s="11">
        <v>3670</v>
      </c>
      <c r="H44" s="11">
        <v>5223</v>
      </c>
      <c r="I44" s="11">
        <v>4460</v>
      </c>
    </row>
    <row r="45" spans="1:9" x14ac:dyDescent="0.2">
      <c r="A45" s="11" t="s">
        <v>44</v>
      </c>
      <c r="B45" s="10" t="s">
        <v>0</v>
      </c>
      <c r="C45" s="11">
        <v>306</v>
      </c>
      <c r="D45" s="11">
        <v>689</v>
      </c>
      <c r="E45" s="11">
        <v>759</v>
      </c>
      <c r="F45" s="11">
        <v>701</v>
      </c>
      <c r="G45" s="11">
        <v>795</v>
      </c>
      <c r="H45" s="11">
        <v>1022</v>
      </c>
      <c r="I45" s="11">
        <v>1100</v>
      </c>
    </row>
    <row r="46" spans="1:9" x14ac:dyDescent="0.2">
      <c r="A46" s="11" t="s">
        <v>45</v>
      </c>
      <c r="B46" s="10" t="s">
        <v>0</v>
      </c>
      <c r="C46" s="11">
        <v>4117</v>
      </c>
      <c r="D46" s="11">
        <v>7329</v>
      </c>
      <c r="E46" s="11">
        <v>6753</v>
      </c>
      <c r="F46" s="11">
        <v>6931</v>
      </c>
      <c r="G46" s="11">
        <v>9099</v>
      </c>
      <c r="H46" s="11">
        <v>8791</v>
      </c>
      <c r="I46" s="11">
        <v>5565</v>
      </c>
    </row>
    <row r="47" spans="1:9" x14ac:dyDescent="0.2">
      <c r="A47" s="11" t="s">
        <v>46</v>
      </c>
      <c r="B47" s="10" t="s">
        <v>0</v>
      </c>
      <c r="C47" s="11">
        <v>26791</v>
      </c>
      <c r="D47" s="11">
        <v>49192</v>
      </c>
      <c r="E47" s="11">
        <v>54043</v>
      </c>
      <c r="F47" s="11">
        <v>45605</v>
      </c>
      <c r="G47" s="11">
        <v>44605</v>
      </c>
      <c r="H47" s="11">
        <v>46409</v>
      </c>
      <c r="I47" s="11">
        <v>38881</v>
      </c>
    </row>
    <row r="48" spans="1:9" x14ac:dyDescent="0.2">
      <c r="A48" s="11" t="s">
        <v>47</v>
      </c>
      <c r="B48" s="10" t="s">
        <v>0</v>
      </c>
      <c r="C48" s="11">
        <v>238</v>
      </c>
      <c r="D48" s="11">
        <v>591</v>
      </c>
      <c r="E48" s="11">
        <v>634</v>
      </c>
      <c r="F48" s="11">
        <v>446</v>
      </c>
      <c r="G48" s="11">
        <v>507</v>
      </c>
      <c r="H48" s="11">
        <v>709</v>
      </c>
      <c r="I48" s="11">
        <v>644</v>
      </c>
    </row>
    <row r="49" spans="1:9" x14ac:dyDescent="0.2">
      <c r="A49" s="11" t="s">
        <v>48</v>
      </c>
      <c r="B49" s="10" t="s">
        <v>0</v>
      </c>
      <c r="C49" s="11">
        <v>9978</v>
      </c>
      <c r="D49" s="11">
        <v>15227</v>
      </c>
      <c r="E49" s="11">
        <v>14401</v>
      </c>
      <c r="F49" s="11">
        <v>12985</v>
      </c>
      <c r="G49" s="11">
        <v>14260</v>
      </c>
      <c r="H49" s="11">
        <v>15790</v>
      </c>
      <c r="I49" s="11">
        <v>13506</v>
      </c>
    </row>
    <row r="50" spans="1:9" x14ac:dyDescent="0.2">
      <c r="A50" s="11" t="s">
        <v>49</v>
      </c>
      <c r="B50" s="10" t="s">
        <v>0</v>
      </c>
      <c r="C50" s="11">
        <v>861</v>
      </c>
      <c r="D50" s="11">
        <v>1913</v>
      </c>
      <c r="E50" s="11">
        <v>2208</v>
      </c>
      <c r="F50" s="11">
        <v>2072</v>
      </c>
      <c r="G50" s="11">
        <v>2351</v>
      </c>
      <c r="H50" s="11">
        <v>3172</v>
      </c>
      <c r="I50" s="11">
        <v>2752</v>
      </c>
    </row>
    <row r="51" spans="1:9" x14ac:dyDescent="0.2">
      <c r="A51" s="11" t="s">
        <v>50</v>
      </c>
      <c r="B51" s="10" t="s">
        <v>0</v>
      </c>
      <c r="C51" s="11">
        <v>471</v>
      </c>
      <c r="D51" s="11">
        <v>827</v>
      </c>
      <c r="E51" s="11">
        <v>893</v>
      </c>
      <c r="F51" s="11">
        <v>837</v>
      </c>
      <c r="G51" s="11">
        <v>951</v>
      </c>
      <c r="H51" s="11">
        <v>1101</v>
      </c>
      <c r="I51" s="11">
        <v>947</v>
      </c>
    </row>
    <row r="52" spans="1:9" x14ac:dyDescent="0.2">
      <c r="A52" s="11" t="s">
        <v>51</v>
      </c>
      <c r="B52" s="10" t="s">
        <v>0</v>
      </c>
      <c r="C52" s="11">
        <v>61540</v>
      </c>
      <c r="D52" s="11">
        <v>177405</v>
      </c>
      <c r="E52" s="11">
        <v>156600</v>
      </c>
      <c r="F52" s="11">
        <v>103118</v>
      </c>
      <c r="G52" s="11">
        <v>108785</v>
      </c>
      <c r="H52" s="11">
        <v>98982</v>
      </c>
      <c r="I52" s="11">
        <v>72060</v>
      </c>
    </row>
    <row r="53" spans="1:9" x14ac:dyDescent="0.2">
      <c r="A53" s="11" t="s">
        <v>52</v>
      </c>
      <c r="B53" s="10" t="s">
        <v>0</v>
      </c>
      <c r="C53" s="11">
        <v>962</v>
      </c>
      <c r="D53" s="11">
        <v>1782</v>
      </c>
      <c r="E53" s="11">
        <v>1719</v>
      </c>
      <c r="F53" s="11">
        <v>1783</v>
      </c>
      <c r="G53" s="11">
        <v>2483</v>
      </c>
      <c r="H53" s="11">
        <v>2825</v>
      </c>
      <c r="I53" s="11">
        <v>2071</v>
      </c>
    </row>
    <row r="54" spans="1:9" x14ac:dyDescent="0.2">
      <c r="A54" s="11" t="s">
        <v>53</v>
      </c>
      <c r="B54" s="10" t="s">
        <v>0</v>
      </c>
      <c r="C54" s="11">
        <v>107</v>
      </c>
      <c r="D54" s="11">
        <v>141</v>
      </c>
      <c r="E54" s="11">
        <v>202</v>
      </c>
      <c r="F54" s="11">
        <v>205</v>
      </c>
      <c r="G54" s="11">
        <v>286</v>
      </c>
      <c r="H54" s="11">
        <v>420</v>
      </c>
      <c r="I54" s="11">
        <v>375</v>
      </c>
    </row>
    <row r="55" spans="1:9" x14ac:dyDescent="0.2">
      <c r="A55" s="11" t="s">
        <v>54</v>
      </c>
      <c r="B55" s="10" t="s">
        <v>0</v>
      </c>
      <c r="C55" s="11">
        <v>1524</v>
      </c>
      <c r="D55" s="11">
        <v>3298</v>
      </c>
      <c r="E55" s="11">
        <v>3657</v>
      </c>
      <c r="F55" s="11">
        <v>3516</v>
      </c>
      <c r="G55" s="11">
        <v>4161</v>
      </c>
      <c r="H55" s="11">
        <v>5079</v>
      </c>
      <c r="I55" s="11">
        <v>4121</v>
      </c>
    </row>
    <row r="56" spans="1:9" x14ac:dyDescent="0.2">
      <c r="A56" s="11" t="s">
        <v>55</v>
      </c>
      <c r="B56" s="10" t="s">
        <v>0</v>
      </c>
      <c r="C56" s="11">
        <v>603</v>
      </c>
      <c r="D56" s="11">
        <v>707</v>
      </c>
      <c r="E56" s="11">
        <v>637</v>
      </c>
      <c r="F56" s="11">
        <v>596</v>
      </c>
      <c r="G56" s="11">
        <v>681</v>
      </c>
      <c r="H56" s="11">
        <v>852</v>
      </c>
      <c r="I56" s="11">
        <v>814</v>
      </c>
    </row>
    <row r="57" spans="1:9" x14ac:dyDescent="0.2">
      <c r="A57" s="11" t="s">
        <v>56</v>
      </c>
      <c r="B57" s="10" t="s">
        <v>0</v>
      </c>
      <c r="C57" s="11">
        <v>487</v>
      </c>
      <c r="D57" s="11">
        <v>1045</v>
      </c>
      <c r="E57" s="11">
        <v>1330</v>
      </c>
      <c r="F57" s="11">
        <v>1259</v>
      </c>
      <c r="G57" s="11">
        <v>1621</v>
      </c>
      <c r="H57" s="11">
        <v>2443</v>
      </c>
      <c r="I57" s="11">
        <v>2310</v>
      </c>
    </row>
    <row r="58" spans="1:9" x14ac:dyDescent="0.2">
      <c r="A58" s="11" t="s">
        <v>57</v>
      </c>
      <c r="B58" s="10" t="s">
        <v>0</v>
      </c>
      <c r="C58" s="11">
        <v>46</v>
      </c>
      <c r="D58" s="11">
        <v>81</v>
      </c>
      <c r="E58" s="11">
        <v>98</v>
      </c>
      <c r="F58" s="11">
        <v>105</v>
      </c>
      <c r="G58" s="11">
        <v>167</v>
      </c>
      <c r="H58" s="11">
        <v>304</v>
      </c>
      <c r="I58" s="11">
        <v>269</v>
      </c>
    </row>
    <row r="59" spans="1:9" x14ac:dyDescent="0.2">
      <c r="A59" s="11" t="s">
        <v>58</v>
      </c>
      <c r="B59" s="10" t="s">
        <v>0</v>
      </c>
      <c r="C59" s="11">
        <v>355</v>
      </c>
      <c r="D59" s="11">
        <v>722</v>
      </c>
      <c r="E59" s="11">
        <v>769</v>
      </c>
      <c r="F59" s="11">
        <v>747</v>
      </c>
      <c r="G59" s="11">
        <v>1030</v>
      </c>
      <c r="H59" s="11">
        <v>1369</v>
      </c>
      <c r="I59" s="11">
        <v>1229</v>
      </c>
    </row>
    <row r="60" spans="1:9" x14ac:dyDescent="0.2">
      <c r="A60" s="11" t="s">
        <v>59</v>
      </c>
      <c r="B60" s="10" t="s">
        <v>0</v>
      </c>
      <c r="C60" s="11">
        <v>385</v>
      </c>
      <c r="D60" s="11">
        <v>608</v>
      </c>
      <c r="E60" s="11">
        <v>616</v>
      </c>
      <c r="F60" s="11">
        <v>609</v>
      </c>
      <c r="G60" s="11">
        <v>741</v>
      </c>
      <c r="H60" s="11">
        <v>1032</v>
      </c>
      <c r="I60" s="11">
        <v>936</v>
      </c>
    </row>
    <row r="61" spans="1:9" x14ac:dyDescent="0.2">
      <c r="A61" s="11" t="s">
        <v>60</v>
      </c>
      <c r="B61" s="10" t="s">
        <v>0</v>
      </c>
      <c r="C61" s="11">
        <v>1498</v>
      </c>
      <c r="D61" s="11">
        <v>1399</v>
      </c>
      <c r="E61" s="11">
        <v>1026</v>
      </c>
      <c r="F61" s="11">
        <v>863</v>
      </c>
      <c r="G61" s="11">
        <v>892</v>
      </c>
      <c r="H61" s="11">
        <v>1068</v>
      </c>
      <c r="I61" s="11">
        <v>1098</v>
      </c>
    </row>
    <row r="62" spans="1:9" x14ac:dyDescent="0.2">
      <c r="A62" s="11" t="s">
        <v>61</v>
      </c>
      <c r="B62" s="10" t="s">
        <v>0</v>
      </c>
      <c r="C62" s="11">
        <v>491</v>
      </c>
      <c r="D62" s="11">
        <v>877</v>
      </c>
      <c r="E62" s="11">
        <v>1023</v>
      </c>
      <c r="F62" s="11">
        <v>956</v>
      </c>
      <c r="G62" s="11">
        <v>1178</v>
      </c>
      <c r="H62" s="11">
        <v>1929</v>
      </c>
      <c r="I62" s="11">
        <v>1569</v>
      </c>
    </row>
    <row r="63" spans="1:9" x14ac:dyDescent="0.2">
      <c r="A63" s="11" t="s">
        <v>62</v>
      </c>
      <c r="B63" s="10" t="s">
        <v>0</v>
      </c>
      <c r="C63" s="11">
        <v>377</v>
      </c>
      <c r="D63" s="11">
        <v>643</v>
      </c>
      <c r="E63" s="11">
        <v>769</v>
      </c>
      <c r="F63" s="11">
        <v>709</v>
      </c>
      <c r="G63" s="11">
        <v>1052</v>
      </c>
      <c r="H63" s="11">
        <v>1476</v>
      </c>
      <c r="I63" s="11">
        <v>1312</v>
      </c>
    </row>
    <row r="64" spans="1:9" x14ac:dyDescent="0.2">
      <c r="A64" s="11" t="s">
        <v>63</v>
      </c>
      <c r="B64" s="10" t="s">
        <v>0</v>
      </c>
      <c r="C64" s="11">
        <v>3060</v>
      </c>
      <c r="D64" s="11">
        <v>5882</v>
      </c>
      <c r="E64" s="11">
        <v>7057</v>
      </c>
      <c r="F64" s="11">
        <v>6598</v>
      </c>
      <c r="G64" s="11">
        <v>8472</v>
      </c>
      <c r="H64" s="11">
        <v>11427</v>
      </c>
      <c r="I64" s="11">
        <v>10046</v>
      </c>
    </row>
    <row r="65" spans="1:9" x14ac:dyDescent="0.2">
      <c r="A65" s="11" t="s">
        <v>64</v>
      </c>
      <c r="B65" s="10" t="s">
        <v>0</v>
      </c>
      <c r="C65" s="11">
        <v>501</v>
      </c>
      <c r="D65" s="11">
        <v>1027</v>
      </c>
      <c r="E65" s="11">
        <v>1183</v>
      </c>
      <c r="F65" s="11">
        <v>1095</v>
      </c>
      <c r="G65" s="11">
        <v>1421</v>
      </c>
      <c r="H65" s="11">
        <v>1911</v>
      </c>
      <c r="I65" s="11">
        <v>1576</v>
      </c>
    </row>
    <row r="66" spans="1:9" x14ac:dyDescent="0.2">
      <c r="A66" s="11" t="s">
        <v>65</v>
      </c>
      <c r="B66" s="10" t="s">
        <v>0</v>
      </c>
      <c r="C66" s="11">
        <v>5220</v>
      </c>
      <c r="D66" s="11">
        <v>10005</v>
      </c>
      <c r="E66" s="11">
        <v>11284</v>
      </c>
      <c r="F66" s="11">
        <v>10542</v>
      </c>
      <c r="G66" s="11">
        <v>13571</v>
      </c>
      <c r="H66" s="11">
        <v>18795</v>
      </c>
      <c r="I66" s="11">
        <v>17290</v>
      </c>
    </row>
    <row r="67" spans="1:9" x14ac:dyDescent="0.2">
      <c r="A67" s="11" t="s">
        <v>66</v>
      </c>
      <c r="B67" s="10" t="s">
        <v>0</v>
      </c>
      <c r="C67" s="11">
        <v>327</v>
      </c>
      <c r="D67" s="11">
        <v>615</v>
      </c>
      <c r="E67" s="11">
        <v>656</v>
      </c>
      <c r="F67" s="11">
        <v>604</v>
      </c>
      <c r="G67" s="11">
        <v>767</v>
      </c>
      <c r="H67" s="11">
        <v>962</v>
      </c>
      <c r="I67" s="11">
        <v>750</v>
      </c>
    </row>
    <row r="68" spans="1:9" ht="13.5" thickBot="1" x14ac:dyDescent="0.25">
      <c r="A68" s="13" t="s">
        <v>67</v>
      </c>
      <c r="B68" s="12" t="s">
        <v>0</v>
      </c>
      <c r="C68" s="11">
        <v>8149</v>
      </c>
      <c r="D68" s="11">
        <v>15248</v>
      </c>
      <c r="E68" s="11">
        <v>15899</v>
      </c>
      <c r="F68" s="11">
        <v>14186</v>
      </c>
      <c r="G68" s="11">
        <v>14416</v>
      </c>
      <c r="H68" s="11">
        <v>15498</v>
      </c>
      <c r="I68" s="11">
        <v>13224</v>
      </c>
    </row>
    <row r="69" spans="1:9" x14ac:dyDescent="0.2">
      <c r="A69" s="32" t="s">
        <v>68</v>
      </c>
      <c r="C69" s="14">
        <f>SUM(C2:C68)</f>
        <v>316312</v>
      </c>
      <c r="D69" s="14">
        <f>SUM(D2:D68)</f>
        <v>661072</v>
      </c>
      <c r="E69" s="14">
        <f t="shared" ref="E69:I69" si="0">SUM(E2:E68)</f>
        <v>649313</v>
      </c>
      <c r="F69" s="14">
        <f t="shared" si="0"/>
        <v>522456</v>
      </c>
      <c r="G69" s="14">
        <f t="shared" si="0"/>
        <v>564491</v>
      </c>
      <c r="H69" s="14">
        <f t="shared" si="0"/>
        <v>623399</v>
      </c>
      <c r="I69" s="14">
        <f t="shared" si="0"/>
        <v>509652</v>
      </c>
    </row>
    <row r="70" spans="1:9" x14ac:dyDescent="0.2">
      <c r="C70" s="17">
        <f>C69/$C$73</f>
        <v>8.2229550302272469E-2</v>
      </c>
      <c r="D70" s="17">
        <f t="shared" ref="D70:I70" si="1">D69/$C$73</f>
        <v>0.17185454006621267</v>
      </c>
      <c r="E70" s="17">
        <f t="shared" si="1"/>
        <v>0.1687976301734346</v>
      </c>
      <c r="F70" s="17">
        <f t="shared" si="1"/>
        <v>0.1358194502033564</v>
      </c>
      <c r="G70" s="17">
        <f t="shared" si="1"/>
        <v>0.14674701269531376</v>
      </c>
      <c r="H70" s="17">
        <f t="shared" si="1"/>
        <v>0.16206093802601973</v>
      </c>
      <c r="I70" s="17">
        <f t="shared" si="1"/>
        <v>0.13249087853339034</v>
      </c>
    </row>
    <row r="73" spans="1:9" x14ac:dyDescent="0.2">
      <c r="A73" s="32" t="s">
        <v>80</v>
      </c>
      <c r="C73" s="16">
        <f>SUM(C69:I69)</f>
        <v>3846695</v>
      </c>
    </row>
    <row r="75" spans="1:9" x14ac:dyDescent="0.2">
      <c r="I75" s="10"/>
    </row>
    <row r="82" spans="3:6" x14ac:dyDescent="0.2">
      <c r="F82" s="11"/>
    </row>
    <row r="83" spans="3:6" x14ac:dyDescent="0.2">
      <c r="F83" s="11"/>
    </row>
    <row r="84" spans="3:6" x14ac:dyDescent="0.2">
      <c r="C84" s="11"/>
      <c r="F84" s="11"/>
    </row>
    <row r="85" spans="3:6" x14ac:dyDescent="0.2">
      <c r="C85" s="11"/>
      <c r="F85" s="11"/>
    </row>
    <row r="87" spans="3:6" x14ac:dyDescent="0.2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62" activePane="bottomRight" state="frozen"/>
      <selection pane="topRight" activeCell="B1" sqref="B1"/>
      <selection pane="bottomLeft" activeCell="A2" sqref="A2"/>
      <selection pane="bottomRight" activeCell="L15" sqref="L15"/>
    </sheetView>
  </sheetViews>
  <sheetFormatPr defaultColWidth="9.140625" defaultRowHeight="12.75" x14ac:dyDescent="0.2"/>
  <cols>
    <col min="1" max="1" width="19.85546875" style="11" customWidth="1"/>
    <col min="2" max="2" width="10.7109375" style="10" customWidth="1"/>
    <col min="3" max="8" width="12.7109375" style="10" customWidth="1"/>
    <col min="9" max="9" width="9.140625" style="11"/>
    <col min="10" max="10" width="8.28515625" style="11" bestFit="1" customWidth="1"/>
    <col min="11" max="11" width="9.140625" style="11"/>
    <col min="12" max="12" width="9.28515625" style="11" customWidth="1"/>
    <col min="13" max="16384" width="9.140625" style="11"/>
  </cols>
  <sheetData>
    <row r="1" spans="1:10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">
      <c r="A2" s="11" t="s">
        <v>1</v>
      </c>
      <c r="B2" s="10" t="s">
        <v>70</v>
      </c>
      <c r="C2" s="52">
        <v>2747</v>
      </c>
      <c r="D2" s="52">
        <v>5201</v>
      </c>
      <c r="E2" s="52">
        <v>5987</v>
      </c>
      <c r="F2" s="52">
        <v>6005</v>
      </c>
      <c r="G2" s="52">
        <v>9166</v>
      </c>
      <c r="H2" s="52">
        <v>8563</v>
      </c>
      <c r="I2" s="52">
        <v>6336</v>
      </c>
      <c r="J2" s="10"/>
    </row>
    <row r="3" spans="1:10" x14ac:dyDescent="0.2">
      <c r="A3" s="11" t="s">
        <v>2</v>
      </c>
      <c r="B3" s="10" t="s">
        <v>70</v>
      </c>
      <c r="C3" s="52">
        <v>18488</v>
      </c>
      <c r="D3" s="52">
        <v>38723</v>
      </c>
      <c r="E3" s="52">
        <v>38973</v>
      </c>
      <c r="F3" s="52">
        <v>36644</v>
      </c>
      <c r="G3" s="52">
        <v>47821</v>
      </c>
      <c r="H3" s="52">
        <v>46710</v>
      </c>
      <c r="I3" s="52">
        <v>35523</v>
      </c>
    </row>
    <row r="4" spans="1:10" x14ac:dyDescent="0.2">
      <c r="A4" s="11" t="s">
        <v>3</v>
      </c>
      <c r="B4" s="10" t="s">
        <v>70</v>
      </c>
      <c r="C4" s="52">
        <v>1969</v>
      </c>
      <c r="D4" s="52">
        <v>3435</v>
      </c>
      <c r="E4" s="52">
        <v>3897</v>
      </c>
      <c r="F4" s="52">
        <v>4194</v>
      </c>
      <c r="G4" s="52">
        <v>5262</v>
      </c>
      <c r="H4" s="52">
        <v>5083</v>
      </c>
      <c r="I4" s="52">
        <v>3810</v>
      </c>
    </row>
    <row r="5" spans="1:10" x14ac:dyDescent="0.2">
      <c r="A5" s="11" t="s">
        <v>4</v>
      </c>
      <c r="B5" s="10" t="s">
        <v>70</v>
      </c>
      <c r="C5" s="52">
        <v>3363</v>
      </c>
      <c r="D5" s="52">
        <v>6716</v>
      </c>
      <c r="E5" s="52">
        <v>7898</v>
      </c>
      <c r="F5" s="52">
        <v>7699</v>
      </c>
      <c r="G5" s="52">
        <v>9992</v>
      </c>
      <c r="H5" s="52">
        <v>9492</v>
      </c>
      <c r="I5" s="52">
        <v>6697</v>
      </c>
    </row>
    <row r="6" spans="1:10" x14ac:dyDescent="0.2">
      <c r="A6" s="11" t="s">
        <v>5</v>
      </c>
      <c r="B6" s="10" t="s">
        <v>70</v>
      </c>
      <c r="C6" s="52">
        <v>1640</v>
      </c>
      <c r="D6" s="52">
        <v>3069</v>
      </c>
      <c r="E6" s="52">
        <v>3263</v>
      </c>
      <c r="F6" s="52">
        <v>3609</v>
      </c>
      <c r="G6" s="52">
        <v>4737</v>
      </c>
      <c r="H6" s="52">
        <v>4758</v>
      </c>
      <c r="I6" s="52">
        <v>3497</v>
      </c>
    </row>
    <row r="7" spans="1:10" x14ac:dyDescent="0.2">
      <c r="A7" s="11" t="s">
        <v>6</v>
      </c>
      <c r="B7" s="10" t="s">
        <v>70</v>
      </c>
      <c r="C7" s="52">
        <v>8034</v>
      </c>
      <c r="D7" s="52">
        <v>14609</v>
      </c>
      <c r="E7" s="52">
        <v>16802</v>
      </c>
      <c r="F7" s="52">
        <v>17449</v>
      </c>
      <c r="G7" s="52">
        <v>23822</v>
      </c>
      <c r="H7" s="52">
        <v>20858</v>
      </c>
      <c r="I7" s="52">
        <v>16436</v>
      </c>
    </row>
    <row r="8" spans="1:10" x14ac:dyDescent="0.2">
      <c r="A8" s="11" t="s">
        <v>7</v>
      </c>
      <c r="B8" s="10" t="s">
        <v>70</v>
      </c>
      <c r="C8" s="52">
        <v>3500</v>
      </c>
      <c r="D8" s="52">
        <v>5860</v>
      </c>
      <c r="E8" s="52">
        <v>6860</v>
      </c>
      <c r="F8" s="52">
        <v>7700</v>
      </c>
      <c r="G8" s="52">
        <v>9459</v>
      </c>
      <c r="H8" s="52">
        <v>9305</v>
      </c>
      <c r="I8" s="52">
        <v>7896</v>
      </c>
    </row>
    <row r="9" spans="1:10" x14ac:dyDescent="0.2">
      <c r="A9" s="11" t="s">
        <v>8</v>
      </c>
      <c r="B9" s="10" t="s">
        <v>70</v>
      </c>
      <c r="C9" s="52">
        <v>1825</v>
      </c>
      <c r="D9" s="52">
        <v>3160</v>
      </c>
      <c r="E9" s="52">
        <v>3615</v>
      </c>
      <c r="F9" s="52">
        <v>3635</v>
      </c>
      <c r="G9" s="52">
        <v>4989</v>
      </c>
      <c r="H9" s="52">
        <v>4624</v>
      </c>
      <c r="I9" s="52">
        <v>3794</v>
      </c>
    </row>
    <row r="10" spans="1:10" x14ac:dyDescent="0.2">
      <c r="A10" s="11" t="s">
        <v>9</v>
      </c>
      <c r="B10" s="10" t="s">
        <v>70</v>
      </c>
      <c r="C10" s="52">
        <v>13822</v>
      </c>
      <c r="D10" s="52">
        <v>24255</v>
      </c>
      <c r="E10" s="52">
        <v>26339</v>
      </c>
      <c r="F10" s="52">
        <v>28529</v>
      </c>
      <c r="G10" s="52">
        <v>41779</v>
      </c>
      <c r="H10" s="52">
        <v>37652</v>
      </c>
      <c r="I10" s="52">
        <v>29352</v>
      </c>
    </row>
    <row r="11" spans="1:10" x14ac:dyDescent="0.2">
      <c r="A11" s="11" t="s">
        <v>10</v>
      </c>
      <c r="B11" s="10" t="s">
        <v>70</v>
      </c>
      <c r="C11" s="52">
        <v>5794</v>
      </c>
      <c r="D11" s="52">
        <v>10955</v>
      </c>
      <c r="E11" s="52">
        <v>12167</v>
      </c>
      <c r="F11" s="52">
        <v>12285</v>
      </c>
      <c r="G11" s="52">
        <v>16328</v>
      </c>
      <c r="H11" s="52">
        <v>14660</v>
      </c>
      <c r="I11" s="52">
        <v>10775</v>
      </c>
    </row>
    <row r="12" spans="1:10" x14ac:dyDescent="0.2">
      <c r="A12" s="11" t="s">
        <v>11</v>
      </c>
      <c r="B12" s="10" t="s">
        <v>70</v>
      </c>
      <c r="C12" s="52">
        <v>3483</v>
      </c>
      <c r="D12" s="52">
        <v>5810</v>
      </c>
      <c r="E12" s="52">
        <v>6355</v>
      </c>
      <c r="F12" s="52">
        <v>7160</v>
      </c>
      <c r="G12" s="52">
        <v>8577</v>
      </c>
      <c r="H12" s="52">
        <v>8556</v>
      </c>
      <c r="I12" s="52">
        <v>6540</v>
      </c>
    </row>
    <row r="13" spans="1:10" x14ac:dyDescent="0.2">
      <c r="A13" s="11" t="s">
        <v>12</v>
      </c>
      <c r="B13" s="10" t="s">
        <v>70</v>
      </c>
      <c r="C13" s="52">
        <v>84</v>
      </c>
      <c r="D13" s="52">
        <v>166</v>
      </c>
      <c r="E13" s="52">
        <v>212</v>
      </c>
      <c r="F13" s="52">
        <v>230</v>
      </c>
      <c r="G13" s="52">
        <v>384</v>
      </c>
      <c r="H13" s="52">
        <v>419</v>
      </c>
      <c r="I13" s="52">
        <v>347</v>
      </c>
    </row>
    <row r="14" spans="1:10" x14ac:dyDescent="0.2">
      <c r="A14" s="11" t="s">
        <v>13</v>
      </c>
      <c r="B14" s="10" t="s">
        <v>70</v>
      </c>
      <c r="C14" s="52">
        <v>1514</v>
      </c>
      <c r="D14" s="52">
        <v>2835</v>
      </c>
      <c r="E14" s="52">
        <v>3311</v>
      </c>
      <c r="F14" s="52">
        <v>3664</v>
      </c>
      <c r="G14" s="52">
        <v>5031</v>
      </c>
      <c r="H14" s="52">
        <v>4474</v>
      </c>
      <c r="I14" s="52">
        <v>3091</v>
      </c>
    </row>
    <row r="15" spans="1:10" x14ac:dyDescent="0.2">
      <c r="A15" s="11" t="s">
        <v>14</v>
      </c>
      <c r="B15" s="10" t="s">
        <v>70</v>
      </c>
      <c r="C15" s="52">
        <v>5394</v>
      </c>
      <c r="D15" s="52">
        <v>5874</v>
      </c>
      <c r="E15" s="52">
        <v>5205</v>
      </c>
      <c r="F15" s="52">
        <v>5294</v>
      </c>
      <c r="G15" s="52">
        <v>7398</v>
      </c>
      <c r="H15" s="52">
        <v>6890</v>
      </c>
      <c r="I15" s="52">
        <v>5741</v>
      </c>
    </row>
    <row r="16" spans="1:10" x14ac:dyDescent="0.2">
      <c r="A16" s="11" t="s">
        <v>15</v>
      </c>
      <c r="B16" s="10" t="s">
        <v>70</v>
      </c>
      <c r="C16" s="52">
        <v>10765</v>
      </c>
      <c r="D16" s="52">
        <v>19095</v>
      </c>
      <c r="E16" s="52">
        <v>19565</v>
      </c>
      <c r="F16" s="52">
        <v>21691</v>
      </c>
      <c r="G16" s="52">
        <v>31141</v>
      </c>
      <c r="H16" s="52">
        <v>27253</v>
      </c>
      <c r="I16" s="52">
        <v>22307</v>
      </c>
    </row>
    <row r="17" spans="1:9" x14ac:dyDescent="0.2">
      <c r="A17" s="11" t="s">
        <v>16</v>
      </c>
      <c r="B17" s="10" t="s">
        <v>70</v>
      </c>
      <c r="C17" s="52">
        <v>1079</v>
      </c>
      <c r="D17" s="52">
        <v>1886</v>
      </c>
      <c r="E17" s="52">
        <v>2143</v>
      </c>
      <c r="F17" s="52">
        <v>2360</v>
      </c>
      <c r="G17" s="52">
        <v>3103</v>
      </c>
      <c r="H17" s="52">
        <v>2796</v>
      </c>
      <c r="I17" s="52">
        <v>2174</v>
      </c>
    </row>
    <row r="18" spans="1:9" x14ac:dyDescent="0.2">
      <c r="A18" s="11" t="s">
        <v>17</v>
      </c>
      <c r="B18" s="10" t="s">
        <v>70</v>
      </c>
      <c r="C18" s="52">
        <v>2009</v>
      </c>
      <c r="D18" s="52">
        <v>3884</v>
      </c>
      <c r="E18" s="52">
        <v>4389</v>
      </c>
      <c r="F18" s="52">
        <v>4922</v>
      </c>
      <c r="G18" s="52">
        <v>6263</v>
      </c>
      <c r="H18" s="52">
        <v>5733</v>
      </c>
      <c r="I18" s="52">
        <v>4220</v>
      </c>
    </row>
    <row r="19" spans="1:9" x14ac:dyDescent="0.2">
      <c r="A19" s="11" t="s">
        <v>18</v>
      </c>
      <c r="B19" s="10" t="s">
        <v>70</v>
      </c>
      <c r="C19" s="52">
        <v>953</v>
      </c>
      <c r="D19" s="52">
        <v>1734</v>
      </c>
      <c r="E19" s="52">
        <v>1848</v>
      </c>
      <c r="F19" s="52">
        <v>2076</v>
      </c>
      <c r="G19" s="52">
        <v>2542</v>
      </c>
      <c r="H19" s="52">
        <v>2337</v>
      </c>
      <c r="I19" s="52">
        <v>1781</v>
      </c>
    </row>
    <row r="20" spans="1:9" x14ac:dyDescent="0.2">
      <c r="A20" s="11" t="s">
        <v>19</v>
      </c>
      <c r="B20" s="10" t="s">
        <v>70</v>
      </c>
      <c r="C20" s="52">
        <v>1686</v>
      </c>
      <c r="D20" s="52">
        <v>2855</v>
      </c>
      <c r="E20" s="52">
        <v>3024</v>
      </c>
      <c r="F20" s="52">
        <v>3335</v>
      </c>
      <c r="G20" s="52">
        <v>4253</v>
      </c>
      <c r="H20" s="52">
        <v>4101</v>
      </c>
      <c r="I20" s="52">
        <v>3200</v>
      </c>
    </row>
    <row r="21" spans="1:9" x14ac:dyDescent="0.2">
      <c r="A21" s="11" t="s">
        <v>20</v>
      </c>
      <c r="B21" s="10" t="s">
        <v>70</v>
      </c>
      <c r="C21" s="52">
        <v>2101</v>
      </c>
      <c r="D21" s="52">
        <v>3752</v>
      </c>
      <c r="E21" s="52">
        <v>4327</v>
      </c>
      <c r="F21" s="52">
        <v>4582</v>
      </c>
      <c r="G21" s="52">
        <v>6179</v>
      </c>
      <c r="H21" s="52">
        <v>5998</v>
      </c>
      <c r="I21" s="52">
        <v>4800</v>
      </c>
    </row>
    <row r="22" spans="1:9" x14ac:dyDescent="0.2">
      <c r="A22" s="11" t="s">
        <v>21</v>
      </c>
      <c r="B22" s="10" t="s">
        <v>70</v>
      </c>
      <c r="C22" s="52">
        <v>5758</v>
      </c>
      <c r="D22" s="52">
        <v>10902</v>
      </c>
      <c r="E22" s="52">
        <v>12381</v>
      </c>
      <c r="F22" s="52">
        <v>12789</v>
      </c>
      <c r="G22" s="52">
        <v>16747</v>
      </c>
      <c r="H22" s="52">
        <v>15714</v>
      </c>
      <c r="I22" s="52">
        <v>13880</v>
      </c>
    </row>
    <row r="23" spans="1:9" x14ac:dyDescent="0.2">
      <c r="A23" s="11" t="s">
        <v>22</v>
      </c>
      <c r="B23" s="10" t="s">
        <v>70</v>
      </c>
      <c r="C23" s="52">
        <v>4786</v>
      </c>
      <c r="D23" s="52">
        <v>9743</v>
      </c>
      <c r="E23" s="52">
        <v>10835</v>
      </c>
      <c r="F23" s="52">
        <v>10986</v>
      </c>
      <c r="G23" s="52">
        <v>14767</v>
      </c>
      <c r="H23" s="52">
        <v>14018</v>
      </c>
      <c r="I23" s="52">
        <v>10817</v>
      </c>
    </row>
    <row r="24" spans="1:9" x14ac:dyDescent="0.2">
      <c r="A24" s="11" t="s">
        <v>23</v>
      </c>
      <c r="B24" s="10" t="s">
        <v>70</v>
      </c>
      <c r="C24" s="52">
        <v>9418</v>
      </c>
      <c r="D24" s="52">
        <v>17582</v>
      </c>
      <c r="E24" s="52">
        <v>19779</v>
      </c>
      <c r="F24" s="52">
        <v>19594</v>
      </c>
      <c r="G24" s="52">
        <v>27899</v>
      </c>
      <c r="H24" s="52">
        <v>27087</v>
      </c>
      <c r="I24" s="52">
        <v>21340</v>
      </c>
    </row>
    <row r="25" spans="1:9" x14ac:dyDescent="0.2">
      <c r="A25" s="11" t="s">
        <v>24</v>
      </c>
      <c r="B25" s="10" t="s">
        <v>70</v>
      </c>
      <c r="C25" s="52">
        <v>815</v>
      </c>
      <c r="D25" s="52">
        <v>1484</v>
      </c>
      <c r="E25" s="52">
        <v>1650</v>
      </c>
      <c r="F25" s="52">
        <v>1748</v>
      </c>
      <c r="G25" s="52">
        <v>2513</v>
      </c>
      <c r="H25" s="52">
        <v>2306</v>
      </c>
      <c r="I25" s="52">
        <v>1606</v>
      </c>
    </row>
    <row r="26" spans="1:9" x14ac:dyDescent="0.2">
      <c r="A26" s="11" t="s">
        <v>25</v>
      </c>
      <c r="B26" s="10" t="s">
        <v>70</v>
      </c>
      <c r="C26" s="52">
        <v>5316</v>
      </c>
      <c r="D26" s="52">
        <v>9422</v>
      </c>
      <c r="E26" s="52">
        <v>10251</v>
      </c>
      <c r="F26" s="52">
        <v>10777</v>
      </c>
      <c r="G26" s="52">
        <v>13739</v>
      </c>
      <c r="H26" s="52">
        <v>12121</v>
      </c>
      <c r="I26" s="52">
        <v>9165</v>
      </c>
    </row>
    <row r="27" spans="1:9" x14ac:dyDescent="0.2">
      <c r="A27" s="11" t="s">
        <v>26</v>
      </c>
      <c r="B27" s="10" t="s">
        <v>70</v>
      </c>
      <c r="C27" s="52">
        <v>2761</v>
      </c>
      <c r="D27" s="52">
        <v>5811</v>
      </c>
      <c r="E27" s="52">
        <v>6212</v>
      </c>
      <c r="F27" s="52">
        <v>6759</v>
      </c>
      <c r="G27" s="52">
        <v>7938</v>
      </c>
      <c r="H27" s="52">
        <v>6953</v>
      </c>
      <c r="I27" s="52">
        <v>4875</v>
      </c>
    </row>
    <row r="28" spans="1:9" x14ac:dyDescent="0.2">
      <c r="A28" s="11" t="s">
        <v>27</v>
      </c>
      <c r="B28" s="10" t="s">
        <v>70</v>
      </c>
      <c r="C28" s="52">
        <v>107</v>
      </c>
      <c r="D28" s="52">
        <v>137</v>
      </c>
      <c r="E28" s="52">
        <v>201</v>
      </c>
      <c r="F28" s="52">
        <v>271</v>
      </c>
      <c r="G28" s="52">
        <v>448</v>
      </c>
      <c r="H28" s="52">
        <v>497</v>
      </c>
      <c r="I28" s="52">
        <v>394</v>
      </c>
    </row>
    <row r="29" spans="1:9" x14ac:dyDescent="0.2">
      <c r="A29" s="11" t="s">
        <v>28</v>
      </c>
      <c r="B29" s="10" t="s">
        <v>70</v>
      </c>
      <c r="C29" s="52">
        <v>4193</v>
      </c>
      <c r="D29" s="52">
        <v>8043</v>
      </c>
      <c r="E29" s="52">
        <v>9113</v>
      </c>
      <c r="F29" s="52">
        <v>9752</v>
      </c>
      <c r="G29" s="52">
        <v>12495</v>
      </c>
      <c r="H29" s="52">
        <v>11198</v>
      </c>
      <c r="I29" s="52">
        <v>9526</v>
      </c>
    </row>
    <row r="30" spans="1:9" x14ac:dyDescent="0.2">
      <c r="A30" s="11" t="s">
        <v>29</v>
      </c>
      <c r="B30" s="10" t="s">
        <v>70</v>
      </c>
      <c r="C30" s="52">
        <v>522</v>
      </c>
      <c r="D30" s="52">
        <v>997</v>
      </c>
      <c r="E30" s="52">
        <v>1006</v>
      </c>
      <c r="F30" s="52">
        <v>1149</v>
      </c>
      <c r="G30" s="52">
        <v>1462</v>
      </c>
      <c r="H30" s="52">
        <v>1339</v>
      </c>
      <c r="I30" s="52">
        <v>984</v>
      </c>
    </row>
    <row r="31" spans="1:9" x14ac:dyDescent="0.2">
      <c r="A31" s="11" t="s">
        <v>30</v>
      </c>
      <c r="B31" s="10" t="s">
        <v>70</v>
      </c>
      <c r="C31" s="52">
        <v>976</v>
      </c>
      <c r="D31" s="52">
        <v>1774</v>
      </c>
      <c r="E31" s="52">
        <v>1775</v>
      </c>
      <c r="F31" s="52">
        <v>2069</v>
      </c>
      <c r="G31" s="52">
        <v>2257</v>
      </c>
      <c r="H31" s="52">
        <v>1945</v>
      </c>
      <c r="I31" s="52">
        <v>1384</v>
      </c>
    </row>
    <row r="32" spans="1:9" x14ac:dyDescent="0.2">
      <c r="A32" s="11" t="s">
        <v>31</v>
      </c>
      <c r="B32" s="10" t="s">
        <v>70</v>
      </c>
      <c r="C32" s="52">
        <v>1362</v>
      </c>
      <c r="D32" s="52">
        <v>2300</v>
      </c>
      <c r="E32" s="52">
        <v>2456</v>
      </c>
      <c r="F32" s="52">
        <v>2780</v>
      </c>
      <c r="G32" s="52">
        <v>3665</v>
      </c>
      <c r="H32" s="52">
        <v>3509</v>
      </c>
      <c r="I32" s="52">
        <v>2817</v>
      </c>
    </row>
    <row r="33" spans="1:9" x14ac:dyDescent="0.2">
      <c r="A33" s="11" t="s">
        <v>32</v>
      </c>
      <c r="B33" s="10" t="s">
        <v>70</v>
      </c>
      <c r="C33" s="52">
        <v>2397</v>
      </c>
      <c r="D33" s="52">
        <v>3556</v>
      </c>
      <c r="E33" s="52">
        <v>3970</v>
      </c>
      <c r="F33" s="52">
        <v>4401</v>
      </c>
      <c r="G33" s="52">
        <v>5368</v>
      </c>
      <c r="H33" s="52">
        <v>5211</v>
      </c>
      <c r="I33" s="52">
        <v>3956</v>
      </c>
    </row>
    <row r="34" spans="1:9" x14ac:dyDescent="0.2">
      <c r="A34" s="11" t="s">
        <v>33</v>
      </c>
      <c r="B34" s="10" t="s">
        <v>70</v>
      </c>
      <c r="C34" s="52">
        <v>1327</v>
      </c>
      <c r="D34" s="52">
        <v>2364</v>
      </c>
      <c r="E34" s="52">
        <v>2832</v>
      </c>
      <c r="F34" s="52">
        <v>2856</v>
      </c>
      <c r="G34" s="52">
        <v>3690</v>
      </c>
      <c r="H34" s="52">
        <v>3624</v>
      </c>
      <c r="I34" s="52">
        <v>2733</v>
      </c>
    </row>
    <row r="35" spans="1:9" x14ac:dyDescent="0.2">
      <c r="A35" s="11" t="s">
        <v>34</v>
      </c>
      <c r="B35" s="10" t="s">
        <v>70</v>
      </c>
      <c r="C35" s="52">
        <v>657</v>
      </c>
      <c r="D35" s="52">
        <v>1279</v>
      </c>
      <c r="E35" s="52">
        <v>1368</v>
      </c>
      <c r="F35" s="52">
        <v>1508</v>
      </c>
      <c r="G35" s="52">
        <v>1965</v>
      </c>
      <c r="H35" s="52">
        <v>1809</v>
      </c>
      <c r="I35" s="52">
        <v>1435</v>
      </c>
    </row>
    <row r="36" spans="1:9" x14ac:dyDescent="0.2">
      <c r="A36" s="11" t="s">
        <v>35</v>
      </c>
      <c r="B36" s="10" t="s">
        <v>70</v>
      </c>
      <c r="C36" s="52">
        <v>4180</v>
      </c>
      <c r="D36" s="52">
        <v>7236</v>
      </c>
      <c r="E36" s="52">
        <v>7841</v>
      </c>
      <c r="F36" s="52">
        <v>8181</v>
      </c>
      <c r="G36" s="52">
        <v>10018</v>
      </c>
      <c r="H36" s="52">
        <v>8290</v>
      </c>
      <c r="I36" s="52">
        <v>6540</v>
      </c>
    </row>
    <row r="37" spans="1:9" x14ac:dyDescent="0.2">
      <c r="A37" s="11" t="s">
        <v>36</v>
      </c>
      <c r="B37" s="10" t="s">
        <v>70</v>
      </c>
      <c r="C37" s="52">
        <v>12850</v>
      </c>
      <c r="D37" s="52">
        <v>24373</v>
      </c>
      <c r="E37" s="52">
        <v>26259</v>
      </c>
      <c r="F37" s="52">
        <v>25241</v>
      </c>
      <c r="G37" s="52">
        <v>32753</v>
      </c>
      <c r="H37" s="52">
        <v>32780</v>
      </c>
      <c r="I37" s="52">
        <v>29389</v>
      </c>
    </row>
    <row r="38" spans="1:9" x14ac:dyDescent="0.2">
      <c r="A38" s="11" t="s">
        <v>37</v>
      </c>
      <c r="B38" s="10" t="s">
        <v>70</v>
      </c>
      <c r="C38" s="52">
        <v>2340</v>
      </c>
      <c r="D38" s="52">
        <v>3840</v>
      </c>
      <c r="E38" s="52">
        <v>4254</v>
      </c>
      <c r="F38" s="52">
        <v>4595</v>
      </c>
      <c r="G38" s="52">
        <v>5540</v>
      </c>
      <c r="H38" s="52">
        <v>5377</v>
      </c>
      <c r="I38" s="52">
        <v>4157</v>
      </c>
    </row>
    <row r="39" spans="1:9" x14ac:dyDescent="0.2">
      <c r="A39" s="11" t="s">
        <v>38</v>
      </c>
      <c r="B39" s="10" t="s">
        <v>70</v>
      </c>
      <c r="C39" s="52">
        <v>3364</v>
      </c>
      <c r="D39" s="52">
        <v>6228</v>
      </c>
      <c r="E39" s="52">
        <v>7123</v>
      </c>
      <c r="F39" s="52">
        <v>7759</v>
      </c>
      <c r="G39" s="52">
        <v>9846</v>
      </c>
      <c r="H39" s="52">
        <v>9747</v>
      </c>
      <c r="I39" s="52">
        <v>8557</v>
      </c>
    </row>
    <row r="40" spans="1:9" x14ac:dyDescent="0.2">
      <c r="A40" s="11" t="s">
        <v>39</v>
      </c>
      <c r="B40" s="10" t="s">
        <v>70</v>
      </c>
      <c r="C40" s="52">
        <v>5839</v>
      </c>
      <c r="D40" s="52">
        <v>11508</v>
      </c>
      <c r="E40" s="52">
        <v>12617</v>
      </c>
      <c r="F40" s="52">
        <v>13154</v>
      </c>
      <c r="G40" s="52">
        <v>17308</v>
      </c>
      <c r="H40" s="52">
        <v>16011</v>
      </c>
      <c r="I40" s="52">
        <v>13013</v>
      </c>
    </row>
    <row r="41" spans="1:9" x14ac:dyDescent="0.2">
      <c r="A41" s="11" t="s">
        <v>40</v>
      </c>
      <c r="B41" s="10" t="s">
        <v>70</v>
      </c>
      <c r="C41" s="52">
        <v>5806</v>
      </c>
      <c r="D41" s="52">
        <v>11178</v>
      </c>
      <c r="E41" s="52">
        <v>13147</v>
      </c>
      <c r="F41" s="52">
        <v>13826</v>
      </c>
      <c r="G41" s="52">
        <v>18352</v>
      </c>
      <c r="H41" s="52">
        <v>15665</v>
      </c>
      <c r="I41" s="52">
        <v>12846</v>
      </c>
    </row>
    <row r="42" spans="1:9" x14ac:dyDescent="0.2">
      <c r="A42" s="11" t="s">
        <v>41</v>
      </c>
      <c r="B42" s="10" t="s">
        <v>70</v>
      </c>
      <c r="C42" s="52">
        <v>2824</v>
      </c>
      <c r="D42" s="52">
        <v>4960</v>
      </c>
      <c r="E42" s="52">
        <v>6274</v>
      </c>
      <c r="F42" s="52">
        <v>6349</v>
      </c>
      <c r="G42" s="52">
        <v>8188</v>
      </c>
      <c r="H42" s="52">
        <v>8485</v>
      </c>
      <c r="I42" s="52">
        <v>6653</v>
      </c>
    </row>
    <row r="43" spans="1:9" x14ac:dyDescent="0.2">
      <c r="A43" s="11" t="s">
        <v>42</v>
      </c>
      <c r="B43" s="10" t="s">
        <v>70</v>
      </c>
      <c r="C43" s="52">
        <v>1028</v>
      </c>
      <c r="D43" s="52">
        <v>1867</v>
      </c>
      <c r="E43" s="52">
        <v>2203</v>
      </c>
      <c r="F43" s="52">
        <v>2416</v>
      </c>
      <c r="G43" s="52">
        <v>3215</v>
      </c>
      <c r="H43" s="52">
        <v>3095</v>
      </c>
      <c r="I43" s="52">
        <v>2370</v>
      </c>
    </row>
    <row r="44" spans="1:9" x14ac:dyDescent="0.2">
      <c r="A44" s="11" t="s">
        <v>43</v>
      </c>
      <c r="B44" s="10" t="s">
        <v>70</v>
      </c>
      <c r="C44" s="52">
        <v>2903</v>
      </c>
      <c r="D44" s="52">
        <v>4985</v>
      </c>
      <c r="E44" s="52">
        <v>5006</v>
      </c>
      <c r="F44" s="52">
        <v>5511</v>
      </c>
      <c r="G44" s="52">
        <v>7199</v>
      </c>
      <c r="H44" s="52">
        <v>6998</v>
      </c>
      <c r="I44" s="52">
        <v>5711</v>
      </c>
    </row>
    <row r="45" spans="1:9" x14ac:dyDescent="0.2">
      <c r="A45" s="11" t="s">
        <v>44</v>
      </c>
      <c r="B45" s="10" t="s">
        <v>70</v>
      </c>
      <c r="C45" s="52">
        <v>1136</v>
      </c>
      <c r="D45" s="52">
        <v>2330</v>
      </c>
      <c r="E45" s="52">
        <v>2493</v>
      </c>
      <c r="F45" s="52">
        <v>2677</v>
      </c>
      <c r="G45" s="52">
        <v>3730</v>
      </c>
      <c r="H45" s="52">
        <v>3412</v>
      </c>
      <c r="I45" s="52">
        <v>2868</v>
      </c>
    </row>
    <row r="46" spans="1:9" x14ac:dyDescent="0.2">
      <c r="A46" s="11" t="s">
        <v>45</v>
      </c>
      <c r="B46" s="10" t="s">
        <v>70</v>
      </c>
      <c r="C46" s="52">
        <v>2512</v>
      </c>
      <c r="D46" s="52">
        <v>5188</v>
      </c>
      <c r="E46" s="52">
        <v>6178</v>
      </c>
      <c r="F46" s="52">
        <v>6487</v>
      </c>
      <c r="G46" s="52">
        <v>9327</v>
      </c>
      <c r="H46" s="52">
        <v>8417</v>
      </c>
      <c r="I46" s="52">
        <v>5212</v>
      </c>
    </row>
    <row r="47" spans="1:9" x14ac:dyDescent="0.2">
      <c r="A47" s="11" t="s">
        <v>46</v>
      </c>
      <c r="B47" s="10" t="s">
        <v>70</v>
      </c>
      <c r="C47" s="52">
        <v>13925</v>
      </c>
      <c r="D47" s="52">
        <v>26050</v>
      </c>
      <c r="E47" s="52">
        <v>28083</v>
      </c>
      <c r="F47" s="52">
        <v>29122</v>
      </c>
      <c r="G47" s="52">
        <v>41034</v>
      </c>
      <c r="H47" s="52">
        <v>37756</v>
      </c>
      <c r="I47" s="52">
        <v>31630</v>
      </c>
    </row>
    <row r="48" spans="1:9" x14ac:dyDescent="0.2">
      <c r="A48" s="11" t="s">
        <v>47</v>
      </c>
      <c r="B48" s="10" t="s">
        <v>70</v>
      </c>
      <c r="C48" s="52">
        <v>393</v>
      </c>
      <c r="D48" s="52">
        <v>815</v>
      </c>
      <c r="E48" s="52">
        <v>939</v>
      </c>
      <c r="F48" s="52">
        <v>868</v>
      </c>
      <c r="G48" s="52">
        <v>1216</v>
      </c>
      <c r="H48" s="52">
        <v>1241</v>
      </c>
      <c r="I48" s="52">
        <v>1077</v>
      </c>
    </row>
    <row r="49" spans="1:9" x14ac:dyDescent="0.2">
      <c r="A49" s="11" t="s">
        <v>48</v>
      </c>
      <c r="B49" s="10" t="s">
        <v>70</v>
      </c>
      <c r="C49" s="52">
        <v>6065</v>
      </c>
      <c r="D49" s="52">
        <v>11233</v>
      </c>
      <c r="E49" s="52">
        <v>11878</v>
      </c>
      <c r="F49" s="52">
        <v>12459</v>
      </c>
      <c r="G49" s="52">
        <v>17385</v>
      </c>
      <c r="H49" s="52">
        <v>15525</v>
      </c>
      <c r="I49" s="52">
        <v>12301</v>
      </c>
    </row>
    <row r="50" spans="1:9" x14ac:dyDescent="0.2">
      <c r="A50" s="11" t="s">
        <v>49</v>
      </c>
      <c r="B50" s="10" t="s">
        <v>70</v>
      </c>
      <c r="C50" s="52">
        <v>2007</v>
      </c>
      <c r="D50" s="52">
        <v>3649</v>
      </c>
      <c r="E50" s="52">
        <v>4594</v>
      </c>
      <c r="F50" s="52">
        <v>4816</v>
      </c>
      <c r="G50" s="52">
        <v>6186</v>
      </c>
      <c r="H50" s="52">
        <v>5968</v>
      </c>
      <c r="I50" s="52">
        <v>4718</v>
      </c>
    </row>
    <row r="51" spans="1:9" x14ac:dyDescent="0.2">
      <c r="A51" s="11" t="s">
        <v>50</v>
      </c>
      <c r="B51" s="10" t="s">
        <v>70</v>
      </c>
      <c r="C51" s="52">
        <v>1411</v>
      </c>
      <c r="D51" s="52">
        <v>2636</v>
      </c>
      <c r="E51" s="52">
        <v>3056</v>
      </c>
      <c r="F51" s="52">
        <v>3188</v>
      </c>
      <c r="G51" s="52">
        <v>4256</v>
      </c>
      <c r="H51" s="52">
        <v>3803</v>
      </c>
      <c r="I51" s="52">
        <v>2581</v>
      </c>
    </row>
    <row r="52" spans="1:9" x14ac:dyDescent="0.2">
      <c r="A52" s="11" t="s">
        <v>51</v>
      </c>
      <c r="B52" s="10" t="s">
        <v>70</v>
      </c>
      <c r="C52" s="52">
        <v>9829</v>
      </c>
      <c r="D52" s="52">
        <v>25713</v>
      </c>
      <c r="E52" s="52">
        <v>23645</v>
      </c>
      <c r="F52" s="52">
        <v>18719</v>
      </c>
      <c r="G52" s="52">
        <v>20745</v>
      </c>
      <c r="H52" s="52">
        <v>18149</v>
      </c>
      <c r="I52" s="52">
        <v>14380</v>
      </c>
    </row>
    <row r="53" spans="1:9" x14ac:dyDescent="0.2">
      <c r="A53" s="11" t="s">
        <v>52</v>
      </c>
      <c r="B53" s="10" t="s">
        <v>70</v>
      </c>
      <c r="C53" s="52">
        <v>1226</v>
      </c>
      <c r="D53" s="52">
        <v>2435</v>
      </c>
      <c r="E53" s="52">
        <v>2987</v>
      </c>
      <c r="F53" s="52">
        <v>3248</v>
      </c>
      <c r="G53" s="52">
        <v>5208</v>
      </c>
      <c r="H53" s="52">
        <v>4725</v>
      </c>
      <c r="I53" s="52">
        <v>3274</v>
      </c>
    </row>
    <row r="54" spans="1:9" x14ac:dyDescent="0.2">
      <c r="A54" s="11" t="s">
        <v>53</v>
      </c>
      <c r="B54" s="10" t="s">
        <v>70</v>
      </c>
      <c r="C54" s="52">
        <v>496</v>
      </c>
      <c r="D54" s="52">
        <v>909</v>
      </c>
      <c r="E54" s="52">
        <v>1055</v>
      </c>
      <c r="F54" s="52">
        <v>1067</v>
      </c>
      <c r="G54" s="52">
        <v>1547</v>
      </c>
      <c r="H54" s="52">
        <v>1633</v>
      </c>
      <c r="I54" s="52">
        <v>1290</v>
      </c>
    </row>
    <row r="55" spans="1:9" x14ac:dyDescent="0.2">
      <c r="A55" s="11" t="s">
        <v>54</v>
      </c>
      <c r="B55" s="10" t="s">
        <v>70</v>
      </c>
      <c r="C55" s="52">
        <v>3640</v>
      </c>
      <c r="D55" s="52">
        <v>6293</v>
      </c>
      <c r="E55" s="52">
        <v>7364</v>
      </c>
      <c r="F55" s="52">
        <v>8332</v>
      </c>
      <c r="G55" s="52">
        <v>10545</v>
      </c>
      <c r="H55" s="52">
        <v>9656</v>
      </c>
      <c r="I55" s="52">
        <v>7340</v>
      </c>
    </row>
    <row r="56" spans="1:9" x14ac:dyDescent="0.2">
      <c r="A56" s="11" t="s">
        <v>55</v>
      </c>
      <c r="B56" s="10" t="s">
        <v>70</v>
      </c>
      <c r="C56" s="52">
        <v>1215</v>
      </c>
      <c r="D56" s="52">
        <v>1861</v>
      </c>
      <c r="E56" s="52">
        <v>2250</v>
      </c>
      <c r="F56" s="52">
        <v>2364</v>
      </c>
      <c r="G56" s="52">
        <v>3042</v>
      </c>
      <c r="H56" s="52">
        <v>2828</v>
      </c>
      <c r="I56" s="52">
        <v>2397</v>
      </c>
    </row>
    <row r="57" spans="1:9" x14ac:dyDescent="0.2">
      <c r="A57" s="11" t="s">
        <v>56</v>
      </c>
      <c r="B57" s="10" t="s">
        <v>70</v>
      </c>
      <c r="C57" s="52">
        <v>2231</v>
      </c>
      <c r="D57" s="52">
        <v>3937</v>
      </c>
      <c r="E57" s="52">
        <v>4390</v>
      </c>
      <c r="F57" s="52">
        <v>4898</v>
      </c>
      <c r="G57" s="52">
        <v>6251</v>
      </c>
      <c r="H57" s="52">
        <v>6331</v>
      </c>
      <c r="I57" s="52">
        <v>4777</v>
      </c>
    </row>
    <row r="58" spans="1:9" x14ac:dyDescent="0.2">
      <c r="A58" s="11" t="s">
        <v>57</v>
      </c>
      <c r="B58" s="10" t="s">
        <v>70</v>
      </c>
      <c r="C58" s="52">
        <v>163</v>
      </c>
      <c r="D58" s="52">
        <v>261</v>
      </c>
      <c r="E58" s="52">
        <v>351</v>
      </c>
      <c r="F58" s="52">
        <v>375</v>
      </c>
      <c r="G58" s="52">
        <v>563</v>
      </c>
      <c r="H58" s="52">
        <v>663</v>
      </c>
      <c r="I58" s="52">
        <v>468</v>
      </c>
    </row>
    <row r="59" spans="1:9" x14ac:dyDescent="0.2">
      <c r="A59" s="11" t="s">
        <v>58</v>
      </c>
      <c r="B59" s="10" t="s">
        <v>70</v>
      </c>
      <c r="C59" s="52">
        <v>1125</v>
      </c>
      <c r="D59" s="52">
        <v>2149</v>
      </c>
      <c r="E59" s="52">
        <v>2405</v>
      </c>
      <c r="F59" s="52">
        <v>2372</v>
      </c>
      <c r="G59" s="52">
        <v>3432</v>
      </c>
      <c r="H59" s="52">
        <v>3352</v>
      </c>
      <c r="I59" s="52">
        <v>2616</v>
      </c>
    </row>
    <row r="60" spans="1:9" x14ac:dyDescent="0.2">
      <c r="A60" s="11" t="s">
        <v>59</v>
      </c>
      <c r="B60" s="10" t="s">
        <v>70</v>
      </c>
      <c r="C60" s="52">
        <v>1073</v>
      </c>
      <c r="D60" s="52">
        <v>1986</v>
      </c>
      <c r="E60" s="52">
        <v>2465</v>
      </c>
      <c r="F60" s="52">
        <v>2548</v>
      </c>
      <c r="G60" s="52">
        <v>3470</v>
      </c>
      <c r="H60" s="52">
        <v>3580</v>
      </c>
      <c r="I60" s="52">
        <v>2981</v>
      </c>
    </row>
    <row r="61" spans="1:9" x14ac:dyDescent="0.2">
      <c r="A61" s="11" t="s">
        <v>60</v>
      </c>
      <c r="B61" s="10" t="s">
        <v>70</v>
      </c>
      <c r="C61" s="52">
        <v>1332</v>
      </c>
      <c r="D61" s="52">
        <v>1775</v>
      </c>
      <c r="E61" s="52">
        <v>1913</v>
      </c>
      <c r="F61" s="52">
        <v>1954</v>
      </c>
      <c r="G61" s="52">
        <v>2629</v>
      </c>
      <c r="H61" s="52">
        <v>2412</v>
      </c>
      <c r="I61" s="52">
        <v>2374</v>
      </c>
    </row>
    <row r="62" spans="1:9" x14ac:dyDescent="0.2">
      <c r="A62" s="11" t="s">
        <v>61</v>
      </c>
      <c r="B62" s="10" t="s">
        <v>70</v>
      </c>
      <c r="C62" s="52">
        <v>1221</v>
      </c>
      <c r="D62" s="52">
        <v>2210</v>
      </c>
      <c r="E62" s="52">
        <v>2708</v>
      </c>
      <c r="F62" s="52">
        <v>3025</v>
      </c>
      <c r="G62" s="52">
        <v>3877</v>
      </c>
      <c r="H62" s="52">
        <v>4042</v>
      </c>
      <c r="I62" s="52">
        <v>3033</v>
      </c>
    </row>
    <row r="63" spans="1:9" x14ac:dyDescent="0.2">
      <c r="A63" s="11" t="s">
        <v>62</v>
      </c>
      <c r="B63" s="10" t="s">
        <v>70</v>
      </c>
      <c r="C63" s="52">
        <v>957</v>
      </c>
      <c r="D63" s="52">
        <v>1738</v>
      </c>
      <c r="E63" s="52">
        <v>2063</v>
      </c>
      <c r="F63" s="52">
        <v>2152</v>
      </c>
      <c r="G63" s="52">
        <v>3070</v>
      </c>
      <c r="H63" s="52">
        <v>3050</v>
      </c>
      <c r="I63" s="52">
        <v>2203</v>
      </c>
    </row>
    <row r="64" spans="1:9" x14ac:dyDescent="0.2">
      <c r="A64" s="11" t="s">
        <v>63</v>
      </c>
      <c r="B64" s="10" t="s">
        <v>70</v>
      </c>
      <c r="C64" s="52">
        <v>5222</v>
      </c>
      <c r="D64" s="52">
        <v>9666</v>
      </c>
      <c r="E64" s="52">
        <v>11125</v>
      </c>
      <c r="F64" s="52">
        <v>11427</v>
      </c>
      <c r="G64" s="52">
        <v>13858</v>
      </c>
      <c r="H64" s="52">
        <v>12561</v>
      </c>
      <c r="I64" s="52">
        <v>8791</v>
      </c>
    </row>
    <row r="65" spans="1:9" x14ac:dyDescent="0.2">
      <c r="A65" s="11" t="s">
        <v>64</v>
      </c>
      <c r="B65" s="10" t="s">
        <v>70</v>
      </c>
      <c r="C65" s="52">
        <v>1264</v>
      </c>
      <c r="D65" s="52">
        <v>2499</v>
      </c>
      <c r="E65" s="52">
        <v>2787</v>
      </c>
      <c r="F65" s="52">
        <v>2884</v>
      </c>
      <c r="G65" s="52">
        <v>4500</v>
      </c>
      <c r="H65" s="52">
        <v>4446</v>
      </c>
      <c r="I65" s="52">
        <v>3361</v>
      </c>
    </row>
    <row r="66" spans="1:9" x14ac:dyDescent="0.2">
      <c r="A66" s="11" t="s">
        <v>65</v>
      </c>
      <c r="B66" s="10" t="s">
        <v>70</v>
      </c>
      <c r="C66" s="52">
        <v>8737</v>
      </c>
      <c r="D66" s="52">
        <v>16470</v>
      </c>
      <c r="E66" s="52">
        <v>18376</v>
      </c>
      <c r="F66" s="52">
        <v>19175</v>
      </c>
      <c r="G66" s="52">
        <v>25866</v>
      </c>
      <c r="H66" s="52">
        <v>23912</v>
      </c>
      <c r="I66" s="52">
        <v>18241</v>
      </c>
    </row>
    <row r="67" spans="1:9" x14ac:dyDescent="0.2">
      <c r="A67" s="11" t="s">
        <v>66</v>
      </c>
      <c r="B67" s="10" t="s">
        <v>70</v>
      </c>
      <c r="C67" s="52">
        <v>715</v>
      </c>
      <c r="D67" s="52">
        <v>1374</v>
      </c>
      <c r="E67" s="52">
        <v>1527</v>
      </c>
      <c r="F67" s="52">
        <v>1736</v>
      </c>
      <c r="G67" s="52">
        <v>2146</v>
      </c>
      <c r="H67" s="52">
        <v>2077</v>
      </c>
      <c r="I67" s="52">
        <v>1738</v>
      </c>
    </row>
    <row r="68" spans="1:9" ht="13.5" thickBot="1" x14ac:dyDescent="0.25">
      <c r="A68" s="13" t="s">
        <v>67</v>
      </c>
      <c r="B68" s="12" t="s">
        <v>70</v>
      </c>
      <c r="C68" s="52">
        <v>10996</v>
      </c>
      <c r="D68" s="52">
        <v>21518</v>
      </c>
      <c r="E68" s="52">
        <v>25231</v>
      </c>
      <c r="F68" s="52">
        <v>25397</v>
      </c>
      <c r="G68" s="52">
        <v>34286</v>
      </c>
      <c r="H68" s="52">
        <v>29072</v>
      </c>
      <c r="I68" s="52">
        <v>21773</v>
      </c>
    </row>
    <row r="69" spans="1:9" x14ac:dyDescent="0.2">
      <c r="A69" s="32" t="s">
        <v>68</v>
      </c>
      <c r="C69" s="14">
        <f>SUM(C2:C68)</f>
        <v>250670</v>
      </c>
      <c r="D69" s="14">
        <f t="shared" ref="D69:I69" si="0">SUM(D2:D68)</f>
        <v>470138</v>
      </c>
      <c r="E69" s="14">
        <f t="shared" si="0"/>
        <v>514596</v>
      </c>
      <c r="F69" s="14">
        <f t="shared" si="0"/>
        <v>528824</v>
      </c>
      <c r="G69" s="14">
        <f t="shared" si="0"/>
        <v>703767</v>
      </c>
      <c r="H69" s="14">
        <f t="shared" si="0"/>
        <v>652652</v>
      </c>
      <c r="I69" s="14">
        <f t="shared" si="0"/>
        <v>513889</v>
      </c>
    </row>
    <row r="70" spans="1:9" x14ac:dyDescent="0.2">
      <c r="C70" s="17">
        <f>C69/$C$72</f>
        <v>6.8968913776063845E-2</v>
      </c>
      <c r="D70" s="17">
        <f t="shared" ref="D70:I70" si="1">D69/$C$72</f>
        <v>0.12935296279910283</v>
      </c>
      <c r="E70" s="17">
        <f t="shared" si="1"/>
        <v>0.14158506065148344</v>
      </c>
      <c r="F70" s="17">
        <f t="shared" si="1"/>
        <v>0.14549972816337492</v>
      </c>
      <c r="G70" s="17">
        <f t="shared" si="1"/>
        <v>0.19363324506897167</v>
      </c>
      <c r="H70" s="17">
        <f t="shared" si="1"/>
        <v>0.17956955165666263</v>
      </c>
      <c r="I70" s="17">
        <f t="shared" si="1"/>
        <v>0.14139053788434067</v>
      </c>
    </row>
    <row r="72" spans="1:9" x14ac:dyDescent="0.2">
      <c r="A72" s="32" t="s">
        <v>80</v>
      </c>
      <c r="C72" s="16">
        <f>SUM(C69:I69)</f>
        <v>3634536</v>
      </c>
    </row>
    <row r="75" spans="1:9" x14ac:dyDescent="0.2">
      <c r="I75" s="10"/>
    </row>
    <row r="80" spans="1:9" x14ac:dyDescent="0.2">
      <c r="H80" s="11"/>
    </row>
    <row r="81" spans="3:8" x14ac:dyDescent="0.2">
      <c r="H81" s="11"/>
    </row>
    <row r="82" spans="3:8" x14ac:dyDescent="0.2">
      <c r="H82" s="11"/>
    </row>
    <row r="83" spans="3:8" x14ac:dyDescent="0.2">
      <c r="H83" s="11"/>
    </row>
    <row r="84" spans="3:8" x14ac:dyDescent="0.2">
      <c r="H84" s="11"/>
    </row>
    <row r="85" spans="3:8" x14ac:dyDescent="0.2">
      <c r="H85" s="11"/>
    </row>
    <row r="86" spans="3:8" x14ac:dyDescent="0.2">
      <c r="C86" s="11"/>
    </row>
    <row r="87" spans="3:8" x14ac:dyDescent="0.2">
      <c r="C87" s="11"/>
    </row>
    <row r="88" spans="3:8" x14ac:dyDescent="0.2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45" activePane="bottomLeft" state="frozen"/>
      <selection activeCell="O67" sqref="O67"/>
      <selection pane="bottomLeft" activeCell="J10" sqref="J10"/>
    </sheetView>
  </sheetViews>
  <sheetFormatPr defaultColWidth="9.140625" defaultRowHeight="12.75" x14ac:dyDescent="0.2"/>
  <cols>
    <col min="1" max="1" width="19.140625" style="11" bestFit="1" customWidth="1"/>
    <col min="2" max="5" width="14.140625" style="10" customWidth="1"/>
    <col min="6" max="6" width="15.28515625" style="11" customWidth="1"/>
    <col min="7" max="7" width="18.5703125" style="37" customWidth="1"/>
    <col min="8" max="9" width="9.140625" style="11"/>
    <col min="10" max="10" width="12" style="11" bestFit="1" customWidth="1"/>
    <col min="11" max="11" width="10" style="11" bestFit="1" customWidth="1"/>
    <col min="12" max="12" width="11.28515625" style="11" bestFit="1" customWidth="1"/>
    <col min="13" max="13" width="9.5703125" style="11" bestFit="1" customWidth="1"/>
    <col min="14" max="14" width="10.85546875" style="11" bestFit="1" customWidth="1"/>
    <col min="15" max="16384" width="9.140625" style="11"/>
  </cols>
  <sheetData>
    <row r="1" spans="1:7" x14ac:dyDescent="0.2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">
      <c r="A3" s="11" t="s">
        <v>1</v>
      </c>
      <c r="B3" s="69">
        <v>17115</v>
      </c>
      <c r="C3" s="70">
        <v>2052</v>
      </c>
      <c r="D3" s="69">
        <v>41003</v>
      </c>
      <c r="E3" s="70">
        <v>3002</v>
      </c>
      <c r="F3" s="72">
        <v>11634</v>
      </c>
      <c r="G3" s="74">
        <v>1849</v>
      </c>
    </row>
    <row r="4" spans="1:7" x14ac:dyDescent="0.2">
      <c r="A4" s="11" t="s">
        <v>2</v>
      </c>
      <c r="B4" s="69">
        <v>447979</v>
      </c>
      <c r="C4" s="70">
        <v>55389</v>
      </c>
      <c r="D4" s="69">
        <v>241924</v>
      </c>
      <c r="E4" s="70">
        <v>20958</v>
      </c>
      <c r="F4" s="72">
        <v>127978</v>
      </c>
      <c r="G4" s="75">
        <v>23121</v>
      </c>
    </row>
    <row r="5" spans="1:7" x14ac:dyDescent="0.2">
      <c r="A5" s="11" t="s">
        <v>3</v>
      </c>
      <c r="B5" s="69">
        <v>9886</v>
      </c>
      <c r="C5" s="70">
        <v>760</v>
      </c>
      <c r="D5" s="69">
        <v>26301</v>
      </c>
      <c r="E5" s="70">
        <v>1349</v>
      </c>
      <c r="F5" s="72">
        <v>4775</v>
      </c>
      <c r="G5" s="75">
        <v>526</v>
      </c>
    </row>
    <row r="6" spans="1:7" x14ac:dyDescent="0.2">
      <c r="A6" s="11" t="s">
        <v>4</v>
      </c>
      <c r="B6" s="69">
        <v>42181</v>
      </c>
      <c r="C6" s="70">
        <v>3521</v>
      </c>
      <c r="D6" s="69">
        <v>48939</v>
      </c>
      <c r="E6" s="70">
        <v>2918</v>
      </c>
      <c r="F6" s="72">
        <v>14572</v>
      </c>
      <c r="G6" s="75">
        <v>1946</v>
      </c>
    </row>
    <row r="7" spans="1:7" x14ac:dyDescent="0.2">
      <c r="A7" s="11" t="s">
        <v>5</v>
      </c>
      <c r="B7" s="69">
        <v>4872</v>
      </c>
      <c r="C7" s="70">
        <v>389</v>
      </c>
      <c r="D7" s="69">
        <v>23507</v>
      </c>
      <c r="E7" s="70">
        <v>1066</v>
      </c>
      <c r="F7" s="72">
        <v>2874</v>
      </c>
      <c r="G7" s="75">
        <v>330</v>
      </c>
    </row>
    <row r="8" spans="1:7" x14ac:dyDescent="0.2">
      <c r="A8" s="11" t="s">
        <v>6</v>
      </c>
      <c r="B8" s="69">
        <v>93801</v>
      </c>
      <c r="C8" s="70">
        <v>10516</v>
      </c>
      <c r="D8" s="69">
        <v>111173</v>
      </c>
      <c r="E8" s="70">
        <v>6837</v>
      </c>
      <c r="F8" s="72">
        <v>45883</v>
      </c>
      <c r="G8" s="75">
        <v>6203</v>
      </c>
    </row>
    <row r="9" spans="1:7" x14ac:dyDescent="0.2">
      <c r="A9" s="11" t="s">
        <v>7</v>
      </c>
      <c r="B9" s="69">
        <v>17622</v>
      </c>
      <c r="C9" s="70">
        <v>2179</v>
      </c>
      <c r="D9" s="69">
        <v>47210</v>
      </c>
      <c r="E9" s="70">
        <v>3370</v>
      </c>
      <c r="F9" s="72">
        <v>9518</v>
      </c>
      <c r="G9" s="75">
        <v>1663</v>
      </c>
    </row>
    <row r="10" spans="1:7" x14ac:dyDescent="0.2">
      <c r="A10" s="11" t="s">
        <v>8</v>
      </c>
      <c r="B10" s="69">
        <v>7036</v>
      </c>
      <c r="C10" s="70">
        <v>780</v>
      </c>
      <c r="D10" s="69">
        <v>23967</v>
      </c>
      <c r="E10" s="70">
        <v>1675</v>
      </c>
      <c r="F10" s="72">
        <v>4769</v>
      </c>
      <c r="G10" s="75">
        <v>667</v>
      </c>
    </row>
    <row r="11" spans="1:7" x14ac:dyDescent="0.2">
      <c r="A11" s="11" t="s">
        <v>9</v>
      </c>
      <c r="B11" s="69">
        <v>178569</v>
      </c>
      <c r="C11" s="70">
        <v>15402</v>
      </c>
      <c r="D11" s="69">
        <v>190231</v>
      </c>
      <c r="E11" s="70">
        <v>11497</v>
      </c>
      <c r="F11" s="72">
        <v>80151</v>
      </c>
      <c r="G11" s="75">
        <v>8743</v>
      </c>
    </row>
    <row r="12" spans="1:7" x14ac:dyDescent="0.2">
      <c r="A12" s="11" t="s">
        <v>10</v>
      </c>
      <c r="B12" s="69">
        <v>36315</v>
      </c>
      <c r="C12" s="70">
        <v>2942</v>
      </c>
      <c r="D12" s="69">
        <v>78335</v>
      </c>
      <c r="E12" s="70">
        <v>4629</v>
      </c>
      <c r="F12" s="72">
        <v>19163</v>
      </c>
      <c r="G12" s="75">
        <v>2415</v>
      </c>
    </row>
    <row r="13" spans="1:7" x14ac:dyDescent="0.2">
      <c r="A13" s="11" t="s">
        <v>11</v>
      </c>
      <c r="B13" s="69">
        <v>27106</v>
      </c>
      <c r="C13" s="70">
        <v>2236</v>
      </c>
      <c r="D13" s="69">
        <v>44289</v>
      </c>
      <c r="E13" s="70">
        <v>2192</v>
      </c>
      <c r="F13" s="72">
        <v>8857</v>
      </c>
      <c r="G13" s="75">
        <v>1148</v>
      </c>
    </row>
    <row r="14" spans="1:7" x14ac:dyDescent="0.2">
      <c r="A14" s="11" t="s">
        <v>12</v>
      </c>
      <c r="B14" s="69">
        <v>605</v>
      </c>
      <c r="C14" s="70">
        <v>58</v>
      </c>
      <c r="D14" s="69">
        <v>1729</v>
      </c>
      <c r="E14" s="70">
        <v>113</v>
      </c>
      <c r="F14" s="72">
        <v>338</v>
      </c>
      <c r="G14" s="75">
        <v>40</v>
      </c>
    </row>
    <row r="15" spans="1:7" x14ac:dyDescent="0.2">
      <c r="A15" s="11" t="s">
        <v>13</v>
      </c>
      <c r="B15" s="69">
        <v>12759</v>
      </c>
      <c r="C15" s="70">
        <v>1315</v>
      </c>
      <c r="D15" s="69">
        <v>22297</v>
      </c>
      <c r="E15" s="70">
        <v>1623</v>
      </c>
      <c r="F15" s="72">
        <v>6738</v>
      </c>
      <c r="G15" s="75">
        <v>1024</v>
      </c>
    </row>
    <row r="16" spans="1:7" x14ac:dyDescent="0.2">
      <c r="A16" s="11" t="s">
        <v>14</v>
      </c>
      <c r="B16" s="69">
        <v>34103</v>
      </c>
      <c r="C16" s="70">
        <v>7318</v>
      </c>
      <c r="D16" s="69">
        <v>37563</v>
      </c>
      <c r="E16" s="70">
        <v>4233</v>
      </c>
      <c r="F16" s="72">
        <v>14969</v>
      </c>
      <c r="G16" s="75">
        <v>3873</v>
      </c>
    </row>
    <row r="17" spans="1:7" x14ac:dyDescent="0.2">
      <c r="A17" s="11" t="s">
        <v>15</v>
      </c>
      <c r="B17" s="69">
        <v>147023</v>
      </c>
      <c r="C17" s="70">
        <v>14033</v>
      </c>
      <c r="D17" s="69">
        <v>141519</v>
      </c>
      <c r="E17" s="70">
        <v>10298</v>
      </c>
      <c r="F17" s="72">
        <v>68459</v>
      </c>
      <c r="G17" s="75">
        <v>8291</v>
      </c>
    </row>
    <row r="18" spans="1:7" x14ac:dyDescent="0.2">
      <c r="A18" s="11" t="s">
        <v>16</v>
      </c>
      <c r="B18" s="69">
        <v>4648</v>
      </c>
      <c r="C18" s="70">
        <v>394</v>
      </c>
      <c r="D18" s="69">
        <v>14776</v>
      </c>
      <c r="E18" s="70">
        <v>765</v>
      </c>
      <c r="F18" s="72">
        <v>2445</v>
      </c>
      <c r="G18" s="75">
        <v>283</v>
      </c>
    </row>
    <row r="19" spans="1:7" x14ac:dyDescent="0.2">
      <c r="A19" s="11" t="s">
        <v>17</v>
      </c>
      <c r="B19" s="69">
        <v>10814</v>
      </c>
      <c r="C19" s="70">
        <v>1209</v>
      </c>
      <c r="D19" s="69">
        <v>29258</v>
      </c>
      <c r="E19" s="70">
        <v>2162</v>
      </c>
      <c r="F19" s="72">
        <v>5220</v>
      </c>
      <c r="G19" s="75">
        <v>882</v>
      </c>
    </row>
    <row r="20" spans="1:7" x14ac:dyDescent="0.2">
      <c r="A20" s="11" t="s">
        <v>18</v>
      </c>
      <c r="B20" s="69">
        <v>5596</v>
      </c>
      <c r="C20" s="70">
        <v>468</v>
      </c>
      <c r="D20" s="69">
        <v>12541</v>
      </c>
      <c r="E20" s="70">
        <v>730</v>
      </c>
      <c r="F20" s="72">
        <v>2811</v>
      </c>
      <c r="G20" s="75">
        <v>363</v>
      </c>
    </row>
    <row r="21" spans="1:7" x14ac:dyDescent="0.2">
      <c r="A21" s="11" t="s">
        <v>19</v>
      </c>
      <c r="B21" s="69">
        <v>10590</v>
      </c>
      <c r="C21" s="70">
        <v>1186</v>
      </c>
      <c r="D21" s="69">
        <v>21089</v>
      </c>
      <c r="E21" s="70">
        <v>1365</v>
      </c>
      <c r="F21" s="72">
        <v>5516</v>
      </c>
      <c r="G21" s="75">
        <v>850</v>
      </c>
    </row>
    <row r="22" spans="1:7" x14ac:dyDescent="0.2">
      <c r="A22" s="11" t="s">
        <v>20</v>
      </c>
      <c r="B22" s="69">
        <v>12794</v>
      </c>
      <c r="C22" s="70">
        <v>1591</v>
      </c>
      <c r="D22" s="69">
        <v>29751</v>
      </c>
      <c r="E22" s="70">
        <v>1988</v>
      </c>
      <c r="F22" s="72">
        <v>5872</v>
      </c>
      <c r="G22" s="75">
        <v>917</v>
      </c>
    </row>
    <row r="23" spans="1:7" x14ac:dyDescent="0.2">
      <c r="A23" s="11" t="s">
        <v>21</v>
      </c>
      <c r="B23" s="69">
        <v>56635</v>
      </c>
      <c r="C23" s="70">
        <v>5054</v>
      </c>
      <c r="D23" s="69">
        <v>83125</v>
      </c>
      <c r="E23" s="70">
        <v>5046</v>
      </c>
      <c r="F23" s="72">
        <v>30173</v>
      </c>
      <c r="G23" s="75">
        <v>3616</v>
      </c>
    </row>
    <row r="24" spans="1:7" x14ac:dyDescent="0.2">
      <c r="A24" s="11" t="s">
        <v>22</v>
      </c>
      <c r="B24" s="69">
        <v>77333</v>
      </c>
      <c r="C24" s="70">
        <v>9334</v>
      </c>
      <c r="D24" s="69">
        <v>70669</v>
      </c>
      <c r="E24" s="70">
        <v>5283</v>
      </c>
      <c r="F24" s="72">
        <v>33341</v>
      </c>
      <c r="G24" s="75">
        <v>5303</v>
      </c>
    </row>
    <row r="25" spans="1:7" x14ac:dyDescent="0.2">
      <c r="A25" s="11" t="s">
        <v>23</v>
      </c>
      <c r="B25" s="69">
        <v>179725</v>
      </c>
      <c r="C25" s="70">
        <v>23161</v>
      </c>
      <c r="D25" s="69">
        <v>131541</v>
      </c>
      <c r="E25" s="70">
        <v>11158</v>
      </c>
      <c r="F25" s="72">
        <v>56163</v>
      </c>
      <c r="G25" s="75">
        <v>9001</v>
      </c>
    </row>
    <row r="26" spans="1:7" x14ac:dyDescent="0.2">
      <c r="A26" s="11" t="s">
        <v>24</v>
      </c>
      <c r="B26" s="69">
        <v>5374</v>
      </c>
      <c r="C26" s="70">
        <v>396</v>
      </c>
      <c r="D26" s="69">
        <v>11580</v>
      </c>
      <c r="E26" s="70">
        <v>542</v>
      </c>
      <c r="F26" s="72">
        <v>2264</v>
      </c>
      <c r="G26" s="75">
        <v>296</v>
      </c>
    </row>
    <row r="27" spans="1:7" x14ac:dyDescent="0.2">
      <c r="A27" s="11" t="s">
        <v>25</v>
      </c>
      <c r="B27" s="69">
        <v>68950</v>
      </c>
      <c r="C27" s="70">
        <v>7479</v>
      </c>
      <c r="D27" s="69">
        <v>65575</v>
      </c>
      <c r="E27" s="70">
        <v>5216</v>
      </c>
      <c r="F27" s="72">
        <v>23341</v>
      </c>
      <c r="G27" s="75">
        <v>4175</v>
      </c>
    </row>
    <row r="28" spans="1:7" x14ac:dyDescent="0.2">
      <c r="A28" s="11" t="s">
        <v>26</v>
      </c>
      <c r="B28" s="69">
        <v>26678</v>
      </c>
      <c r="C28" s="70">
        <v>2760</v>
      </c>
      <c r="D28" s="69">
        <v>38819</v>
      </c>
      <c r="E28" s="70">
        <v>2490</v>
      </c>
      <c r="F28" s="72">
        <v>7597</v>
      </c>
      <c r="G28" s="75">
        <v>1172</v>
      </c>
    </row>
    <row r="29" spans="1:7" x14ac:dyDescent="0.2">
      <c r="A29" s="11" t="s">
        <v>27</v>
      </c>
      <c r="B29" s="69">
        <v>707</v>
      </c>
      <c r="C29" s="70">
        <v>80</v>
      </c>
      <c r="D29" s="69">
        <v>1920</v>
      </c>
      <c r="E29" s="70">
        <v>135</v>
      </c>
      <c r="F29" s="72">
        <v>351</v>
      </c>
      <c r="G29" s="75">
        <v>52</v>
      </c>
    </row>
    <row r="30" spans="1:7" x14ac:dyDescent="0.2">
      <c r="A30" s="11" t="s">
        <v>28</v>
      </c>
      <c r="B30" s="69">
        <v>21328</v>
      </c>
      <c r="C30" s="70">
        <v>2194</v>
      </c>
      <c r="D30" s="69">
        <v>60873</v>
      </c>
      <c r="E30" s="70">
        <v>3447</v>
      </c>
      <c r="F30" s="72">
        <v>15710</v>
      </c>
      <c r="G30" s="75">
        <v>1882</v>
      </c>
    </row>
    <row r="31" spans="1:7" x14ac:dyDescent="0.2">
      <c r="A31" s="11" t="s">
        <v>29</v>
      </c>
      <c r="B31" s="69">
        <v>1300</v>
      </c>
      <c r="C31" s="70">
        <v>173</v>
      </c>
      <c r="D31" s="69">
        <v>6978</v>
      </c>
      <c r="E31" s="70">
        <v>481</v>
      </c>
      <c r="F31" s="72">
        <v>972</v>
      </c>
      <c r="G31" s="75">
        <v>198</v>
      </c>
    </row>
    <row r="32" spans="1:7" x14ac:dyDescent="0.2">
      <c r="A32" s="11" t="s">
        <v>30</v>
      </c>
      <c r="B32" s="69">
        <v>6663</v>
      </c>
      <c r="C32" s="70">
        <v>686</v>
      </c>
      <c r="D32" s="69">
        <v>11353</v>
      </c>
      <c r="E32" s="70">
        <v>827</v>
      </c>
      <c r="F32" s="72">
        <v>1897</v>
      </c>
      <c r="G32" s="75">
        <v>363</v>
      </c>
    </row>
    <row r="33" spans="1:7" x14ac:dyDescent="0.2">
      <c r="A33" s="11" t="s">
        <v>31</v>
      </c>
      <c r="B33" s="69">
        <v>5170</v>
      </c>
      <c r="C33" s="70">
        <v>836</v>
      </c>
      <c r="D33" s="69">
        <v>17683</v>
      </c>
      <c r="E33" s="70">
        <v>1206</v>
      </c>
      <c r="F33" s="72">
        <v>2525</v>
      </c>
      <c r="G33" s="75">
        <v>452</v>
      </c>
    </row>
    <row r="34" spans="1:7" x14ac:dyDescent="0.2">
      <c r="A34" s="11" t="s">
        <v>32</v>
      </c>
      <c r="B34" s="69">
        <v>12942</v>
      </c>
      <c r="C34" s="70">
        <v>934</v>
      </c>
      <c r="D34" s="69">
        <v>27782</v>
      </c>
      <c r="E34" s="70">
        <v>1077</v>
      </c>
      <c r="F34" s="72">
        <v>5873</v>
      </c>
      <c r="G34" s="75">
        <v>497</v>
      </c>
    </row>
    <row r="35" spans="1:7" x14ac:dyDescent="0.2">
      <c r="A35" s="11" t="s">
        <v>33</v>
      </c>
      <c r="B35" s="69">
        <v>4950</v>
      </c>
      <c r="C35" s="70">
        <v>483</v>
      </c>
      <c r="D35" s="69">
        <v>18151</v>
      </c>
      <c r="E35" s="70">
        <v>1275</v>
      </c>
      <c r="F35" s="72">
        <v>2860</v>
      </c>
      <c r="G35" s="75">
        <v>364</v>
      </c>
    </row>
    <row r="36" spans="1:7" x14ac:dyDescent="0.2">
      <c r="A36" s="11" t="s">
        <v>34</v>
      </c>
      <c r="B36" s="69">
        <v>2320</v>
      </c>
      <c r="C36" s="70">
        <v>218</v>
      </c>
      <c r="D36" s="69">
        <v>9575</v>
      </c>
      <c r="E36" s="70">
        <v>446</v>
      </c>
      <c r="F36" s="72">
        <v>1354</v>
      </c>
      <c r="G36" s="75">
        <v>161</v>
      </c>
    </row>
    <row r="37" spans="1:7" x14ac:dyDescent="0.2">
      <c r="A37" s="11" t="s">
        <v>35</v>
      </c>
      <c r="B37" s="69">
        <v>70475</v>
      </c>
      <c r="C37" s="70">
        <v>6303</v>
      </c>
      <c r="D37" s="69">
        <v>48185</v>
      </c>
      <c r="E37" s="70">
        <v>4101</v>
      </c>
      <c r="F37" s="72">
        <v>17909</v>
      </c>
      <c r="G37" s="75">
        <v>2956</v>
      </c>
    </row>
    <row r="38" spans="1:7" x14ac:dyDescent="0.2">
      <c r="A38" s="11" t="s">
        <v>36</v>
      </c>
      <c r="B38" s="69">
        <v>101901</v>
      </c>
      <c r="C38" s="70">
        <v>11109</v>
      </c>
      <c r="D38" s="69">
        <v>171716</v>
      </c>
      <c r="E38" s="70">
        <v>11929</v>
      </c>
      <c r="F38" s="72">
        <v>59536</v>
      </c>
      <c r="G38" s="75">
        <v>8248</v>
      </c>
    </row>
    <row r="39" spans="1:7" x14ac:dyDescent="0.2">
      <c r="A39" s="11" t="s">
        <v>37</v>
      </c>
      <c r="B39" s="69">
        <v>17959</v>
      </c>
      <c r="C39" s="70">
        <v>1712</v>
      </c>
      <c r="D39" s="69">
        <v>28406</v>
      </c>
      <c r="E39" s="70">
        <v>1697</v>
      </c>
      <c r="F39" s="72">
        <v>6602</v>
      </c>
      <c r="G39" s="75">
        <v>945</v>
      </c>
    </row>
    <row r="40" spans="1:7" x14ac:dyDescent="0.2">
      <c r="A40" s="11" t="s">
        <v>38</v>
      </c>
      <c r="B40" s="69">
        <v>22719</v>
      </c>
      <c r="C40" s="70">
        <v>2732</v>
      </c>
      <c r="D40" s="69">
        <v>49542</v>
      </c>
      <c r="E40" s="70">
        <v>3082</v>
      </c>
      <c r="F40" s="72">
        <v>13896</v>
      </c>
      <c r="G40" s="75">
        <v>2127</v>
      </c>
    </row>
    <row r="41" spans="1:7" x14ac:dyDescent="0.2">
      <c r="A41" s="11" t="s">
        <v>39</v>
      </c>
      <c r="B41" s="69">
        <v>98873</v>
      </c>
      <c r="C41" s="70">
        <v>12896</v>
      </c>
      <c r="D41" s="69">
        <v>82888</v>
      </c>
      <c r="E41" s="70">
        <v>6562</v>
      </c>
      <c r="F41" s="72">
        <v>45437</v>
      </c>
      <c r="G41" s="75">
        <v>7690</v>
      </c>
    </row>
    <row r="42" spans="1:7" x14ac:dyDescent="0.2">
      <c r="A42" s="11" t="s">
        <v>40</v>
      </c>
      <c r="B42" s="69">
        <v>76557</v>
      </c>
      <c r="C42" s="70">
        <v>8772</v>
      </c>
      <c r="D42" s="69">
        <v>84299</v>
      </c>
      <c r="E42" s="70">
        <v>6521</v>
      </c>
      <c r="F42" s="72">
        <v>26901</v>
      </c>
      <c r="G42" s="75">
        <v>4662</v>
      </c>
    </row>
    <row r="43" spans="1:7" x14ac:dyDescent="0.2">
      <c r="A43" s="11" t="s">
        <v>41</v>
      </c>
      <c r="B43" s="69">
        <v>16524</v>
      </c>
      <c r="C43" s="70">
        <v>1682</v>
      </c>
      <c r="D43" s="69">
        <v>41609</v>
      </c>
      <c r="E43" s="70">
        <v>2124</v>
      </c>
      <c r="F43" s="72">
        <v>9505</v>
      </c>
      <c r="G43" s="75">
        <v>1216</v>
      </c>
    </row>
    <row r="44" spans="1:7" x14ac:dyDescent="0.2">
      <c r="A44" s="11" t="s">
        <v>42</v>
      </c>
      <c r="B44" s="69">
        <v>4692</v>
      </c>
      <c r="C44" s="70">
        <v>619</v>
      </c>
      <c r="D44" s="69">
        <v>14892</v>
      </c>
      <c r="E44" s="70">
        <v>1302</v>
      </c>
      <c r="F44" s="72">
        <v>3171</v>
      </c>
      <c r="G44" s="75">
        <v>600</v>
      </c>
    </row>
    <row r="45" spans="1:7" x14ac:dyDescent="0.2">
      <c r="A45" s="11" t="s">
        <v>43</v>
      </c>
      <c r="B45" s="69">
        <v>20949</v>
      </c>
      <c r="C45" s="70">
        <v>2172</v>
      </c>
      <c r="D45" s="69">
        <v>35847</v>
      </c>
      <c r="E45" s="70">
        <v>2466</v>
      </c>
      <c r="F45" s="72">
        <v>9101</v>
      </c>
      <c r="G45" s="75">
        <v>1366</v>
      </c>
    </row>
    <row r="46" spans="1:7" x14ac:dyDescent="0.2">
      <c r="A46" s="11" t="s">
        <v>44</v>
      </c>
      <c r="B46" s="69">
        <v>4822</v>
      </c>
      <c r="C46" s="70">
        <v>550</v>
      </c>
      <c r="D46" s="69">
        <v>17491</v>
      </c>
      <c r="E46" s="70">
        <v>1155</v>
      </c>
      <c r="F46" s="72">
        <v>2698</v>
      </c>
      <c r="G46" s="75">
        <v>434</v>
      </c>
    </row>
    <row r="47" spans="1:7" x14ac:dyDescent="0.2">
      <c r="A47" s="11" t="s">
        <v>45</v>
      </c>
      <c r="B47" s="69">
        <v>42187</v>
      </c>
      <c r="C47" s="70">
        <v>6398</v>
      </c>
      <c r="D47" s="69">
        <v>39515</v>
      </c>
      <c r="E47" s="70">
        <v>3806</v>
      </c>
      <c r="F47" s="72">
        <v>22129</v>
      </c>
      <c r="G47" s="75">
        <v>3577</v>
      </c>
    </row>
    <row r="48" spans="1:7" x14ac:dyDescent="0.2">
      <c r="A48" s="11" t="s">
        <v>46</v>
      </c>
      <c r="B48" s="69">
        <v>283586</v>
      </c>
      <c r="C48" s="70">
        <v>21940</v>
      </c>
      <c r="D48" s="69">
        <v>195773</v>
      </c>
      <c r="E48" s="70">
        <v>11827</v>
      </c>
      <c r="F48" s="72">
        <v>100222</v>
      </c>
      <c r="G48" s="75">
        <v>10579</v>
      </c>
    </row>
    <row r="49" spans="1:7" x14ac:dyDescent="0.2">
      <c r="A49" s="11" t="s">
        <v>47</v>
      </c>
      <c r="B49" s="69">
        <v>3413</v>
      </c>
      <c r="C49" s="70">
        <v>356</v>
      </c>
      <c r="D49" s="69">
        <v>6097</v>
      </c>
      <c r="E49" s="70">
        <v>452</v>
      </c>
      <c r="F49" s="72">
        <v>1771</v>
      </c>
      <c r="G49" s="75">
        <v>265</v>
      </c>
    </row>
    <row r="50" spans="1:7" x14ac:dyDescent="0.2">
      <c r="A50" s="11" t="s">
        <v>48</v>
      </c>
      <c r="B50" s="69">
        <v>85301</v>
      </c>
      <c r="C50" s="70">
        <v>10846</v>
      </c>
      <c r="D50" s="69">
        <v>80328</v>
      </c>
      <c r="E50" s="70">
        <v>6518</v>
      </c>
      <c r="F50" s="72">
        <v>42684</v>
      </c>
      <c r="G50" s="75">
        <v>6754</v>
      </c>
    </row>
    <row r="51" spans="1:7" x14ac:dyDescent="0.2">
      <c r="A51" s="11" t="s">
        <v>49</v>
      </c>
      <c r="B51" s="69">
        <v>12118</v>
      </c>
      <c r="C51" s="70">
        <v>3211</v>
      </c>
      <c r="D51" s="69">
        <v>27114</v>
      </c>
      <c r="E51" s="70">
        <v>4824</v>
      </c>
      <c r="F51" s="72">
        <v>5018</v>
      </c>
      <c r="G51" s="75">
        <v>3057</v>
      </c>
    </row>
    <row r="52" spans="1:7" x14ac:dyDescent="0.2">
      <c r="A52" s="11" t="s">
        <v>50</v>
      </c>
      <c r="B52" s="69">
        <v>5654</v>
      </c>
      <c r="C52" s="70">
        <v>373</v>
      </c>
      <c r="D52" s="69">
        <v>19978</v>
      </c>
      <c r="E52" s="70">
        <v>953</v>
      </c>
      <c r="F52" s="72">
        <v>3849</v>
      </c>
      <c r="G52" s="75">
        <v>440</v>
      </c>
    </row>
    <row r="53" spans="1:7" x14ac:dyDescent="0.2">
      <c r="A53" s="11" t="s">
        <v>51</v>
      </c>
      <c r="B53" s="69">
        <v>649612</v>
      </c>
      <c r="C53" s="70">
        <v>128878</v>
      </c>
      <c r="D53" s="69">
        <v>110819</v>
      </c>
      <c r="E53" s="70">
        <v>20361</v>
      </c>
      <c r="F53" s="72">
        <v>144881</v>
      </c>
      <c r="G53" s="75">
        <v>34764</v>
      </c>
    </row>
    <row r="54" spans="1:7" x14ac:dyDescent="0.2">
      <c r="A54" s="11" t="s">
        <v>52</v>
      </c>
      <c r="B54" s="69">
        <v>11809</v>
      </c>
      <c r="C54" s="70">
        <v>1816</v>
      </c>
      <c r="D54" s="69">
        <v>20910</v>
      </c>
      <c r="E54" s="70">
        <v>2193</v>
      </c>
      <c r="F54" s="72">
        <v>9136</v>
      </c>
      <c r="G54" s="75">
        <v>1524</v>
      </c>
    </row>
    <row r="55" spans="1:7" x14ac:dyDescent="0.2">
      <c r="A55" s="11" t="s">
        <v>53</v>
      </c>
      <c r="B55" s="69">
        <v>1599</v>
      </c>
      <c r="C55" s="70">
        <v>137</v>
      </c>
      <c r="D55" s="69">
        <v>7484</v>
      </c>
      <c r="E55" s="70">
        <v>513</v>
      </c>
      <c r="F55" s="72">
        <v>1099</v>
      </c>
      <c r="G55" s="75">
        <v>170</v>
      </c>
    </row>
    <row r="56" spans="1:7" x14ac:dyDescent="0.2">
      <c r="A56" s="11" t="s">
        <v>54</v>
      </c>
      <c r="B56" s="69">
        <v>23343</v>
      </c>
      <c r="C56" s="70">
        <v>2013</v>
      </c>
      <c r="D56" s="69">
        <v>50614</v>
      </c>
      <c r="E56" s="70">
        <v>2556</v>
      </c>
      <c r="F56" s="72">
        <v>12476</v>
      </c>
      <c r="G56" s="75">
        <v>1459</v>
      </c>
    </row>
    <row r="57" spans="1:7" x14ac:dyDescent="0.2">
      <c r="A57" s="11" t="s">
        <v>55</v>
      </c>
      <c r="B57" s="69">
        <v>4373</v>
      </c>
      <c r="C57" s="70">
        <v>517</v>
      </c>
      <c r="D57" s="69">
        <v>15061</v>
      </c>
      <c r="E57" s="70">
        <v>896</v>
      </c>
      <c r="F57" s="72">
        <v>2570</v>
      </c>
      <c r="G57" s="75">
        <v>454</v>
      </c>
    </row>
    <row r="58" spans="1:7" x14ac:dyDescent="0.2">
      <c r="A58" s="11" t="s">
        <v>56</v>
      </c>
      <c r="B58" s="69">
        <v>9697</v>
      </c>
      <c r="C58" s="70">
        <v>798</v>
      </c>
      <c r="D58" s="69">
        <v>31217</v>
      </c>
      <c r="E58" s="70">
        <v>1598</v>
      </c>
      <c r="F58" s="72">
        <v>4591</v>
      </c>
      <c r="G58" s="75">
        <v>584</v>
      </c>
    </row>
    <row r="59" spans="1:7" x14ac:dyDescent="0.2">
      <c r="A59" s="11" t="s">
        <v>57</v>
      </c>
      <c r="B59" s="69">
        <v>995</v>
      </c>
      <c r="C59" s="70">
        <v>75</v>
      </c>
      <c r="D59" s="69">
        <v>2697</v>
      </c>
      <c r="E59" s="70">
        <v>147</v>
      </c>
      <c r="F59" s="72">
        <v>489</v>
      </c>
      <c r="G59" s="75">
        <v>54</v>
      </c>
    </row>
    <row r="60" spans="1:7" x14ac:dyDescent="0.2">
      <c r="A60" s="11" t="s">
        <v>58</v>
      </c>
      <c r="B60" s="69">
        <v>5409</v>
      </c>
      <c r="C60" s="70">
        <v>812</v>
      </c>
      <c r="D60" s="69">
        <v>15970</v>
      </c>
      <c r="E60" s="70">
        <v>1481</v>
      </c>
      <c r="F60" s="72">
        <v>3410</v>
      </c>
      <c r="G60" s="75">
        <v>674</v>
      </c>
    </row>
    <row r="61" spans="1:7" x14ac:dyDescent="0.2">
      <c r="A61" s="11" t="s">
        <v>59</v>
      </c>
      <c r="B61" s="69">
        <v>4550</v>
      </c>
      <c r="C61" s="70">
        <v>377</v>
      </c>
      <c r="D61" s="69">
        <v>17055</v>
      </c>
      <c r="E61" s="70">
        <v>1048</v>
      </c>
      <c r="F61" s="72">
        <v>3311</v>
      </c>
      <c r="G61" s="75">
        <v>456</v>
      </c>
    </row>
    <row r="62" spans="1:7" x14ac:dyDescent="0.2">
      <c r="A62" s="11" t="s">
        <v>60</v>
      </c>
      <c r="B62" s="69">
        <v>6559</v>
      </c>
      <c r="C62" s="70">
        <v>1285</v>
      </c>
      <c r="D62" s="69">
        <v>13183</v>
      </c>
      <c r="E62" s="70">
        <v>1206</v>
      </c>
      <c r="F62" s="72">
        <v>3403</v>
      </c>
      <c r="G62" s="75">
        <v>837</v>
      </c>
    </row>
    <row r="63" spans="1:7" x14ac:dyDescent="0.2">
      <c r="A63" s="11" t="s">
        <v>61</v>
      </c>
      <c r="B63" s="69">
        <v>7355</v>
      </c>
      <c r="C63" s="70">
        <v>668</v>
      </c>
      <c r="D63" s="69">
        <v>18964</v>
      </c>
      <c r="E63" s="70">
        <v>1152</v>
      </c>
      <c r="F63" s="72">
        <v>4130</v>
      </c>
      <c r="G63" s="75">
        <v>524</v>
      </c>
    </row>
    <row r="64" spans="1:7" x14ac:dyDescent="0.2">
      <c r="A64" s="11" t="s">
        <v>62</v>
      </c>
      <c r="B64" s="69">
        <v>5888</v>
      </c>
      <c r="C64" s="70">
        <v>450</v>
      </c>
      <c r="D64" s="69">
        <v>14362</v>
      </c>
      <c r="E64" s="70">
        <v>871</v>
      </c>
      <c r="F64" s="72">
        <v>3473</v>
      </c>
      <c r="G64" s="75">
        <v>374</v>
      </c>
    </row>
    <row r="65" spans="1:7" x14ac:dyDescent="0.2">
      <c r="A65" s="11" t="s">
        <v>63</v>
      </c>
      <c r="B65" s="69">
        <v>48837</v>
      </c>
      <c r="C65" s="70">
        <v>3705</v>
      </c>
      <c r="D65" s="69">
        <v>69026</v>
      </c>
      <c r="E65" s="70">
        <v>3624</v>
      </c>
      <c r="F65" s="72">
        <v>17607</v>
      </c>
      <c r="G65" s="75">
        <v>2112</v>
      </c>
    </row>
    <row r="66" spans="1:7" x14ac:dyDescent="0.2">
      <c r="A66" s="11" t="s">
        <v>64</v>
      </c>
      <c r="B66" s="69">
        <v>7886</v>
      </c>
      <c r="C66" s="70">
        <v>828</v>
      </c>
      <c r="D66" s="69">
        <v>20342</v>
      </c>
      <c r="E66" s="70">
        <v>1399</v>
      </c>
      <c r="F66" s="72">
        <v>5487</v>
      </c>
      <c r="G66" s="75">
        <v>754</v>
      </c>
    </row>
    <row r="67" spans="1:7" x14ac:dyDescent="0.2">
      <c r="A67" s="11" t="s">
        <v>65</v>
      </c>
      <c r="B67" s="69">
        <v>80374</v>
      </c>
      <c r="C67" s="70">
        <v>6333</v>
      </c>
      <c r="D67" s="69">
        <v>123742</v>
      </c>
      <c r="E67" s="70">
        <v>7035</v>
      </c>
      <c r="F67" s="72">
        <v>29555</v>
      </c>
      <c r="G67" s="75">
        <v>3622</v>
      </c>
    </row>
    <row r="68" spans="1:7" x14ac:dyDescent="0.2">
      <c r="A68" s="11" t="s">
        <v>66</v>
      </c>
      <c r="B68" s="69">
        <v>4311</v>
      </c>
      <c r="C68" s="70">
        <v>370</v>
      </c>
      <c r="D68" s="69">
        <v>10677</v>
      </c>
      <c r="E68" s="70">
        <v>636</v>
      </c>
      <c r="F68" s="72">
        <v>2185</v>
      </c>
      <c r="G68" s="75">
        <v>295</v>
      </c>
    </row>
    <row r="69" spans="1:7" x14ac:dyDescent="0.2">
      <c r="A69" s="19" t="s">
        <v>67</v>
      </c>
      <c r="B69" s="68">
        <v>85821</v>
      </c>
      <c r="C69" s="71">
        <v>10799</v>
      </c>
      <c r="D69" s="68">
        <v>156086</v>
      </c>
      <c r="E69" s="71">
        <v>12187</v>
      </c>
      <c r="F69" s="73">
        <v>54777</v>
      </c>
      <c r="G69" s="76">
        <v>8232</v>
      </c>
    </row>
    <row r="70" spans="1:7" x14ac:dyDescent="0.2">
      <c r="A70" s="32" t="s">
        <v>68</v>
      </c>
      <c r="B70" s="14">
        <f>SUM(B3:B69)</f>
        <v>3417637</v>
      </c>
      <c r="C70" s="14">
        <f t="shared" ref="C70:G70" si="0">SUM(C3:C69)</f>
        <v>429058</v>
      </c>
      <c r="D70" s="14">
        <f t="shared" si="0"/>
        <v>3384915</v>
      </c>
      <c r="E70" s="14">
        <f t="shared" si="0"/>
        <v>249621</v>
      </c>
      <c r="F70" s="14">
        <f t="shared" si="0"/>
        <v>1299972</v>
      </c>
      <c r="G70" s="14">
        <f t="shared" si="0"/>
        <v>204471</v>
      </c>
    </row>
    <row r="71" spans="1:7" x14ac:dyDescent="0.2">
      <c r="G71" s="11"/>
    </row>
    <row r="72" spans="1:7" x14ac:dyDescent="0.2">
      <c r="G72" s="11"/>
    </row>
    <row r="73" spans="1:7" x14ac:dyDescent="0.2">
      <c r="A73" s="32" t="s">
        <v>80</v>
      </c>
      <c r="B73" s="14">
        <f>SUM(B70:G70)</f>
        <v>8985674</v>
      </c>
      <c r="D73" s="11"/>
      <c r="E73" s="11"/>
      <c r="G73" s="11"/>
    </row>
    <row r="74" spans="1:7" x14ac:dyDescent="0.2">
      <c r="D74" s="11"/>
      <c r="E74" s="11"/>
      <c r="G74" s="11"/>
    </row>
    <row r="75" spans="1:7" x14ac:dyDescent="0.2">
      <c r="D75" s="11"/>
      <c r="E75" s="11"/>
      <c r="G75" s="11"/>
    </row>
    <row r="76" spans="1:7" x14ac:dyDescent="0.2">
      <c r="D76" s="11"/>
      <c r="E76" s="11"/>
      <c r="G76" s="11"/>
    </row>
    <row r="77" spans="1:7" x14ac:dyDescent="0.2">
      <c r="D77" s="11"/>
      <c r="E77" s="11"/>
      <c r="G77" s="11"/>
    </row>
    <row r="78" spans="1:7" x14ac:dyDescent="0.2">
      <c r="D78" s="11"/>
      <c r="E78" s="11"/>
      <c r="G78" s="11"/>
    </row>
    <row r="79" spans="1:7" x14ac:dyDescent="0.2">
      <c r="D79" s="11"/>
      <c r="E79" s="11"/>
      <c r="G79" s="11"/>
    </row>
    <row r="80" spans="1:7" x14ac:dyDescent="0.2">
      <c r="D80" s="11"/>
      <c r="E80" s="11"/>
      <c r="G80" s="11"/>
    </row>
    <row r="81" spans="2:7" x14ac:dyDescent="0.2">
      <c r="D81" s="11"/>
      <c r="E81" s="11"/>
      <c r="G81" s="11"/>
    </row>
    <row r="82" spans="2:7" x14ac:dyDescent="0.2">
      <c r="B82" s="11"/>
      <c r="G82" s="11"/>
    </row>
    <row r="83" spans="2:7" x14ac:dyDescent="0.2">
      <c r="B83" s="11"/>
      <c r="G83" s="11"/>
    </row>
    <row r="84" spans="2:7" x14ac:dyDescent="0.2">
      <c r="G84" s="11"/>
    </row>
    <row r="85" spans="2:7" x14ac:dyDescent="0.2">
      <c r="B85" s="11"/>
      <c r="G85" s="11"/>
    </row>
    <row r="86" spans="2:7" x14ac:dyDescent="0.2">
      <c r="B86" s="11"/>
      <c r="G86" s="11"/>
    </row>
    <row r="87" spans="2:7" x14ac:dyDescent="0.2">
      <c r="G87" s="11"/>
    </row>
    <row r="88" spans="2:7" x14ac:dyDescent="0.2">
      <c r="G88" s="11"/>
    </row>
    <row r="89" spans="2:7" x14ac:dyDescent="0.2">
      <c r="G89" s="11"/>
    </row>
    <row r="90" spans="2:7" x14ac:dyDescent="0.2">
      <c r="G90" s="11"/>
    </row>
    <row r="91" spans="2:7" x14ac:dyDescent="0.2">
      <c r="G91" s="11"/>
    </row>
    <row r="92" spans="2:7" x14ac:dyDescent="0.2">
      <c r="G92" s="11"/>
    </row>
    <row r="93" spans="2:7" x14ac:dyDescent="0.2">
      <c r="G93" s="11"/>
    </row>
    <row r="94" spans="2:7" x14ac:dyDescent="0.2">
      <c r="G94" s="11"/>
    </row>
    <row r="95" spans="2:7" x14ac:dyDescent="0.2">
      <c r="G95" s="11"/>
    </row>
    <row r="96" spans="2:7" x14ac:dyDescent="0.2">
      <c r="G96" s="11"/>
    </row>
    <row r="97" spans="7:7" x14ac:dyDescent="0.2">
      <c r="G97" s="11"/>
    </row>
    <row r="98" spans="7:7" x14ac:dyDescent="0.2">
      <c r="G98" s="11"/>
    </row>
    <row r="99" spans="7:7" x14ac:dyDescent="0.2">
      <c r="G99" s="11"/>
    </row>
    <row r="100" spans="7:7" x14ac:dyDescent="0.2">
      <c r="G100" s="11"/>
    </row>
    <row r="101" spans="7:7" x14ac:dyDescent="0.2">
      <c r="G101" s="11"/>
    </row>
    <row r="102" spans="7:7" x14ac:dyDescent="0.2">
      <c r="G102" s="11"/>
    </row>
    <row r="103" spans="7:7" x14ac:dyDescent="0.2">
      <c r="G103" s="11"/>
    </row>
    <row r="104" spans="7:7" x14ac:dyDescent="0.2">
      <c r="G104" s="11"/>
    </row>
    <row r="105" spans="7:7" x14ac:dyDescent="0.2">
      <c r="G105" s="11"/>
    </row>
    <row r="106" spans="7:7" x14ac:dyDescent="0.2">
      <c r="G106" s="11"/>
    </row>
    <row r="107" spans="7:7" x14ac:dyDescent="0.2">
      <c r="G107" s="11"/>
    </row>
    <row r="108" spans="7:7" x14ac:dyDescent="0.2">
      <c r="G108" s="11"/>
    </row>
    <row r="109" spans="7:7" x14ac:dyDescent="0.2">
      <c r="G109" s="11"/>
    </row>
    <row r="110" spans="7:7" x14ac:dyDescent="0.2">
      <c r="G110" s="11"/>
    </row>
    <row r="111" spans="7:7" x14ac:dyDescent="0.2">
      <c r="G111" s="11"/>
    </row>
    <row r="112" spans="7:7" x14ac:dyDescent="0.2">
      <c r="G112" s="11"/>
    </row>
    <row r="113" spans="7:7" x14ac:dyDescent="0.2">
      <c r="G113" s="11"/>
    </row>
    <row r="114" spans="7:7" x14ac:dyDescent="0.2">
      <c r="G114" s="11"/>
    </row>
    <row r="115" spans="7:7" x14ac:dyDescent="0.2">
      <c r="G115" s="11"/>
    </row>
    <row r="116" spans="7:7" x14ac:dyDescent="0.2">
      <c r="G116" s="11"/>
    </row>
    <row r="117" spans="7:7" x14ac:dyDescent="0.2">
      <c r="G117" s="11"/>
    </row>
    <row r="118" spans="7:7" x14ac:dyDescent="0.2">
      <c r="G118" s="11"/>
    </row>
    <row r="119" spans="7:7" x14ac:dyDescent="0.2">
      <c r="G119" s="11"/>
    </row>
    <row r="120" spans="7:7" x14ac:dyDescent="0.2">
      <c r="G120" s="11"/>
    </row>
    <row r="121" spans="7:7" x14ac:dyDescent="0.2">
      <c r="G121" s="11"/>
    </row>
    <row r="122" spans="7:7" x14ac:dyDescent="0.2">
      <c r="G122" s="11"/>
    </row>
    <row r="123" spans="7:7" x14ac:dyDescent="0.2">
      <c r="G123" s="11"/>
    </row>
    <row r="124" spans="7:7" x14ac:dyDescent="0.2">
      <c r="G124" s="11"/>
    </row>
    <row r="125" spans="7:7" x14ac:dyDescent="0.2">
      <c r="G125" s="11"/>
    </row>
    <row r="126" spans="7:7" x14ac:dyDescent="0.2">
      <c r="G126" s="11"/>
    </row>
    <row r="127" spans="7:7" x14ac:dyDescent="0.2">
      <c r="G127" s="11"/>
    </row>
    <row r="128" spans="7:7" x14ac:dyDescent="0.2">
      <c r="G128" s="11"/>
    </row>
    <row r="129" spans="7:7" x14ac:dyDescent="0.2">
      <c r="G129" s="11"/>
    </row>
    <row r="130" spans="7:7" x14ac:dyDescent="0.2">
      <c r="G130" s="11"/>
    </row>
    <row r="131" spans="7:7" x14ac:dyDescent="0.2">
      <c r="G131" s="11"/>
    </row>
    <row r="132" spans="7:7" x14ac:dyDescent="0.2">
      <c r="G132" s="11"/>
    </row>
    <row r="133" spans="7:7" x14ac:dyDescent="0.2">
      <c r="G133" s="11"/>
    </row>
    <row r="134" spans="7:7" x14ac:dyDescent="0.2">
      <c r="G134" s="11"/>
    </row>
    <row r="135" spans="7:7" x14ac:dyDescent="0.2">
      <c r="G135" s="11"/>
    </row>
    <row r="136" spans="7:7" x14ac:dyDescent="0.2">
      <c r="G136" s="11"/>
    </row>
    <row r="137" spans="7:7" x14ac:dyDescent="0.2">
      <c r="G137" s="11"/>
    </row>
    <row r="138" spans="7:7" x14ac:dyDescent="0.2">
      <c r="G138" s="11"/>
    </row>
    <row r="139" spans="7:7" x14ac:dyDescent="0.2">
      <c r="G139" s="11"/>
    </row>
    <row r="140" spans="7:7" x14ac:dyDescent="0.2">
      <c r="G140" s="11"/>
    </row>
    <row r="141" spans="7:7" x14ac:dyDescent="0.2">
      <c r="G141" s="11"/>
    </row>
    <row r="142" spans="7:7" x14ac:dyDescent="0.2">
      <c r="G142" s="11"/>
    </row>
    <row r="143" spans="7:7" x14ac:dyDescent="0.2">
      <c r="G143" s="11"/>
    </row>
    <row r="144" spans="7:7" x14ac:dyDescent="0.2">
      <c r="G144" s="11"/>
    </row>
    <row r="145" spans="7:7" x14ac:dyDescent="0.2">
      <c r="G145" s="11"/>
    </row>
    <row r="146" spans="7:7" x14ac:dyDescent="0.2">
      <c r="G146" s="11"/>
    </row>
    <row r="147" spans="7:7" x14ac:dyDescent="0.2">
      <c r="G147" s="11"/>
    </row>
    <row r="148" spans="7:7" x14ac:dyDescent="0.2">
      <c r="G148" s="11"/>
    </row>
    <row r="149" spans="7:7" x14ac:dyDescent="0.2">
      <c r="G149" s="11"/>
    </row>
    <row r="150" spans="7:7" x14ac:dyDescent="0.2">
      <c r="G150" s="11"/>
    </row>
    <row r="151" spans="7:7" x14ac:dyDescent="0.2">
      <c r="G151" s="11"/>
    </row>
    <row r="152" spans="7:7" x14ac:dyDescent="0.2">
      <c r="G152" s="11"/>
    </row>
    <row r="153" spans="7:7" x14ac:dyDescent="0.2">
      <c r="G153" s="11"/>
    </row>
    <row r="154" spans="7:7" x14ac:dyDescent="0.2">
      <c r="G154" s="11"/>
    </row>
    <row r="155" spans="7:7" x14ac:dyDescent="0.2">
      <c r="G155" s="11"/>
    </row>
    <row r="156" spans="7:7" x14ac:dyDescent="0.2">
      <c r="G156" s="11"/>
    </row>
    <row r="157" spans="7:7" x14ac:dyDescent="0.2">
      <c r="G157" s="11"/>
    </row>
    <row r="158" spans="7:7" x14ac:dyDescent="0.2">
      <c r="G158" s="11"/>
    </row>
    <row r="159" spans="7:7" x14ac:dyDescent="0.2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4.25" x14ac:dyDescent="0.2"/>
  <cols>
    <col min="1" max="1" width="19.85546875" style="24" customWidth="1"/>
    <col min="2" max="2" width="9" style="10" customWidth="1"/>
    <col min="3" max="8" width="12.28515625" style="10" customWidth="1"/>
    <col min="10" max="10" width="6.42578125" customWidth="1"/>
    <col min="12" max="12" width="5.28515625" customWidth="1"/>
  </cols>
  <sheetData>
    <row r="1" spans="1:9" ht="15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5" thickBot="1" x14ac:dyDescent="0.25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ht="15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ht="15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Charpentier, William A.</cp:lastModifiedBy>
  <cp:lastPrinted>2013-07-08T13:20:55Z</cp:lastPrinted>
  <dcterms:created xsi:type="dcterms:W3CDTF">2008-03-11T20:46:20Z</dcterms:created>
  <dcterms:modified xsi:type="dcterms:W3CDTF">2026-08-31T13:01:58Z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