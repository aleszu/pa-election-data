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E3A34BBE-107F-415C-88A1-65DCBF4E0DBD}" xr6:coauthVersionLast="47" xr6:coauthVersionMax="47" xr10:uidLastSave="{00000000-0000-0000-0000-000000000000}"/>
  <bookViews>
    <workbookView xWindow="-28920" yWindow="-120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<sst xmlns="http://schemas.openxmlformats.org/spreadsheetml/2006/main" count="1139" uniqueCount="131">
  <si>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</si>
  <si>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</si>
  <si>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</si>
  <si>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</si>
  <si>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</si>
  <si>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</si>
  <si>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</si>
  <si>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</si>
  <si>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</si>
  <si>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</si>
  <si>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</si>
  <si>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</si>
  <si>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</si>
  <si>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</si>
  <si>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</si>
  <si>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</si>
  <si>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</si>
  <si>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</si>
  <si>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</si>
  <si>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</si>
  <si>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</si>
  <si>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</si>
  <si>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</si>
  <si>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</si>
  <si>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</si>
  <si>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</si>
  <si>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</si>
  <si>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</si>
  <si>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</si>
  <si>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</si>
  <si>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</si>
  <si>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</si>
  <si>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</si>
  <si>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</si>
  <si>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</si>
  <si>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</si>
  <si>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</si>
  <si>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</si>
  <si>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</si>
  <si>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</si>
  <si>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</si>
  <si>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</si>
  <si>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</si>
  <si>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</si>
  <si>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</si>
  <si>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</si>
  <si>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</si>
  <si>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</si>
  <si>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</si>
  <si>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</si>
  <si>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</si>
  <si>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</si>
  <si>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</si>
  <si>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</si>
  <si>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</si>
  <si>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</si>
  <si>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</si>
  <si>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</si>
  <si>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</si>
  <si>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</si>
  <si>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</si>
  <si>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</si>
  <si>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</si>
  <si>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</si>
  <si>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</si>
  <si>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</si>
  <si>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</si>
  <si>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</si>
  <si>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</si>
  <si>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</si>
  <si>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</si>
  <si>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</si>
  <si>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</si>
  <si>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</si>
  <si>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</si>
  <si>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</si>
  <si>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</si>
  <si>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</si>
  <si>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</si>
  <si>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</si>
  <si>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</si>
  <si>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</si>
  <si>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</si>
  <si>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</si>
  <si>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</si>
  <si>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</si>
  <si>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</si>
  <si>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</si>
  <si>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</si>
  <si>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</si>
  <si>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</si>
  <si>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</si>
  <si>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</si>
  <si>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</si>
  <si>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</si>
  <si>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</si>
  <si>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</si>
  <si>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</si>
  <si>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</si>
  <si>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</si>
  <si>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</si>
  <si>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</si>
  <si>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</si>
  <si>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</si>
  <si>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</si>
  <si>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</si>
  <si>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</si>
  <si>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</si>
  <si>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</si>
  <si>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</si>
  <si>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</si>
  <si>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</si>
  <si>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</si>
  <si>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</si>
  <si>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</si>
  <si>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</si>
  <si>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</si>
  <si>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</si>
  <si>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</si>
  <si>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</si>
  <si>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</si>
  <si>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</si>
  <si>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</si>
  <si>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</si>
  <si>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</si>
  <si>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</si>
  <si>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</si>
  <si>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</si>
  <si>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</si>
  <si>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08/17/2026</t>
  </si>
  <si>
    <t>Week Of 08-10-2026 to 08-17-2026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</si>
</sst>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M1" sqref="M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19175</v>
      </c>
      <c r="D3"/>
      <c r="E3">
        <v>44003</v>
      </c>
      <c r="F3"/>
      <c r="G3">
        <v>10683</v>
      </c>
      <c r="H3"/>
      <c r="I3">
        <v>2781</v>
      </c>
      <c r="K3" s="10">
        <f t="shared" ref="K3:K34" si="0">SUM(C3+E3+G3+I3)</f>
        <v>76642</v>
      </c>
    </row>
    <row r="4" spans="1:12" x14ac:dyDescent="0.25">
      <c r="A4" t="s">
        <v>2</v>
      </c>
      <c r="B4" s="1">
        <v>2291</v>
      </c>
      <c r="C4">
        <v>503272</v>
      </c>
      <c r="D4"/>
      <c r="E4">
        <v>263054</v>
      </c>
      <c r="F4"/>
      <c r="G4">
        <v>114143</v>
      </c>
      <c r="H4"/>
      <c r="I4">
        <v>36662</v>
      </c>
      <c r="K4" s="10">
        <f t="shared" si="0"/>
        <v>917131</v>
      </c>
    </row>
    <row r="5" spans="1:12" x14ac:dyDescent="0.25">
      <c r="A5" t="s">
        <v>3</v>
      </c>
      <c r="B5" s="1">
        <v>2292</v>
      </c>
      <c r="C5">
        <v>10657</v>
      </c>
      <c r="D5"/>
      <c r="E5">
        <v>27653</v>
      </c>
      <c r="F5"/>
      <c r="G5">
        <v>3719</v>
      </c>
      <c r="H5"/>
      <c r="I5">
        <v>1586</v>
      </c>
      <c r="K5" s="10">
        <f t="shared" si="0"/>
        <v>43615</v>
      </c>
    </row>
    <row r="6" spans="1:12" x14ac:dyDescent="0.25">
      <c r="A6" t="s">
        <v>4</v>
      </c>
      <c r="B6" s="1">
        <v>2293</v>
      </c>
      <c r="C6">
        <v>45716</v>
      </c>
      <c r="D6"/>
      <c r="E6">
        <v>51897</v>
      </c>
      <c r="F6"/>
      <c r="G6">
        <v>11803</v>
      </c>
      <c r="H6"/>
      <c r="I6">
        <v>4705</v>
      </c>
      <c r="K6" s="10">
        <f t="shared" si="0"/>
        <v>114121</v>
      </c>
    </row>
    <row r="7" spans="1:12" x14ac:dyDescent="0.25">
      <c r="A7" t="s">
        <v>5</v>
      </c>
      <c r="B7" s="1">
        <v>2294</v>
      </c>
      <c r="C7">
        <v>5264</v>
      </c>
      <c r="D7"/>
      <c r="E7">
        <v>24576</v>
      </c>
      <c r="F7"/>
      <c r="G7">
        <v>2313</v>
      </c>
      <c r="H7"/>
      <c r="I7">
        <v>891</v>
      </c>
      <c r="K7" s="10">
        <f t="shared" si="0"/>
        <v>33044</v>
      </c>
    </row>
    <row r="8" spans="1:12" x14ac:dyDescent="0.25">
      <c r="A8" t="s">
        <v>6</v>
      </c>
      <c r="B8" s="1">
        <v>2295</v>
      </c>
      <c r="C8">
        <v>104297</v>
      </c>
      <c r="D8"/>
      <c r="E8">
        <v>117969</v>
      </c>
      <c r="F8"/>
      <c r="G8">
        <v>41587</v>
      </c>
      <c r="H8"/>
      <c r="I8">
        <v>10373</v>
      </c>
      <c r="K8" s="10">
        <f t="shared" si="0"/>
        <v>274226</v>
      </c>
    </row>
    <row r="9" spans="1:12" x14ac:dyDescent="0.25">
      <c r="A9" t="s">
        <v>7</v>
      </c>
      <c r="B9" s="1">
        <v>2296</v>
      </c>
      <c r="C9">
        <v>19789</v>
      </c>
      <c r="D9"/>
      <c r="E9">
        <v>50584</v>
      </c>
      <c r="F9"/>
      <c r="G9">
        <v>8477</v>
      </c>
      <c r="H9"/>
      <c r="I9">
        <v>2701</v>
      </c>
      <c r="K9" s="10">
        <f t="shared" si="0"/>
        <v>81551</v>
      </c>
    </row>
    <row r="10" spans="1:12" x14ac:dyDescent="0.25">
      <c r="A10" t="s">
        <v>8</v>
      </c>
      <c r="B10" s="1">
        <v>2297</v>
      </c>
      <c r="C10">
        <v>7812</v>
      </c>
      <c r="D10"/>
      <c r="E10">
        <v>25631</v>
      </c>
      <c r="F10"/>
      <c r="G10">
        <v>3883</v>
      </c>
      <c r="H10"/>
      <c r="I10">
        <v>1531</v>
      </c>
      <c r="K10" s="10">
        <f t="shared" si="0"/>
        <v>38857</v>
      </c>
    </row>
    <row r="11" spans="1:12" x14ac:dyDescent="0.25">
      <c r="A11" t="s">
        <v>9</v>
      </c>
      <c r="B11" s="1">
        <v>2298</v>
      </c>
      <c r="C11">
        <v>193891</v>
      </c>
      <c r="D11"/>
      <c r="E11">
        <v>201816</v>
      </c>
      <c r="F11"/>
      <c r="G11">
        <v>70353</v>
      </c>
      <c r="H11"/>
      <c r="I11">
        <v>18287</v>
      </c>
      <c r="K11" s="10">
        <f t="shared" si="0"/>
        <v>484347</v>
      </c>
    </row>
    <row r="12" spans="1:12" x14ac:dyDescent="0.25">
      <c r="A12" t="s">
        <v>10</v>
      </c>
      <c r="B12" s="1">
        <v>2299</v>
      </c>
      <c r="C12">
        <v>39180</v>
      </c>
      <c r="D12"/>
      <c r="E12">
        <v>82875</v>
      </c>
      <c r="F12"/>
      <c r="G12">
        <v>16300</v>
      </c>
      <c r="H12"/>
      <c r="I12">
        <v>5157</v>
      </c>
      <c r="K12" s="10">
        <f t="shared" si="0"/>
        <v>143512</v>
      </c>
    </row>
    <row r="13" spans="1:12" x14ac:dyDescent="0.25">
      <c r="A13" t="s">
        <v>11</v>
      </c>
      <c r="B13" s="1">
        <v>2300</v>
      </c>
      <c r="C13">
        <v>29369</v>
      </c>
      <c r="D13"/>
      <c r="E13">
        <v>46491</v>
      </c>
      <c r="F13"/>
      <c r="G13">
        <v>7862</v>
      </c>
      <c r="H13"/>
      <c r="I13">
        <v>2130</v>
      </c>
      <c r="K13" s="10">
        <f t="shared" si="0"/>
        <v>85852</v>
      </c>
    </row>
    <row r="14" spans="1:12" x14ac:dyDescent="0.25">
      <c r="A14" t="s">
        <v>12</v>
      </c>
      <c r="B14" s="1">
        <v>2301</v>
      </c>
      <c r="C14">
        <v>664</v>
      </c>
      <c r="D14"/>
      <c r="E14">
        <v>1841</v>
      </c>
      <c r="F14"/>
      <c r="G14">
        <v>255</v>
      </c>
      <c r="H14"/>
      <c r="I14">
        <v>123</v>
      </c>
      <c r="K14" s="10">
        <f t="shared" si="0"/>
        <v>2883</v>
      </c>
    </row>
    <row r="15" spans="1:12" x14ac:dyDescent="0.25">
      <c r="A15" t="s">
        <v>13</v>
      </c>
      <c r="B15" s="1">
        <v>2302</v>
      </c>
      <c r="C15">
        <v>14092</v>
      </c>
      <c r="D15"/>
      <c r="E15">
        <v>23904</v>
      </c>
      <c r="F15"/>
      <c r="G15">
        <v>5850</v>
      </c>
      <c r="H15"/>
      <c r="I15">
        <v>1911</v>
      </c>
      <c r="K15" s="10">
        <f t="shared" si="0"/>
        <v>45757</v>
      </c>
    </row>
    <row r="16" spans="1:12" x14ac:dyDescent="0.25">
      <c r="A16" t="s">
        <v>14</v>
      </c>
      <c r="B16" s="1">
        <v>2303</v>
      </c>
      <c r="C16">
        <v>41332</v>
      </c>
      <c r="D16"/>
      <c r="E16">
        <v>41759</v>
      </c>
      <c r="F16"/>
      <c r="G16">
        <v>16070</v>
      </c>
      <c r="H16"/>
      <c r="I16">
        <v>2682</v>
      </c>
      <c r="K16" s="10">
        <f t="shared" si="0"/>
        <v>101843</v>
      </c>
    </row>
    <row r="17" spans="1:11" x14ac:dyDescent="0.25">
      <c r="A17" t="s">
        <v>15</v>
      </c>
      <c r="B17" s="1">
        <v>2304</v>
      </c>
      <c r="C17">
        <v>160728</v>
      </c>
      <c r="D17"/>
      <c r="E17">
        <v>151718</v>
      </c>
      <c r="F17"/>
      <c r="G17">
        <v>58624</v>
      </c>
      <c r="H17"/>
      <c r="I17">
        <v>17896</v>
      </c>
      <c r="K17" s="10">
        <f t="shared" si="0"/>
        <v>388966</v>
      </c>
    </row>
    <row r="18" spans="1:11" x14ac:dyDescent="0.25">
      <c r="A18" t="s">
        <v>16</v>
      </c>
      <c r="B18" s="1">
        <v>2305</v>
      </c>
      <c r="C18">
        <v>5057</v>
      </c>
      <c r="D18"/>
      <c r="E18">
        <v>15560</v>
      </c>
      <c r="F18"/>
      <c r="G18">
        <v>2084</v>
      </c>
      <c r="H18"/>
      <c r="I18">
        <v>643</v>
      </c>
      <c r="K18" s="10">
        <f t="shared" si="0"/>
        <v>23344</v>
      </c>
    </row>
    <row r="19" spans="1:11" x14ac:dyDescent="0.25">
      <c r="A19" t="s">
        <v>17</v>
      </c>
      <c r="B19" s="1">
        <v>2306</v>
      </c>
      <c r="C19">
        <v>12024</v>
      </c>
      <c r="D19"/>
      <c r="E19">
        <v>31439</v>
      </c>
      <c r="F19"/>
      <c r="G19">
        <v>4309</v>
      </c>
      <c r="H19"/>
      <c r="I19">
        <v>1786</v>
      </c>
      <c r="K19" s="10">
        <f t="shared" si="0"/>
        <v>49558</v>
      </c>
    </row>
    <row r="20" spans="1:11" x14ac:dyDescent="0.25">
      <c r="A20" t="s">
        <v>18</v>
      </c>
      <c r="B20" s="1">
        <v>2307</v>
      </c>
      <c r="C20">
        <v>6067</v>
      </c>
      <c r="D20"/>
      <c r="E20">
        <v>13280</v>
      </c>
      <c r="F20"/>
      <c r="G20">
        <v>2428</v>
      </c>
      <c r="H20"/>
      <c r="I20">
        <v>738</v>
      </c>
      <c r="K20" s="10">
        <f t="shared" si="0"/>
        <v>22513</v>
      </c>
    </row>
    <row r="21" spans="1:11" x14ac:dyDescent="0.25">
      <c r="A21" t="s">
        <v>19</v>
      </c>
      <c r="B21" s="1">
        <v>2308</v>
      </c>
      <c r="C21">
        <v>11750</v>
      </c>
      <c r="D21"/>
      <c r="E21">
        <v>22451</v>
      </c>
      <c r="F21"/>
      <c r="G21">
        <v>4864</v>
      </c>
      <c r="H21"/>
      <c r="I21">
        <v>1486</v>
      </c>
      <c r="K21" s="10">
        <f t="shared" si="0"/>
        <v>40551</v>
      </c>
    </row>
    <row r="22" spans="1:11" x14ac:dyDescent="0.25">
      <c r="A22" t="s">
        <v>20</v>
      </c>
      <c r="B22" s="1">
        <v>2309</v>
      </c>
      <c r="C22">
        <v>14395</v>
      </c>
      <c r="D22"/>
      <c r="E22">
        <v>31754</v>
      </c>
      <c r="F22"/>
      <c r="G22">
        <v>4945</v>
      </c>
      <c r="H22"/>
      <c r="I22">
        <v>1834</v>
      </c>
      <c r="K22" s="10">
        <f t="shared" si="0"/>
        <v>52928</v>
      </c>
    </row>
    <row r="23" spans="1:11" x14ac:dyDescent="0.25">
      <c r="A23" t="s">
        <v>21</v>
      </c>
      <c r="B23" s="1">
        <v>2310</v>
      </c>
      <c r="C23">
        <v>61681</v>
      </c>
      <c r="D23"/>
      <c r="E23">
        <v>88269</v>
      </c>
      <c r="F23"/>
      <c r="G23">
        <v>27225</v>
      </c>
      <c r="H23"/>
      <c r="I23">
        <v>6481</v>
      </c>
      <c r="K23" s="10">
        <f t="shared" si="0"/>
        <v>183656</v>
      </c>
    </row>
    <row r="24" spans="1:11" x14ac:dyDescent="0.25">
      <c r="A24" t="s">
        <v>22</v>
      </c>
      <c r="B24" s="1">
        <v>2311</v>
      </c>
      <c r="C24">
        <v>86563</v>
      </c>
      <c r="D24"/>
      <c r="E24">
        <v>75996</v>
      </c>
      <c r="F24"/>
      <c r="G24">
        <v>31258</v>
      </c>
      <c r="H24"/>
      <c r="I24">
        <v>7226</v>
      </c>
      <c r="K24" s="10">
        <f t="shared" si="0"/>
        <v>201043</v>
      </c>
    </row>
    <row r="25" spans="1:11" x14ac:dyDescent="0.25">
      <c r="A25" t="s">
        <v>23</v>
      </c>
      <c r="B25" s="1">
        <v>2312</v>
      </c>
      <c r="C25">
        <v>202770</v>
      </c>
      <c r="D25"/>
      <c r="E25">
        <v>142753</v>
      </c>
      <c r="F25"/>
      <c r="G25">
        <v>49304</v>
      </c>
      <c r="H25"/>
      <c r="I25">
        <v>15685</v>
      </c>
      <c r="K25" s="10">
        <f t="shared" si="0"/>
        <v>410512</v>
      </c>
    </row>
    <row r="26" spans="1:11" x14ac:dyDescent="0.25">
      <c r="A26" t="s">
        <v>24</v>
      </c>
      <c r="B26" s="1">
        <v>2313</v>
      </c>
      <c r="C26">
        <v>5775</v>
      </c>
      <c r="D26"/>
      <c r="E26">
        <v>12118</v>
      </c>
      <c r="F26"/>
      <c r="G26">
        <v>1776</v>
      </c>
      <c r="H26"/>
      <c r="I26">
        <v>780</v>
      </c>
      <c r="K26" s="10">
        <f t="shared" si="0"/>
        <v>20449</v>
      </c>
    </row>
    <row r="27" spans="1:11" x14ac:dyDescent="0.25">
      <c r="A27" t="s">
        <v>25</v>
      </c>
      <c r="B27" s="1">
        <v>2314</v>
      </c>
      <c r="C27">
        <v>76456</v>
      </c>
      <c r="D27"/>
      <c r="E27">
        <v>70810</v>
      </c>
      <c r="F27"/>
      <c r="G27">
        <v>20834</v>
      </c>
      <c r="H27"/>
      <c r="I27">
        <v>6652</v>
      </c>
      <c r="K27" s="10">
        <f t="shared" si="0"/>
        <v>174752</v>
      </c>
    </row>
    <row r="28" spans="1:11" x14ac:dyDescent="0.25">
      <c r="A28" t="s">
        <v>26</v>
      </c>
      <c r="B28" s="1">
        <v>2315</v>
      </c>
      <c r="C28">
        <v>29464</v>
      </c>
      <c r="D28"/>
      <c r="E28">
        <v>41307</v>
      </c>
      <c r="F28"/>
      <c r="G28">
        <v>6692</v>
      </c>
      <c r="H28"/>
      <c r="I28">
        <v>2065</v>
      </c>
      <c r="K28" s="10">
        <f t="shared" si="0"/>
        <v>79528</v>
      </c>
    </row>
    <row r="29" spans="1:11" x14ac:dyDescent="0.25">
      <c r="A29" t="s">
        <v>27</v>
      </c>
      <c r="B29" s="1">
        <v>2316</v>
      </c>
      <c r="C29">
        <v>783</v>
      </c>
      <c r="D29"/>
      <c r="E29">
        <v>2055</v>
      </c>
      <c r="F29"/>
      <c r="G29">
        <v>276</v>
      </c>
      <c r="H29"/>
      <c r="I29">
        <v>125</v>
      </c>
      <c r="K29" s="10">
        <f t="shared" si="0"/>
        <v>3239</v>
      </c>
    </row>
    <row r="30" spans="1:11" x14ac:dyDescent="0.25">
      <c r="A30" t="s">
        <v>28</v>
      </c>
      <c r="B30" s="1">
        <v>2317</v>
      </c>
      <c r="C30">
        <v>23495</v>
      </c>
      <c r="D30"/>
      <c r="E30">
        <v>64364</v>
      </c>
      <c r="F30"/>
      <c r="G30">
        <v>14129</v>
      </c>
      <c r="H30"/>
      <c r="I30">
        <v>3420</v>
      </c>
      <c r="K30" s="10">
        <f t="shared" si="0"/>
        <v>105408</v>
      </c>
    </row>
    <row r="31" spans="1:11" x14ac:dyDescent="0.25">
      <c r="A31" t="s">
        <v>29</v>
      </c>
      <c r="B31" s="1">
        <v>2318</v>
      </c>
      <c r="C31">
        <v>1472</v>
      </c>
      <c r="D31"/>
      <c r="E31">
        <v>7461</v>
      </c>
      <c r="F31"/>
      <c r="G31">
        <v>907</v>
      </c>
      <c r="H31"/>
      <c r="I31">
        <v>264</v>
      </c>
      <c r="K31" s="10">
        <f t="shared" si="0"/>
        <v>10104</v>
      </c>
    </row>
    <row r="32" spans="1:11" x14ac:dyDescent="0.25">
      <c r="A32" t="s">
        <v>30</v>
      </c>
      <c r="B32" s="1">
        <v>2319</v>
      </c>
      <c r="C32">
        <v>7363</v>
      </c>
      <c r="D32"/>
      <c r="E32">
        <v>12171</v>
      </c>
      <c r="F32"/>
      <c r="G32">
        <v>1654</v>
      </c>
      <c r="H32"/>
      <c r="I32">
        <v>601</v>
      </c>
      <c r="K32" s="10">
        <f t="shared" si="0"/>
        <v>21789</v>
      </c>
    </row>
    <row r="33" spans="1:11" x14ac:dyDescent="0.25">
      <c r="A33" t="s">
        <v>31</v>
      </c>
      <c r="B33" s="1">
        <v>2320</v>
      </c>
      <c r="C33">
        <v>6010</v>
      </c>
      <c r="D33"/>
      <c r="E33">
        <v>18912</v>
      </c>
      <c r="F33"/>
      <c r="G33">
        <v>2378</v>
      </c>
      <c r="H33"/>
      <c r="I33">
        <v>599</v>
      </c>
      <c r="K33" s="10">
        <f t="shared" si="0"/>
        <v>27899</v>
      </c>
    </row>
    <row r="34" spans="1:11" x14ac:dyDescent="0.25">
      <c r="A34" t="s">
        <v>32</v>
      </c>
      <c r="B34" s="1">
        <v>2321</v>
      </c>
      <c r="C34">
        <v>13893</v>
      </c>
      <c r="D34"/>
      <c r="E34">
        <v>28871</v>
      </c>
      <c r="F34"/>
      <c r="G34">
        <v>4677</v>
      </c>
      <c r="H34"/>
      <c r="I34">
        <v>1691</v>
      </c>
      <c r="K34" s="10">
        <f t="shared" si="0"/>
        <v>49132</v>
      </c>
    </row>
    <row r="35" spans="1:11" x14ac:dyDescent="0.25">
      <c r="A35" t="s">
        <v>33</v>
      </c>
      <c r="B35" s="1">
        <v>2322</v>
      </c>
      <c r="C35">
        <v>5441</v>
      </c>
      <c r="D35"/>
      <c r="E35">
        <v>19429</v>
      </c>
      <c r="F35"/>
      <c r="G35">
        <v>2291</v>
      </c>
      <c r="H35"/>
      <c r="I35">
        <v>934</v>
      </c>
      <c r="K35" s="10">
        <f t="shared" ref="K35:K69" si="1">SUM(C35+E35+G35+I35)</f>
        <v>28095</v>
      </c>
    </row>
    <row r="36" spans="1:11" x14ac:dyDescent="0.25">
      <c r="A36" t="s">
        <v>34</v>
      </c>
      <c r="B36" s="1">
        <v>2323</v>
      </c>
      <c r="C36">
        <v>2540</v>
      </c>
      <c r="D36"/>
      <c r="E36">
        <v>10024</v>
      </c>
      <c r="F36"/>
      <c r="G36">
        <v>1176</v>
      </c>
      <c r="H36"/>
      <c r="I36">
        <v>336</v>
      </c>
      <c r="K36" s="10">
        <f t="shared" si="1"/>
        <v>14076</v>
      </c>
    </row>
    <row r="37" spans="1:11" x14ac:dyDescent="0.25">
      <c r="A37" t="s">
        <v>35</v>
      </c>
      <c r="B37" s="1">
        <v>2324</v>
      </c>
      <c r="C37">
        <v>76708</v>
      </c>
      <c r="D37"/>
      <c r="E37">
        <v>52299</v>
      </c>
      <c r="F37"/>
      <c r="G37">
        <v>17333</v>
      </c>
      <c r="H37"/>
      <c r="I37">
        <v>3504</v>
      </c>
      <c r="K37" s="10">
        <f t="shared" si="1"/>
        <v>149844</v>
      </c>
    </row>
    <row r="38" spans="1:11" x14ac:dyDescent="0.25">
      <c r="A38" t="s">
        <v>36</v>
      </c>
      <c r="B38" s="1">
        <v>2325</v>
      </c>
      <c r="C38">
        <v>113009</v>
      </c>
      <c r="D38"/>
      <c r="E38">
        <v>183843</v>
      </c>
      <c r="F38"/>
      <c r="G38">
        <v>51628</v>
      </c>
      <c r="H38"/>
      <c r="I38">
        <v>16052</v>
      </c>
      <c r="K38" s="10">
        <f t="shared" si="1"/>
        <v>364532</v>
      </c>
    </row>
    <row r="39" spans="1:11" x14ac:dyDescent="0.25">
      <c r="A39" t="s">
        <v>37</v>
      </c>
      <c r="B39" s="1">
        <v>2326</v>
      </c>
      <c r="C39">
        <v>19680</v>
      </c>
      <c r="D39"/>
      <c r="E39">
        <v>30123</v>
      </c>
      <c r="F39"/>
      <c r="G39">
        <v>5635</v>
      </c>
      <c r="H39"/>
      <c r="I39">
        <v>1894</v>
      </c>
      <c r="K39" s="10">
        <f t="shared" si="1"/>
        <v>57332</v>
      </c>
    </row>
    <row r="40" spans="1:11" x14ac:dyDescent="0.25">
      <c r="A40" t="s">
        <v>38</v>
      </c>
      <c r="B40" s="1">
        <v>2327</v>
      </c>
      <c r="C40">
        <v>25448</v>
      </c>
      <c r="D40"/>
      <c r="E40">
        <v>52627</v>
      </c>
      <c r="F40"/>
      <c r="G40">
        <v>12307</v>
      </c>
      <c r="H40"/>
      <c r="I40">
        <v>3675</v>
      </c>
      <c r="K40" s="10">
        <f t="shared" si="1"/>
        <v>94057</v>
      </c>
    </row>
    <row r="41" spans="1:11" x14ac:dyDescent="0.25">
      <c r="A41" t="s">
        <v>39</v>
      </c>
      <c r="B41" s="1">
        <v>2328</v>
      </c>
      <c r="C41">
        <v>111593</v>
      </c>
      <c r="D41"/>
      <c r="E41">
        <v>89467</v>
      </c>
      <c r="F41"/>
      <c r="G41">
        <v>45703</v>
      </c>
      <c r="H41"/>
      <c r="I41">
        <v>7351</v>
      </c>
      <c r="K41" s="10">
        <f t="shared" si="1"/>
        <v>254114</v>
      </c>
    </row>
    <row r="42" spans="1:11" x14ac:dyDescent="0.25">
      <c r="A42" t="s">
        <v>40</v>
      </c>
      <c r="B42" s="1">
        <v>2329</v>
      </c>
      <c r="C42">
        <v>85181</v>
      </c>
      <c r="D42"/>
      <c r="E42">
        <v>90919</v>
      </c>
      <c r="F42"/>
      <c r="G42">
        <v>25795</v>
      </c>
      <c r="H42"/>
      <c r="I42">
        <v>5693</v>
      </c>
      <c r="K42" s="10">
        <f t="shared" si="1"/>
        <v>207588</v>
      </c>
    </row>
    <row r="43" spans="1:11" x14ac:dyDescent="0.25">
      <c r="A43" t="s">
        <v>41</v>
      </c>
      <c r="B43" s="1">
        <v>2330</v>
      </c>
      <c r="C43">
        <v>18199</v>
      </c>
      <c r="D43"/>
      <c r="E43">
        <v>43752</v>
      </c>
      <c r="F43"/>
      <c r="G43">
        <v>7992</v>
      </c>
      <c r="H43"/>
      <c r="I43">
        <v>2718</v>
      </c>
      <c r="K43" s="10">
        <f t="shared" si="1"/>
        <v>72661</v>
      </c>
    </row>
    <row r="44" spans="1:11" x14ac:dyDescent="0.25">
      <c r="A44" t="s">
        <v>91</v>
      </c>
      <c r="B44" s="1">
        <v>2331</v>
      </c>
      <c r="C44">
        <v>5287</v>
      </c>
      <c r="D44"/>
      <c r="E44">
        <v>16169</v>
      </c>
      <c r="F44"/>
      <c r="G44">
        <v>2703</v>
      </c>
      <c r="H44"/>
      <c r="I44">
        <v>1027</v>
      </c>
      <c r="K44" s="10">
        <f t="shared" si="1"/>
        <v>25186</v>
      </c>
    </row>
    <row r="45" spans="1:11" x14ac:dyDescent="0.25">
      <c r="A45" t="s">
        <v>43</v>
      </c>
      <c r="B45" s="1">
        <v>2332</v>
      </c>
      <c r="C45">
        <v>23120</v>
      </c>
      <c r="D45"/>
      <c r="E45">
        <v>38297</v>
      </c>
      <c r="F45"/>
      <c r="G45">
        <v>8423</v>
      </c>
      <c r="H45"/>
      <c r="I45">
        <v>2034</v>
      </c>
      <c r="K45" s="10">
        <f t="shared" si="1"/>
        <v>71874</v>
      </c>
    </row>
    <row r="46" spans="1:11" x14ac:dyDescent="0.25">
      <c r="A46" t="s">
        <v>44</v>
      </c>
      <c r="B46" s="1">
        <v>2333</v>
      </c>
      <c r="C46">
        <v>5374</v>
      </c>
      <c r="D46"/>
      <c r="E46">
        <v>18633</v>
      </c>
      <c r="F46"/>
      <c r="G46">
        <v>2508</v>
      </c>
      <c r="H46"/>
      <c r="I46">
        <v>623</v>
      </c>
      <c r="K46" s="10">
        <f t="shared" si="1"/>
        <v>27138</v>
      </c>
    </row>
    <row r="47" spans="1:11" x14ac:dyDescent="0.25">
      <c r="A47" t="s">
        <v>45</v>
      </c>
      <c r="B47" s="1">
        <v>2334</v>
      </c>
      <c r="C47">
        <v>48532</v>
      </c>
      <c r="D47"/>
      <c r="E47">
        <v>43293</v>
      </c>
      <c r="F47"/>
      <c r="G47">
        <v>20657</v>
      </c>
      <c r="H47"/>
      <c r="I47">
        <v>4989</v>
      </c>
      <c r="K47" s="10">
        <f t="shared" si="1"/>
        <v>117471</v>
      </c>
    </row>
    <row r="48" spans="1:11" x14ac:dyDescent="0.25">
      <c r="A48" t="s">
        <v>46</v>
      </c>
      <c r="B48" s="1">
        <v>2335</v>
      </c>
      <c r="C48">
        <v>305424</v>
      </c>
      <c r="D48"/>
      <c r="E48">
        <v>207742</v>
      </c>
      <c r="F48"/>
      <c r="G48">
        <v>84597</v>
      </c>
      <c r="H48"/>
      <c r="I48">
        <v>25962</v>
      </c>
      <c r="K48" s="10">
        <f t="shared" si="1"/>
        <v>623725</v>
      </c>
    </row>
    <row r="49" spans="1:11" x14ac:dyDescent="0.25">
      <c r="A49" t="s">
        <v>47</v>
      </c>
      <c r="B49" s="1">
        <v>2336</v>
      </c>
      <c r="C49">
        <v>3779</v>
      </c>
      <c r="D49"/>
      <c r="E49">
        <v>6556</v>
      </c>
      <c r="F49"/>
      <c r="G49">
        <v>1622</v>
      </c>
      <c r="H49"/>
      <c r="I49">
        <v>412</v>
      </c>
      <c r="K49" s="10">
        <f t="shared" si="1"/>
        <v>12369</v>
      </c>
    </row>
    <row r="50" spans="1:11" x14ac:dyDescent="0.25">
      <c r="A50" t="s">
        <v>48</v>
      </c>
      <c r="B50" s="1">
        <v>2337</v>
      </c>
      <c r="C50">
        <v>96003</v>
      </c>
      <c r="D50"/>
      <c r="E50">
        <v>86809</v>
      </c>
      <c r="F50"/>
      <c r="G50">
        <v>39783</v>
      </c>
      <c r="H50"/>
      <c r="I50">
        <v>9571</v>
      </c>
      <c r="K50" s="10">
        <f t="shared" si="1"/>
        <v>232166</v>
      </c>
    </row>
    <row r="51" spans="1:11" x14ac:dyDescent="0.25">
      <c r="A51" t="s">
        <v>49</v>
      </c>
      <c r="B51" s="1">
        <v>2338</v>
      </c>
      <c r="C51">
        <v>15351</v>
      </c>
      <c r="D51"/>
      <c r="E51">
        <v>31927</v>
      </c>
      <c r="F51"/>
      <c r="G51">
        <v>5830</v>
      </c>
      <c r="H51"/>
      <c r="I51">
        <v>2239</v>
      </c>
      <c r="K51" s="10">
        <f t="shared" si="1"/>
        <v>55347</v>
      </c>
    </row>
    <row r="52" spans="1:11" x14ac:dyDescent="0.25">
      <c r="A52" t="s">
        <v>50</v>
      </c>
      <c r="B52" s="1">
        <v>2339</v>
      </c>
      <c r="C52">
        <v>6024</v>
      </c>
      <c r="D52"/>
      <c r="E52">
        <v>20934</v>
      </c>
      <c r="F52"/>
      <c r="G52">
        <v>3439</v>
      </c>
      <c r="H52"/>
      <c r="I52">
        <v>851</v>
      </c>
      <c r="K52" s="10">
        <f t="shared" si="1"/>
        <v>31248</v>
      </c>
    </row>
    <row r="53" spans="1:11" x14ac:dyDescent="0.25">
      <c r="A53" t="s">
        <v>51</v>
      </c>
      <c r="B53" s="1">
        <v>2340</v>
      </c>
      <c r="C53">
        <v>777592</v>
      </c>
      <c r="D53"/>
      <c r="E53">
        <v>131114</v>
      </c>
      <c r="F53"/>
      <c r="G53">
        <v>152164</v>
      </c>
      <c r="H53"/>
      <c r="I53">
        <v>26342</v>
      </c>
      <c r="K53" s="10">
        <f t="shared" si="1"/>
        <v>1087212</v>
      </c>
    </row>
    <row r="54" spans="1:11" x14ac:dyDescent="0.25">
      <c r="A54" t="s">
        <v>52</v>
      </c>
      <c r="B54" s="1">
        <v>2341</v>
      </c>
      <c r="C54">
        <v>13608</v>
      </c>
      <c r="D54"/>
      <c r="E54">
        <v>23081</v>
      </c>
      <c r="F54"/>
      <c r="G54">
        <v>8490</v>
      </c>
      <c r="H54"/>
      <c r="I54">
        <v>2148</v>
      </c>
      <c r="K54" s="10">
        <f t="shared" si="1"/>
        <v>47327</v>
      </c>
    </row>
    <row r="55" spans="1:11" x14ac:dyDescent="0.25">
      <c r="A55" t="s">
        <v>53</v>
      </c>
      <c r="B55" s="1">
        <v>2342</v>
      </c>
      <c r="C55">
        <v>1739</v>
      </c>
      <c r="D55"/>
      <c r="E55">
        <v>8010</v>
      </c>
      <c r="F55"/>
      <c r="G55">
        <v>992</v>
      </c>
      <c r="H55"/>
      <c r="I55">
        <v>272</v>
      </c>
      <c r="K55" s="10">
        <f t="shared" si="1"/>
        <v>11013</v>
      </c>
    </row>
    <row r="56" spans="1:11" x14ac:dyDescent="0.25">
      <c r="A56" t="s">
        <v>54</v>
      </c>
      <c r="B56" s="1">
        <v>2343</v>
      </c>
      <c r="C56">
        <v>25358</v>
      </c>
      <c r="D56"/>
      <c r="E56">
        <v>53186</v>
      </c>
      <c r="F56"/>
      <c r="G56">
        <v>10131</v>
      </c>
      <c r="H56"/>
      <c r="I56">
        <v>3773</v>
      </c>
      <c r="K56" s="10">
        <f t="shared" si="1"/>
        <v>92448</v>
      </c>
    </row>
    <row r="57" spans="1:11" x14ac:dyDescent="0.25">
      <c r="A57" t="s">
        <v>55</v>
      </c>
      <c r="B57" s="1">
        <v>2344</v>
      </c>
      <c r="C57">
        <v>4883</v>
      </c>
      <c r="D57"/>
      <c r="E57">
        <v>15951</v>
      </c>
      <c r="F57"/>
      <c r="G57">
        <v>2355</v>
      </c>
      <c r="H57"/>
      <c r="I57">
        <v>671</v>
      </c>
      <c r="K57" s="10">
        <f t="shared" si="1"/>
        <v>23860</v>
      </c>
    </row>
    <row r="58" spans="1:11" x14ac:dyDescent="0.25">
      <c r="A58" t="s">
        <v>56</v>
      </c>
      <c r="B58" s="1">
        <v>2345</v>
      </c>
      <c r="C58">
        <v>10473</v>
      </c>
      <c r="D58"/>
      <c r="E58">
        <v>32810</v>
      </c>
      <c r="F58"/>
      <c r="G58">
        <v>4388</v>
      </c>
      <c r="H58"/>
      <c r="I58">
        <v>767</v>
      </c>
      <c r="K58" s="10">
        <f t="shared" si="1"/>
        <v>48438</v>
      </c>
    </row>
    <row r="59" spans="1:11" x14ac:dyDescent="0.25">
      <c r="A59" t="s">
        <v>57</v>
      </c>
      <c r="B59" s="1">
        <v>2346</v>
      </c>
      <c r="C59">
        <v>1068</v>
      </c>
      <c r="D59"/>
      <c r="E59">
        <v>2852</v>
      </c>
      <c r="F59"/>
      <c r="G59">
        <v>379</v>
      </c>
      <c r="H59"/>
      <c r="I59">
        <v>162</v>
      </c>
      <c r="K59" s="10">
        <f t="shared" si="1"/>
        <v>4461</v>
      </c>
    </row>
    <row r="60" spans="1:11" x14ac:dyDescent="0.25">
      <c r="A60" t="s">
        <v>58</v>
      </c>
      <c r="B60" s="1">
        <v>2347</v>
      </c>
      <c r="C60">
        <v>6232</v>
      </c>
      <c r="D60"/>
      <c r="E60">
        <v>17453</v>
      </c>
      <c r="F60"/>
      <c r="G60">
        <v>2939</v>
      </c>
      <c r="H60"/>
      <c r="I60">
        <v>1146</v>
      </c>
      <c r="K60" s="10">
        <f t="shared" si="1"/>
        <v>27770</v>
      </c>
    </row>
    <row r="61" spans="1:11" x14ac:dyDescent="0.25">
      <c r="A61" t="s">
        <v>59</v>
      </c>
      <c r="B61" s="1">
        <v>2348</v>
      </c>
      <c r="C61">
        <v>4928</v>
      </c>
      <c r="D61"/>
      <c r="E61">
        <v>18109</v>
      </c>
      <c r="F61"/>
      <c r="G61">
        <v>2962</v>
      </c>
      <c r="H61"/>
      <c r="I61">
        <v>797</v>
      </c>
      <c r="K61" s="10">
        <f t="shared" si="1"/>
        <v>26796</v>
      </c>
    </row>
    <row r="62" spans="1:11" x14ac:dyDescent="0.25">
      <c r="A62" t="s">
        <v>60</v>
      </c>
      <c r="B62" s="1">
        <v>2349</v>
      </c>
      <c r="C62">
        <v>7798</v>
      </c>
      <c r="D62"/>
      <c r="E62">
        <v>14402</v>
      </c>
      <c r="F62"/>
      <c r="G62">
        <v>3243</v>
      </c>
      <c r="H62"/>
      <c r="I62">
        <v>977</v>
      </c>
      <c r="K62" s="10">
        <f t="shared" si="1"/>
        <v>26420</v>
      </c>
    </row>
    <row r="63" spans="1:11" x14ac:dyDescent="0.25">
      <c r="A63" t="s">
        <v>61</v>
      </c>
      <c r="B63" s="1">
        <v>2350</v>
      </c>
      <c r="C63">
        <v>8023</v>
      </c>
      <c r="D63"/>
      <c r="E63">
        <v>20134</v>
      </c>
      <c r="F63"/>
      <c r="G63">
        <v>3432</v>
      </c>
      <c r="H63"/>
      <c r="I63">
        <v>1218</v>
      </c>
      <c r="K63" s="10">
        <f t="shared" si="1"/>
        <v>32807</v>
      </c>
    </row>
    <row r="64" spans="1:11" x14ac:dyDescent="0.25">
      <c r="A64" t="s">
        <v>62</v>
      </c>
      <c r="B64" s="1">
        <v>2351</v>
      </c>
      <c r="C64">
        <v>6350</v>
      </c>
      <c r="D64"/>
      <c r="E64">
        <v>15240</v>
      </c>
      <c r="F64"/>
      <c r="G64">
        <v>2600</v>
      </c>
      <c r="H64"/>
      <c r="I64">
        <v>1247</v>
      </c>
      <c r="K64" s="10">
        <f t="shared" si="1"/>
        <v>25437</v>
      </c>
    </row>
    <row r="65" spans="1:11" x14ac:dyDescent="0.25">
      <c r="A65" t="s">
        <v>63</v>
      </c>
      <c r="B65" s="1">
        <v>2352</v>
      </c>
      <c r="C65">
        <v>52606</v>
      </c>
      <c r="D65"/>
      <c r="E65">
        <v>72679</v>
      </c>
      <c r="F65"/>
      <c r="G65">
        <v>15933</v>
      </c>
      <c r="H65"/>
      <c r="I65">
        <v>3776</v>
      </c>
      <c r="K65" s="10">
        <f t="shared" si="1"/>
        <v>144994</v>
      </c>
    </row>
    <row r="66" spans="1:11" x14ac:dyDescent="0.25">
      <c r="A66" t="s">
        <v>64</v>
      </c>
      <c r="B66" s="1">
        <v>2353</v>
      </c>
      <c r="C66">
        <v>8704</v>
      </c>
      <c r="D66"/>
      <c r="E66">
        <v>21741</v>
      </c>
      <c r="F66"/>
      <c r="G66">
        <v>5172</v>
      </c>
      <c r="H66"/>
      <c r="I66">
        <v>1049</v>
      </c>
      <c r="K66" s="10">
        <f t="shared" si="1"/>
        <v>36666</v>
      </c>
    </row>
    <row r="67" spans="1:11" x14ac:dyDescent="0.25">
      <c r="A67" t="s">
        <v>65</v>
      </c>
      <c r="B67" s="1">
        <v>2354</v>
      </c>
      <c r="C67">
        <v>86754</v>
      </c>
      <c r="D67"/>
      <c r="E67">
        <v>130821</v>
      </c>
      <c r="F67"/>
      <c r="G67">
        <v>23953</v>
      </c>
      <c r="H67"/>
      <c r="I67">
        <v>9190</v>
      </c>
      <c r="K67" s="10">
        <f t="shared" si="1"/>
        <v>250718</v>
      </c>
    </row>
    <row r="68" spans="1:11" x14ac:dyDescent="0.25">
      <c r="A68" t="s">
        <v>66</v>
      </c>
      <c r="B68" s="1">
        <v>2355</v>
      </c>
      <c r="C68">
        <v>4679</v>
      </c>
      <c r="D68"/>
      <c r="E68">
        <v>11325</v>
      </c>
      <c r="F68"/>
      <c r="G68">
        <v>1822</v>
      </c>
      <c r="H68"/>
      <c r="I68">
        <v>660</v>
      </c>
      <c r="K68" s="10">
        <f t="shared" si="1"/>
        <v>18486</v>
      </c>
    </row>
    <row r="69" spans="1:11" ht="13.8" thickBot="1" x14ac:dyDescent="0.3">
      <c r="A69" s="2" t="s">
        <v>67</v>
      </c>
      <c r="B69" s="5">
        <v>2356</v>
      </c>
      <c r="C69">
        <v>96549</v>
      </c>
      <c r="D69"/>
      <c r="E69">
        <v>168268</v>
      </c>
      <c r="F69"/>
      <c r="G69">
        <v>53952</v>
      </c>
      <c r="H69"/>
      <c r="I69">
        <v>8879</v>
      </c>
      <c r="J69" s="13"/>
      <c r="K69" s="10">
        <f t="shared" si="1"/>
        <v>327648</v>
      </c>
    </row>
    <row r="70" spans="1:11" ht="21.75" customHeight="1" x14ac:dyDescent="0.25">
      <c r="A70" s="6" t="s">
        <v>68</v>
      </c>
      <c r="C70" s="14">
        <f>SUM(C3:C69)</f>
        <v>3844293</v>
      </c>
      <c r="D70" s="14"/>
      <c r="E70" s="14">
        <f>SUM(E3:E69)</f>
        <v>3635361</v>
      </c>
      <c r="F70" s="14"/>
      <c r="G70" s="14">
        <f>SUM(G3:G69)</f>
        <v>1185991</v>
      </c>
      <c r="H70" s="14"/>
      <c r="I70" s="14">
        <f>SUM(I3:I69)</f>
        <v>314431</v>
      </c>
      <c r="J70" s="14"/>
      <c r="K70" s="44">
        <f>SUM(K3:K69)</f>
        <v>8980076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L3" sqref="L3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0</v>
      </c>
      <c r="C4" s="42">
        <v>4</v>
      </c>
      <c r="D4" s="42">
        <v>2</v>
      </c>
      <c r="E4" s="42">
        <v>3</v>
      </c>
      <c r="F4" s="42">
        <v>121</v>
      </c>
      <c r="G4" s="42">
        <v>148</v>
      </c>
      <c r="H4" s="42">
        <v>118</v>
      </c>
      <c r="I4" s="42">
        <v>157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43</v>
      </c>
      <c r="C5" s="42">
        <v>86</v>
      </c>
      <c r="D5" s="42">
        <v>49</v>
      </c>
      <c r="E5" s="42">
        <v>17</v>
      </c>
      <c r="F5" s="42">
        <v>1339</v>
      </c>
      <c r="G5" s="42">
        <v>2394</v>
      </c>
      <c r="H5" s="42">
        <v>1341</v>
      </c>
      <c r="I5" s="42">
        <v>656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2</v>
      </c>
      <c r="C6" s="42">
        <v>1</v>
      </c>
      <c r="D6" s="42">
        <v>1</v>
      </c>
      <c r="E6" s="42">
        <v>1</v>
      </c>
      <c r="F6" s="42">
        <v>38</v>
      </c>
      <c r="G6" s="42">
        <v>35</v>
      </c>
      <c r="H6" s="42">
        <v>104</v>
      </c>
      <c r="I6" s="42">
        <v>42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4</v>
      </c>
      <c r="C7" s="42">
        <v>1</v>
      </c>
      <c r="D7" s="42">
        <v>11</v>
      </c>
      <c r="E7" s="42">
        <v>2</v>
      </c>
      <c r="F7" s="42">
        <v>131</v>
      </c>
      <c r="G7" s="42">
        <v>179</v>
      </c>
      <c r="H7" s="42">
        <v>258</v>
      </c>
      <c r="I7" s="42">
        <v>100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0</v>
      </c>
      <c r="C8" s="42">
        <v>0</v>
      </c>
      <c r="D8" s="42">
        <v>2</v>
      </c>
      <c r="E8" s="42">
        <v>1</v>
      </c>
      <c r="F8" s="42">
        <v>19</v>
      </c>
      <c r="G8" s="42">
        <v>18</v>
      </c>
      <c r="H8" s="42">
        <v>29</v>
      </c>
      <c r="I8" s="42">
        <v>22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16</v>
      </c>
      <c r="C9" s="42">
        <v>22</v>
      </c>
      <c r="D9" s="42">
        <v>19</v>
      </c>
      <c r="E9" s="42">
        <v>8</v>
      </c>
      <c r="F9" s="42">
        <v>531</v>
      </c>
      <c r="G9" s="42">
        <v>798</v>
      </c>
      <c r="H9" s="42">
        <v>660</v>
      </c>
      <c r="I9" s="42">
        <v>502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2</v>
      </c>
      <c r="C10" s="42">
        <v>3</v>
      </c>
      <c r="D10" s="42">
        <v>3</v>
      </c>
      <c r="E10" s="42">
        <v>8</v>
      </c>
      <c r="F10" s="42">
        <v>103</v>
      </c>
      <c r="G10" s="42">
        <v>123</v>
      </c>
      <c r="H10" s="42">
        <v>106</v>
      </c>
      <c r="I10" s="42">
        <v>99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1</v>
      </c>
      <c r="C11" s="42">
        <v>0</v>
      </c>
      <c r="D11" s="42">
        <v>1</v>
      </c>
      <c r="E11" s="42">
        <v>2</v>
      </c>
      <c r="F11" s="42">
        <v>50</v>
      </c>
      <c r="G11" s="42">
        <v>49</v>
      </c>
      <c r="H11" s="42">
        <v>61</v>
      </c>
      <c r="I11" s="42">
        <v>72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22</v>
      </c>
      <c r="C12" s="42">
        <v>39</v>
      </c>
      <c r="D12" s="42">
        <v>26</v>
      </c>
      <c r="E12" s="42">
        <v>15</v>
      </c>
      <c r="F12" s="42">
        <v>985</v>
      </c>
      <c r="G12" s="42">
        <v>1572</v>
      </c>
      <c r="H12" s="42">
        <v>860</v>
      </c>
      <c r="I12" s="42">
        <v>882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190</v>
      </c>
      <c r="G13" s="42">
        <v>235</v>
      </c>
      <c r="H13" s="42">
        <v>156</v>
      </c>
      <c r="I13" s="42">
        <v>170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0</v>
      </c>
      <c r="C14" s="42">
        <v>0</v>
      </c>
      <c r="D14" s="42">
        <v>3</v>
      </c>
      <c r="E14" s="42">
        <v>1</v>
      </c>
      <c r="F14" s="42">
        <v>110</v>
      </c>
      <c r="G14" s="42">
        <v>91</v>
      </c>
      <c r="H14" s="42">
        <v>243</v>
      </c>
      <c r="I14" s="42">
        <v>91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1</v>
      </c>
      <c r="C15" s="42">
        <v>0</v>
      </c>
      <c r="D15" s="42">
        <v>1</v>
      </c>
      <c r="E15" s="42">
        <v>0</v>
      </c>
      <c r="F15" s="42">
        <v>3</v>
      </c>
      <c r="G15" s="42">
        <v>2</v>
      </c>
      <c r="H15" s="42">
        <v>10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4</v>
      </c>
      <c r="C16" s="42">
        <v>4</v>
      </c>
      <c r="D16" s="42">
        <v>7</v>
      </c>
      <c r="E16" s="42">
        <v>2</v>
      </c>
      <c r="F16" s="42">
        <v>64</v>
      </c>
      <c r="G16" s="42">
        <v>101</v>
      </c>
      <c r="H16" s="42">
        <v>95</v>
      </c>
      <c r="I16" s="42">
        <v>73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0</v>
      </c>
      <c r="C17" s="42">
        <v>0</v>
      </c>
      <c r="D17" s="42">
        <v>0</v>
      </c>
      <c r="E17" s="42">
        <v>1</v>
      </c>
      <c r="F17" s="42">
        <v>136</v>
      </c>
      <c r="G17" s="42">
        <v>180</v>
      </c>
      <c r="H17" s="42">
        <v>73</v>
      </c>
      <c r="I17" s="42">
        <v>98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8</v>
      </c>
      <c r="C18" s="42">
        <v>13</v>
      </c>
      <c r="D18" s="42">
        <v>9</v>
      </c>
      <c r="E18" s="42">
        <v>3</v>
      </c>
      <c r="F18" s="42">
        <v>770</v>
      </c>
      <c r="G18" s="42">
        <v>1286</v>
      </c>
      <c r="H18" s="42">
        <v>418</v>
      </c>
      <c r="I18" s="42">
        <v>599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4</v>
      </c>
      <c r="C19" s="42">
        <v>1</v>
      </c>
      <c r="D19" s="42">
        <v>3</v>
      </c>
      <c r="E19" s="42">
        <v>0</v>
      </c>
      <c r="F19" s="42">
        <v>19</v>
      </c>
      <c r="G19" s="42">
        <v>18</v>
      </c>
      <c r="H19" s="42">
        <v>34</v>
      </c>
      <c r="I19" s="42">
        <v>11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2</v>
      </c>
      <c r="C20" s="42">
        <v>2</v>
      </c>
      <c r="D20" s="42">
        <v>1</v>
      </c>
      <c r="E20" s="42">
        <v>1</v>
      </c>
      <c r="F20" s="42">
        <v>36</v>
      </c>
      <c r="G20" s="42">
        <v>50</v>
      </c>
      <c r="H20" s="42">
        <v>107</v>
      </c>
      <c r="I20" s="42">
        <v>68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1</v>
      </c>
      <c r="C21" s="42">
        <v>2</v>
      </c>
      <c r="D21" s="42">
        <v>1</v>
      </c>
      <c r="E21" s="42">
        <v>1</v>
      </c>
      <c r="F21" s="42">
        <v>28</v>
      </c>
      <c r="G21" s="42">
        <v>39</v>
      </c>
      <c r="H21" s="42">
        <v>39</v>
      </c>
      <c r="I21" s="42">
        <v>37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2</v>
      </c>
      <c r="C22" s="42">
        <v>2</v>
      </c>
      <c r="D22" s="42">
        <v>0</v>
      </c>
      <c r="E22" s="42">
        <v>4</v>
      </c>
      <c r="F22" s="42">
        <v>49</v>
      </c>
      <c r="G22" s="42">
        <v>58</v>
      </c>
      <c r="H22" s="42">
        <v>60</v>
      </c>
      <c r="I22" s="42">
        <v>44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2</v>
      </c>
      <c r="C23" s="42">
        <v>3</v>
      </c>
      <c r="D23" s="42">
        <v>1</v>
      </c>
      <c r="E23" s="42">
        <v>1</v>
      </c>
      <c r="F23" s="42">
        <v>59</v>
      </c>
      <c r="G23" s="42">
        <v>51</v>
      </c>
      <c r="H23" s="42">
        <v>63</v>
      </c>
      <c r="I23" s="42">
        <v>47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7</v>
      </c>
      <c r="C24" s="42">
        <v>22</v>
      </c>
      <c r="D24" s="42">
        <v>9</v>
      </c>
      <c r="E24" s="42">
        <v>6</v>
      </c>
      <c r="F24" s="42">
        <v>435</v>
      </c>
      <c r="G24" s="42">
        <v>629</v>
      </c>
      <c r="H24" s="42">
        <v>283</v>
      </c>
      <c r="I24" s="42">
        <v>390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17</v>
      </c>
      <c r="C25" s="42">
        <v>44</v>
      </c>
      <c r="D25" s="42">
        <v>13</v>
      </c>
      <c r="E25" s="42">
        <v>10</v>
      </c>
      <c r="F25" s="42">
        <v>671</v>
      </c>
      <c r="G25" s="42">
        <v>1322</v>
      </c>
      <c r="H25" s="42">
        <v>396</v>
      </c>
      <c r="I25" s="42">
        <v>344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22</v>
      </c>
      <c r="C26" s="42">
        <v>19</v>
      </c>
      <c r="D26" s="42">
        <v>13</v>
      </c>
      <c r="E26" s="42">
        <v>8</v>
      </c>
      <c r="F26" s="42">
        <v>775</v>
      </c>
      <c r="G26" s="42">
        <v>935</v>
      </c>
      <c r="H26" s="42">
        <v>487</v>
      </c>
      <c r="I26" s="42">
        <v>265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19</v>
      </c>
      <c r="G27" s="42">
        <v>17</v>
      </c>
      <c r="H27" s="42">
        <v>46</v>
      </c>
      <c r="I27" s="42">
        <v>16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5</v>
      </c>
      <c r="C28" s="42">
        <v>5</v>
      </c>
      <c r="D28" s="42">
        <v>8</v>
      </c>
      <c r="E28" s="42">
        <v>4</v>
      </c>
      <c r="F28" s="42">
        <v>303</v>
      </c>
      <c r="G28" s="42">
        <v>313</v>
      </c>
      <c r="H28" s="42">
        <v>314</v>
      </c>
      <c r="I28" s="42">
        <v>152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2</v>
      </c>
      <c r="C29" s="42">
        <v>1</v>
      </c>
      <c r="D29" s="42">
        <v>4</v>
      </c>
      <c r="E29" s="42">
        <v>4</v>
      </c>
      <c r="F29" s="42">
        <v>110</v>
      </c>
      <c r="G29" s="42">
        <v>84</v>
      </c>
      <c r="H29" s="42">
        <v>272</v>
      </c>
      <c r="I29" s="42">
        <v>87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1</v>
      </c>
      <c r="C30" s="42">
        <v>0</v>
      </c>
      <c r="D30" s="42">
        <v>0</v>
      </c>
      <c r="E30" s="42">
        <v>0</v>
      </c>
      <c r="F30" s="42">
        <v>4</v>
      </c>
      <c r="G30" s="42">
        <v>0</v>
      </c>
      <c r="H30" s="42">
        <v>4</v>
      </c>
      <c r="I30" s="42">
        <v>3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4</v>
      </c>
      <c r="C31" s="42">
        <v>6</v>
      </c>
      <c r="D31" s="42">
        <v>2</v>
      </c>
      <c r="E31" s="42">
        <v>5</v>
      </c>
      <c r="F31" s="42">
        <v>179</v>
      </c>
      <c r="G31" s="42">
        <v>199</v>
      </c>
      <c r="H31" s="42">
        <v>144</v>
      </c>
      <c r="I31" s="42">
        <v>208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1</v>
      </c>
      <c r="D32" s="42">
        <v>0</v>
      </c>
      <c r="E32" s="42">
        <v>0</v>
      </c>
      <c r="F32" s="42">
        <v>6</v>
      </c>
      <c r="G32" s="42">
        <v>3</v>
      </c>
      <c r="H32" s="42">
        <v>18</v>
      </c>
      <c r="I32" s="42">
        <v>13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0</v>
      </c>
      <c r="D33" s="42">
        <v>2</v>
      </c>
      <c r="E33" s="42">
        <v>0</v>
      </c>
      <c r="F33" s="42">
        <v>21</v>
      </c>
      <c r="G33" s="42">
        <v>13</v>
      </c>
      <c r="H33" s="42">
        <v>95</v>
      </c>
      <c r="I33" s="42">
        <v>44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1</v>
      </c>
      <c r="C34" s="42">
        <v>1</v>
      </c>
      <c r="D34" s="42">
        <v>1</v>
      </c>
      <c r="E34" s="42">
        <v>2</v>
      </c>
      <c r="F34" s="42">
        <v>21</v>
      </c>
      <c r="G34" s="42">
        <v>27</v>
      </c>
      <c r="H34" s="42">
        <v>39</v>
      </c>
      <c r="I34" s="42">
        <v>23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4</v>
      </c>
      <c r="C35" s="42">
        <v>1</v>
      </c>
      <c r="D35" s="42">
        <v>0</v>
      </c>
      <c r="E35" s="42">
        <v>0</v>
      </c>
      <c r="F35" s="42">
        <v>41</v>
      </c>
      <c r="G35" s="42">
        <v>47</v>
      </c>
      <c r="H35" s="42">
        <v>85</v>
      </c>
      <c r="I35" s="42">
        <v>62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3</v>
      </c>
      <c r="C36" s="42">
        <v>2</v>
      </c>
      <c r="D36" s="42">
        <v>3</v>
      </c>
      <c r="E36" s="42">
        <v>2</v>
      </c>
      <c r="F36" s="42">
        <v>21</v>
      </c>
      <c r="G36" s="42">
        <v>29</v>
      </c>
      <c r="H36" s="42">
        <v>16</v>
      </c>
      <c r="I36" s="42">
        <v>26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1</v>
      </c>
      <c r="C37" s="42">
        <v>0</v>
      </c>
      <c r="D37" s="42">
        <v>0</v>
      </c>
      <c r="E37" s="42">
        <v>0</v>
      </c>
      <c r="F37" s="42">
        <v>14</v>
      </c>
      <c r="G37" s="42">
        <v>11</v>
      </c>
      <c r="H37" s="42">
        <v>14</v>
      </c>
      <c r="I37" s="42">
        <v>11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16</v>
      </c>
      <c r="C38" s="42">
        <v>14</v>
      </c>
      <c r="D38" s="42">
        <v>12</v>
      </c>
      <c r="E38" s="42">
        <v>3</v>
      </c>
      <c r="F38" s="42">
        <v>403</v>
      </c>
      <c r="G38" s="42">
        <v>408</v>
      </c>
      <c r="H38" s="42">
        <v>403</v>
      </c>
      <c r="I38" s="42">
        <v>157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16</v>
      </c>
      <c r="C39" s="42">
        <v>30</v>
      </c>
      <c r="D39" s="42">
        <v>21</v>
      </c>
      <c r="E39" s="42">
        <v>31</v>
      </c>
      <c r="F39" s="42">
        <v>777</v>
      </c>
      <c r="G39" s="42">
        <v>1173</v>
      </c>
      <c r="H39" s="42">
        <v>581</v>
      </c>
      <c r="I39" s="42">
        <v>803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5</v>
      </c>
      <c r="C40" s="42">
        <v>1</v>
      </c>
      <c r="D40" s="42">
        <v>1</v>
      </c>
      <c r="E40" s="42">
        <v>1</v>
      </c>
      <c r="F40" s="42">
        <v>61</v>
      </c>
      <c r="G40" s="42">
        <v>59</v>
      </c>
      <c r="H40" s="42">
        <v>111</v>
      </c>
      <c r="I40" s="42">
        <v>68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3</v>
      </c>
      <c r="C41" s="42">
        <v>2</v>
      </c>
      <c r="D41" s="42">
        <v>10</v>
      </c>
      <c r="E41" s="42">
        <v>6</v>
      </c>
      <c r="F41" s="42">
        <v>187</v>
      </c>
      <c r="G41" s="42">
        <v>169</v>
      </c>
      <c r="H41" s="42">
        <v>166</v>
      </c>
      <c r="I41" s="42">
        <v>174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26</v>
      </c>
      <c r="C42" s="42">
        <v>39</v>
      </c>
      <c r="D42" s="42">
        <v>20</v>
      </c>
      <c r="E42" s="42">
        <v>8</v>
      </c>
      <c r="F42" s="42">
        <v>670</v>
      </c>
      <c r="G42" s="42">
        <v>1021</v>
      </c>
      <c r="H42" s="42">
        <v>455</v>
      </c>
      <c r="I42" s="42">
        <v>318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20</v>
      </c>
      <c r="C43" s="42">
        <v>37</v>
      </c>
      <c r="D43" s="42">
        <v>12</v>
      </c>
      <c r="E43" s="42">
        <v>4</v>
      </c>
      <c r="F43" s="42">
        <v>470</v>
      </c>
      <c r="G43" s="42">
        <v>650</v>
      </c>
      <c r="H43" s="42">
        <v>571</v>
      </c>
      <c r="I43" s="42">
        <v>258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2</v>
      </c>
      <c r="C44" s="42">
        <v>0</v>
      </c>
      <c r="D44" s="42">
        <v>1</v>
      </c>
      <c r="E44" s="42">
        <v>5</v>
      </c>
      <c r="F44" s="42">
        <v>124</v>
      </c>
      <c r="G44" s="42">
        <v>120</v>
      </c>
      <c r="H44" s="42">
        <v>117</v>
      </c>
      <c r="I44" s="42">
        <v>140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0</v>
      </c>
      <c r="E45" s="42">
        <v>0</v>
      </c>
      <c r="F45" s="42">
        <v>19</v>
      </c>
      <c r="G45" s="42">
        <v>13</v>
      </c>
      <c r="H45" s="42">
        <v>9</v>
      </c>
      <c r="I45" s="42">
        <v>9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3</v>
      </c>
      <c r="C46" s="42">
        <v>1</v>
      </c>
      <c r="D46" s="42">
        <v>3</v>
      </c>
      <c r="E46" s="42">
        <v>1</v>
      </c>
      <c r="F46" s="42">
        <v>82</v>
      </c>
      <c r="G46" s="42">
        <v>106</v>
      </c>
      <c r="H46" s="42">
        <v>125</v>
      </c>
      <c r="I46" s="42">
        <v>72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1</v>
      </c>
      <c r="C47" s="42">
        <v>0</v>
      </c>
      <c r="D47" s="42">
        <v>2</v>
      </c>
      <c r="E47" s="42">
        <v>1</v>
      </c>
      <c r="F47" s="42">
        <v>31</v>
      </c>
      <c r="G47" s="42">
        <v>32</v>
      </c>
      <c r="H47" s="42">
        <v>36</v>
      </c>
      <c r="I47" s="42">
        <v>24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6</v>
      </c>
      <c r="C48" s="42">
        <v>12</v>
      </c>
      <c r="D48" s="42">
        <v>4</v>
      </c>
      <c r="E48" s="42">
        <v>7</v>
      </c>
      <c r="F48" s="42">
        <v>148</v>
      </c>
      <c r="G48" s="42">
        <v>319</v>
      </c>
      <c r="H48" s="42">
        <v>197</v>
      </c>
      <c r="I48" s="42">
        <v>213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35</v>
      </c>
      <c r="C49" s="42">
        <v>29</v>
      </c>
      <c r="D49" s="42">
        <v>20</v>
      </c>
      <c r="E49" s="42">
        <v>21</v>
      </c>
      <c r="F49" s="42">
        <v>1315</v>
      </c>
      <c r="G49" s="42">
        <v>1807</v>
      </c>
      <c r="H49" s="42">
        <v>950</v>
      </c>
      <c r="I49" s="42">
        <v>794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13</v>
      </c>
      <c r="G50" s="42">
        <v>10</v>
      </c>
      <c r="H50" s="42">
        <v>8</v>
      </c>
      <c r="I50" s="42">
        <v>6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11</v>
      </c>
      <c r="C51" s="42">
        <v>23</v>
      </c>
      <c r="D51" s="42">
        <v>12</v>
      </c>
      <c r="E51" s="42">
        <v>11</v>
      </c>
      <c r="F51" s="42">
        <v>468</v>
      </c>
      <c r="G51" s="42">
        <v>809</v>
      </c>
      <c r="H51" s="42">
        <v>475</v>
      </c>
      <c r="I51" s="42">
        <v>433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1</v>
      </c>
      <c r="C52" s="42">
        <v>4</v>
      </c>
      <c r="D52" s="42">
        <v>0</v>
      </c>
      <c r="E52" s="42">
        <v>5</v>
      </c>
      <c r="F52" s="42">
        <v>73</v>
      </c>
      <c r="G52" s="42">
        <v>73</v>
      </c>
      <c r="H52" s="42">
        <v>86</v>
      </c>
      <c r="I52" s="42">
        <v>51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1</v>
      </c>
      <c r="C53" s="42">
        <v>0</v>
      </c>
      <c r="D53" s="42">
        <v>4</v>
      </c>
      <c r="E53" s="42">
        <v>2</v>
      </c>
      <c r="F53" s="42">
        <v>44</v>
      </c>
      <c r="G53" s="42">
        <v>60</v>
      </c>
      <c r="H53" s="42">
        <v>51</v>
      </c>
      <c r="I53" s="42">
        <v>50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145</v>
      </c>
      <c r="C54" s="42">
        <v>426</v>
      </c>
      <c r="D54" s="42">
        <v>167</v>
      </c>
      <c r="E54" s="42">
        <v>128</v>
      </c>
      <c r="F54" s="42">
        <v>2083</v>
      </c>
      <c r="G54" s="42">
        <v>6258</v>
      </c>
      <c r="H54" s="42">
        <v>2181</v>
      </c>
      <c r="I54" s="42">
        <v>978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0</v>
      </c>
      <c r="C55" s="42">
        <v>6</v>
      </c>
      <c r="D55" s="42">
        <v>2</v>
      </c>
      <c r="E55" s="42">
        <v>7</v>
      </c>
      <c r="F55" s="42">
        <v>48</v>
      </c>
      <c r="G55" s="42">
        <v>84</v>
      </c>
      <c r="H55" s="42">
        <v>68</v>
      </c>
      <c r="I55" s="42">
        <v>107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1</v>
      </c>
      <c r="E56" s="42">
        <v>0</v>
      </c>
      <c r="F56" s="42">
        <v>5</v>
      </c>
      <c r="G56" s="42">
        <v>6</v>
      </c>
      <c r="H56" s="42">
        <v>12</v>
      </c>
      <c r="I56" s="42">
        <v>11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3</v>
      </c>
      <c r="C57" s="42">
        <v>4</v>
      </c>
      <c r="D57" s="42">
        <v>7</v>
      </c>
      <c r="E57" s="42">
        <v>2</v>
      </c>
      <c r="F57" s="42">
        <v>140</v>
      </c>
      <c r="G57" s="42">
        <v>128</v>
      </c>
      <c r="H57" s="42">
        <v>223</v>
      </c>
      <c r="I57" s="42">
        <v>137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0</v>
      </c>
      <c r="C58" s="42">
        <v>0</v>
      </c>
      <c r="D58" s="42">
        <v>0</v>
      </c>
      <c r="E58" s="42">
        <v>0</v>
      </c>
      <c r="F58" s="42">
        <v>19</v>
      </c>
      <c r="G58" s="42">
        <v>21</v>
      </c>
      <c r="H58" s="42">
        <v>13</v>
      </c>
      <c r="I58" s="42">
        <v>30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0</v>
      </c>
      <c r="C59" s="42">
        <v>0</v>
      </c>
      <c r="D59" s="42">
        <v>0</v>
      </c>
      <c r="E59" s="42">
        <v>0</v>
      </c>
      <c r="F59" s="42">
        <v>48</v>
      </c>
      <c r="G59" s="42">
        <v>48</v>
      </c>
      <c r="H59" s="42">
        <v>124</v>
      </c>
      <c r="I59" s="42">
        <v>88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7</v>
      </c>
      <c r="G60" s="42">
        <v>3</v>
      </c>
      <c r="H60" s="42">
        <v>7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0</v>
      </c>
      <c r="C61" s="42">
        <v>1</v>
      </c>
      <c r="D61" s="42">
        <v>0</v>
      </c>
      <c r="E61" s="42">
        <v>1</v>
      </c>
      <c r="F61" s="42">
        <v>37</v>
      </c>
      <c r="G61" s="42">
        <v>37</v>
      </c>
      <c r="H61" s="42">
        <v>35</v>
      </c>
      <c r="I61" s="42">
        <v>37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1</v>
      </c>
      <c r="C62" s="42">
        <v>3</v>
      </c>
      <c r="D62" s="42">
        <v>0</v>
      </c>
      <c r="E62" s="42">
        <v>3</v>
      </c>
      <c r="F62" s="42">
        <v>38</v>
      </c>
      <c r="G62" s="42">
        <v>42</v>
      </c>
      <c r="H62" s="42">
        <v>40</v>
      </c>
      <c r="I62" s="42">
        <v>48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2</v>
      </c>
      <c r="C63" s="42">
        <v>0</v>
      </c>
      <c r="D63" s="42">
        <v>1</v>
      </c>
      <c r="E63" s="42">
        <v>0</v>
      </c>
      <c r="F63" s="42">
        <v>19</v>
      </c>
      <c r="G63" s="42">
        <v>35</v>
      </c>
      <c r="H63" s="42">
        <v>22</v>
      </c>
      <c r="I63" s="42">
        <v>21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41</v>
      </c>
      <c r="G64" s="42">
        <v>48</v>
      </c>
      <c r="H64" s="42">
        <v>44</v>
      </c>
      <c r="I64" s="42">
        <v>40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0</v>
      </c>
      <c r="D65" s="42">
        <v>2</v>
      </c>
      <c r="E65" s="42">
        <v>0</v>
      </c>
      <c r="F65" s="42">
        <v>30</v>
      </c>
      <c r="G65" s="42">
        <v>38</v>
      </c>
      <c r="H65" s="42">
        <v>37</v>
      </c>
      <c r="I65" s="42">
        <v>34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1</v>
      </c>
      <c r="C66" s="42">
        <v>4</v>
      </c>
      <c r="D66" s="42">
        <v>3</v>
      </c>
      <c r="E66" s="42">
        <v>3</v>
      </c>
      <c r="F66" s="42">
        <v>172</v>
      </c>
      <c r="G66" s="42">
        <v>194</v>
      </c>
      <c r="H66" s="42">
        <v>303</v>
      </c>
      <c r="I66" s="42">
        <v>181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1</v>
      </c>
      <c r="C67" s="42">
        <v>3</v>
      </c>
      <c r="D67" s="42">
        <v>2</v>
      </c>
      <c r="E67" s="42">
        <v>9</v>
      </c>
      <c r="F67" s="42">
        <v>31</v>
      </c>
      <c r="G67" s="42">
        <v>54</v>
      </c>
      <c r="H67" s="42">
        <v>58</v>
      </c>
      <c r="I67" s="42">
        <v>62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6</v>
      </c>
      <c r="C68" s="42">
        <v>5</v>
      </c>
      <c r="D68" s="42">
        <v>13</v>
      </c>
      <c r="E68" s="42">
        <v>13</v>
      </c>
      <c r="F68" s="42">
        <v>333</v>
      </c>
      <c r="G68" s="42">
        <v>362</v>
      </c>
      <c r="H68" s="42">
        <v>509</v>
      </c>
      <c r="I68" s="42">
        <v>281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2</v>
      </c>
      <c r="C69" s="42">
        <v>5</v>
      </c>
      <c r="D69" s="42">
        <v>2</v>
      </c>
      <c r="E69" s="42">
        <v>0</v>
      </c>
      <c r="F69" s="42">
        <v>34</v>
      </c>
      <c r="G69" s="42">
        <v>31</v>
      </c>
      <c r="H69" s="42">
        <v>41</v>
      </c>
      <c r="I69" s="42">
        <v>31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14</v>
      </c>
      <c r="C70" s="42">
        <v>22</v>
      </c>
      <c r="D70" s="42">
        <v>17</v>
      </c>
      <c r="E70" s="42">
        <v>19</v>
      </c>
      <c r="F70" s="42">
        <v>678</v>
      </c>
      <c r="G70" s="42">
        <v>1040</v>
      </c>
      <c r="H70" s="42">
        <v>509</v>
      </c>
      <c r="I70" s="42">
        <v>654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502</v>
      </c>
      <c r="C71" s="67">
        <f>SUM(C4:C70)</f>
        <v>956</v>
      </c>
      <c r="D71" s="67">
        <f>SUM(D4:D70)</f>
        <v>534</v>
      </c>
      <c r="E71" s="67">
        <f>SUM(E4:E70)</f>
        <v>403</v>
      </c>
      <c r="F71" s="67">
        <f t="shared" ref="F71:I71" si="0">SUM(F4:F70)</f>
        <v>16049</v>
      </c>
      <c r="G71" s="67">
        <f t="shared" si="0"/>
        <v>26314</v>
      </c>
      <c r="H71" s="67">
        <f t="shared" si="0"/>
        <v>15615</v>
      </c>
      <c r="I71" s="67">
        <f t="shared" si="0"/>
        <v>11729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5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J17" sqref="J17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0" t="s">
        <v>130</v>
      </c>
      <c r="C1" s="91"/>
      <c r="D1" s="92" t="s">
        <v>126</v>
      </c>
      <c r="E1" s="93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2</v>
      </c>
      <c r="C3" s="53">
        <v>6</v>
      </c>
      <c r="D3" s="53">
        <v>115</v>
      </c>
      <c r="E3" s="53">
        <v>231</v>
      </c>
    </row>
    <row r="4" spans="1:5" x14ac:dyDescent="0.25">
      <c r="A4" s="42" t="s">
        <v>2</v>
      </c>
      <c r="B4" s="53">
        <v>118</v>
      </c>
      <c r="C4" s="53">
        <v>28</v>
      </c>
      <c r="D4" s="53">
        <v>1877</v>
      </c>
      <c r="E4" s="53">
        <v>1044</v>
      </c>
    </row>
    <row r="5" spans="1:5" x14ac:dyDescent="0.25">
      <c r="A5" s="42" t="s">
        <v>3</v>
      </c>
      <c r="B5" s="53">
        <v>2</v>
      </c>
      <c r="C5" s="53">
        <v>2</v>
      </c>
      <c r="D5" s="53">
        <v>21</v>
      </c>
      <c r="E5" s="53">
        <v>49</v>
      </c>
    </row>
    <row r="6" spans="1:5" x14ac:dyDescent="0.25">
      <c r="A6" s="42" t="s">
        <v>4</v>
      </c>
      <c r="B6" s="53">
        <v>5</v>
      </c>
      <c r="C6" s="53">
        <v>3</v>
      </c>
      <c r="D6" s="53">
        <v>92</v>
      </c>
      <c r="E6" s="53">
        <v>116</v>
      </c>
    </row>
    <row r="7" spans="1:5" x14ac:dyDescent="0.25">
      <c r="A7" s="42" t="s">
        <v>5</v>
      </c>
      <c r="B7" s="53">
        <v>2</v>
      </c>
      <c r="C7" s="53">
        <v>2</v>
      </c>
      <c r="D7" s="53">
        <v>8</v>
      </c>
      <c r="E7" s="53">
        <v>12</v>
      </c>
    </row>
    <row r="8" spans="1:5" x14ac:dyDescent="0.25">
      <c r="A8" s="42" t="s">
        <v>6</v>
      </c>
      <c r="B8" s="53">
        <v>30</v>
      </c>
      <c r="C8" s="53">
        <v>17</v>
      </c>
      <c r="D8" s="53">
        <v>906</v>
      </c>
      <c r="E8" s="53">
        <v>746</v>
      </c>
    </row>
    <row r="9" spans="1:5" x14ac:dyDescent="0.25">
      <c r="A9" s="42" t="s">
        <v>7</v>
      </c>
      <c r="B9" s="53">
        <v>3</v>
      </c>
      <c r="C9" s="53">
        <v>3</v>
      </c>
      <c r="D9" s="53">
        <v>78</v>
      </c>
      <c r="E9" s="53">
        <v>110</v>
      </c>
    </row>
    <row r="10" spans="1:5" x14ac:dyDescent="0.25">
      <c r="A10" s="42" t="s">
        <v>8</v>
      </c>
      <c r="B10" s="53">
        <v>1</v>
      </c>
      <c r="C10" s="53">
        <v>2</v>
      </c>
      <c r="D10" s="53">
        <v>34</v>
      </c>
      <c r="E10" s="53">
        <v>58</v>
      </c>
    </row>
    <row r="11" spans="1:5" x14ac:dyDescent="0.25">
      <c r="A11" s="42" t="s">
        <v>9</v>
      </c>
      <c r="B11" s="53">
        <v>41</v>
      </c>
      <c r="C11" s="53">
        <v>51</v>
      </c>
      <c r="D11" s="53">
        <v>1098</v>
      </c>
      <c r="E11" s="53">
        <v>1235</v>
      </c>
    </row>
    <row r="12" spans="1:5" x14ac:dyDescent="0.25">
      <c r="A12" s="42" t="s">
        <v>10</v>
      </c>
      <c r="B12" s="53">
        <v>0</v>
      </c>
      <c r="C12" s="53">
        <v>0</v>
      </c>
      <c r="D12" s="53">
        <v>116</v>
      </c>
      <c r="E12" s="53">
        <v>211</v>
      </c>
    </row>
    <row r="13" spans="1:5" x14ac:dyDescent="0.25">
      <c r="A13" s="42" t="s">
        <v>11</v>
      </c>
      <c r="B13" s="53">
        <v>0</v>
      </c>
      <c r="C13" s="53">
        <v>0</v>
      </c>
      <c r="D13" s="53">
        <v>98</v>
      </c>
      <c r="E13" s="53">
        <v>102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5" x14ac:dyDescent="0.25">
      <c r="A15" s="42" t="s">
        <v>13</v>
      </c>
      <c r="B15" s="53">
        <v>4</v>
      </c>
      <c r="C15" s="53">
        <v>2</v>
      </c>
      <c r="D15" s="53">
        <v>59</v>
      </c>
      <c r="E15" s="53">
        <v>71</v>
      </c>
    </row>
    <row r="16" spans="1:5" x14ac:dyDescent="0.25">
      <c r="A16" s="42" t="s">
        <v>14</v>
      </c>
      <c r="B16" s="53">
        <v>1</v>
      </c>
      <c r="C16" s="53">
        <v>0</v>
      </c>
      <c r="D16" s="53">
        <v>124</v>
      </c>
      <c r="E16" s="53">
        <v>116</v>
      </c>
    </row>
    <row r="17" spans="1:5" x14ac:dyDescent="0.25">
      <c r="A17" s="42" t="s">
        <v>15</v>
      </c>
      <c r="B17" s="53">
        <v>18</v>
      </c>
      <c r="C17" s="53">
        <v>19</v>
      </c>
      <c r="D17" s="53">
        <v>807</v>
      </c>
      <c r="E17" s="53">
        <v>828</v>
      </c>
    </row>
    <row r="18" spans="1:5" x14ac:dyDescent="0.25">
      <c r="A18" s="42" t="s">
        <v>16</v>
      </c>
      <c r="B18" s="53">
        <v>0</v>
      </c>
      <c r="C18" s="53">
        <v>0</v>
      </c>
      <c r="D18" s="53">
        <v>14</v>
      </c>
      <c r="E18" s="53">
        <v>25</v>
      </c>
    </row>
    <row r="19" spans="1:5" x14ac:dyDescent="0.25">
      <c r="A19" s="42" t="s">
        <v>17</v>
      </c>
      <c r="B19" s="53">
        <v>2</v>
      </c>
      <c r="C19" s="53">
        <v>3</v>
      </c>
      <c r="D19" s="53">
        <v>40</v>
      </c>
      <c r="E19" s="53">
        <v>59</v>
      </c>
    </row>
    <row r="20" spans="1:5" x14ac:dyDescent="0.25">
      <c r="A20" s="42" t="s">
        <v>18</v>
      </c>
      <c r="B20" s="53">
        <v>1</v>
      </c>
      <c r="C20" s="53">
        <v>0</v>
      </c>
      <c r="D20" s="53">
        <v>26</v>
      </c>
      <c r="E20" s="53">
        <v>39</v>
      </c>
    </row>
    <row r="21" spans="1:5" x14ac:dyDescent="0.25">
      <c r="A21" s="42" t="s">
        <v>19</v>
      </c>
      <c r="B21" s="53">
        <v>2</v>
      </c>
      <c r="C21" s="53">
        <v>0</v>
      </c>
      <c r="D21" s="53">
        <v>29</v>
      </c>
      <c r="E21" s="53">
        <v>52</v>
      </c>
    </row>
    <row r="22" spans="1:5" x14ac:dyDescent="0.25">
      <c r="A22" s="42" t="s">
        <v>20</v>
      </c>
      <c r="B22" s="53">
        <v>3</v>
      </c>
      <c r="C22" s="53">
        <v>1</v>
      </c>
      <c r="D22" s="53">
        <v>51</v>
      </c>
      <c r="E22" s="53">
        <v>52</v>
      </c>
    </row>
    <row r="23" spans="1:5" x14ac:dyDescent="0.25">
      <c r="A23" s="42" t="s">
        <v>21</v>
      </c>
      <c r="B23" s="53">
        <v>17</v>
      </c>
      <c r="C23" s="53">
        <v>16</v>
      </c>
      <c r="D23" s="53">
        <v>433</v>
      </c>
      <c r="E23" s="53">
        <v>507</v>
      </c>
    </row>
    <row r="24" spans="1:5" x14ac:dyDescent="0.25">
      <c r="A24" s="42" t="s">
        <v>22</v>
      </c>
      <c r="B24" s="53">
        <v>44</v>
      </c>
      <c r="C24" s="53">
        <v>18</v>
      </c>
      <c r="D24" s="53">
        <v>974</v>
      </c>
      <c r="E24" s="53">
        <v>541</v>
      </c>
    </row>
    <row r="25" spans="1:5" x14ac:dyDescent="0.25">
      <c r="A25" s="42" t="s">
        <v>23</v>
      </c>
      <c r="B25" s="53">
        <v>53</v>
      </c>
      <c r="C25" s="53">
        <v>11</v>
      </c>
      <c r="D25" s="53">
        <v>819</v>
      </c>
      <c r="E25" s="53">
        <v>512</v>
      </c>
    </row>
    <row r="26" spans="1:5" x14ac:dyDescent="0.25">
      <c r="A26" s="42" t="s">
        <v>24</v>
      </c>
      <c r="B26" s="53">
        <v>1</v>
      </c>
      <c r="C26" s="53">
        <v>1</v>
      </c>
      <c r="D26" s="53">
        <v>7</v>
      </c>
      <c r="E26" s="53">
        <v>25</v>
      </c>
    </row>
    <row r="27" spans="1:5" x14ac:dyDescent="0.25">
      <c r="A27" s="42" t="s">
        <v>25</v>
      </c>
      <c r="B27" s="53">
        <v>6</v>
      </c>
      <c r="C27" s="53">
        <v>1</v>
      </c>
      <c r="D27" s="53">
        <v>221</v>
      </c>
      <c r="E27" s="53">
        <v>187</v>
      </c>
    </row>
    <row r="28" spans="1:5" x14ac:dyDescent="0.25">
      <c r="A28" s="42" t="s">
        <v>26</v>
      </c>
      <c r="B28" s="53">
        <v>1</v>
      </c>
      <c r="C28" s="53">
        <v>2</v>
      </c>
      <c r="D28" s="53">
        <v>75</v>
      </c>
      <c r="E28" s="53">
        <v>87</v>
      </c>
    </row>
    <row r="29" spans="1:5" x14ac:dyDescent="0.25">
      <c r="A29" s="42" t="s">
        <v>27</v>
      </c>
      <c r="B29" s="53">
        <v>1</v>
      </c>
      <c r="C29" s="53">
        <v>0</v>
      </c>
      <c r="D29" s="53">
        <v>1</v>
      </c>
      <c r="E29" s="53">
        <v>1</v>
      </c>
    </row>
    <row r="30" spans="1:5" x14ac:dyDescent="0.25">
      <c r="A30" s="42" t="s">
        <v>28</v>
      </c>
      <c r="B30" s="53">
        <v>8</v>
      </c>
      <c r="C30" s="53">
        <v>9</v>
      </c>
      <c r="D30" s="53">
        <v>192</v>
      </c>
      <c r="E30" s="53">
        <v>311</v>
      </c>
    </row>
    <row r="31" spans="1:5" x14ac:dyDescent="0.25">
      <c r="A31" s="42" t="s">
        <v>29</v>
      </c>
      <c r="B31" s="53">
        <v>1</v>
      </c>
      <c r="C31" s="53">
        <v>0</v>
      </c>
      <c r="D31" s="53">
        <v>9</v>
      </c>
      <c r="E31" s="53">
        <v>15</v>
      </c>
    </row>
    <row r="32" spans="1:5" x14ac:dyDescent="0.25">
      <c r="A32" s="42" t="s">
        <v>30</v>
      </c>
      <c r="B32" s="53">
        <v>3</v>
      </c>
      <c r="C32" s="53">
        <v>1</v>
      </c>
      <c r="D32" s="53">
        <v>25</v>
      </c>
      <c r="E32" s="53">
        <v>20</v>
      </c>
    </row>
    <row r="33" spans="1:5" x14ac:dyDescent="0.25">
      <c r="A33" s="42" t="s">
        <v>31</v>
      </c>
      <c r="B33" s="53">
        <v>1</v>
      </c>
      <c r="C33" s="53">
        <v>2</v>
      </c>
      <c r="D33" s="53">
        <v>14</v>
      </c>
      <c r="E33" s="53">
        <v>19</v>
      </c>
    </row>
    <row r="34" spans="1:5" x14ac:dyDescent="0.25">
      <c r="A34" s="42" t="s">
        <v>32</v>
      </c>
      <c r="B34" s="53">
        <v>4</v>
      </c>
      <c r="C34" s="53">
        <v>3</v>
      </c>
      <c r="D34" s="53">
        <v>42</v>
      </c>
      <c r="E34" s="53">
        <v>45</v>
      </c>
    </row>
    <row r="35" spans="1:5" x14ac:dyDescent="0.25">
      <c r="A35" s="42" t="s">
        <v>33</v>
      </c>
      <c r="B35" s="53">
        <v>0</v>
      </c>
      <c r="C35" s="53">
        <v>4</v>
      </c>
      <c r="D35" s="53">
        <v>7</v>
      </c>
      <c r="E35" s="53">
        <v>22</v>
      </c>
    </row>
    <row r="36" spans="1:5" x14ac:dyDescent="0.25">
      <c r="A36" s="42" t="s">
        <v>34</v>
      </c>
      <c r="B36" s="53">
        <v>0</v>
      </c>
      <c r="C36" s="53">
        <v>0</v>
      </c>
      <c r="D36" s="53">
        <v>16</v>
      </c>
      <c r="E36" s="53">
        <v>14</v>
      </c>
    </row>
    <row r="37" spans="1:5" x14ac:dyDescent="0.25">
      <c r="A37" s="42" t="s">
        <v>35</v>
      </c>
      <c r="B37" s="53">
        <v>7</v>
      </c>
      <c r="C37" s="53">
        <v>9</v>
      </c>
      <c r="D37" s="53">
        <v>316</v>
      </c>
      <c r="E37" s="53">
        <v>257</v>
      </c>
    </row>
    <row r="38" spans="1:5" x14ac:dyDescent="0.25">
      <c r="A38" s="42" t="s">
        <v>36</v>
      </c>
      <c r="B38" s="53">
        <v>29</v>
      </c>
      <c r="C38" s="53">
        <v>46</v>
      </c>
      <c r="D38" s="53">
        <v>932</v>
      </c>
      <c r="E38" s="53">
        <v>1066</v>
      </c>
    </row>
    <row r="39" spans="1:5" x14ac:dyDescent="0.25">
      <c r="A39" s="42" t="s">
        <v>37</v>
      </c>
      <c r="B39" s="53">
        <v>2</v>
      </c>
      <c r="C39" s="53">
        <v>4</v>
      </c>
      <c r="D39" s="53">
        <v>48</v>
      </c>
      <c r="E39" s="53">
        <v>57</v>
      </c>
    </row>
    <row r="40" spans="1:5" x14ac:dyDescent="0.25">
      <c r="A40" s="42" t="s">
        <v>38</v>
      </c>
      <c r="B40" s="53">
        <v>5</v>
      </c>
      <c r="C40" s="53">
        <v>2</v>
      </c>
      <c r="D40" s="53">
        <v>142</v>
      </c>
      <c r="E40" s="53">
        <v>150</v>
      </c>
    </row>
    <row r="41" spans="1:5" x14ac:dyDescent="0.25">
      <c r="A41" s="42" t="s">
        <v>39</v>
      </c>
      <c r="B41" s="53">
        <v>18</v>
      </c>
      <c r="C41" s="53">
        <v>27</v>
      </c>
      <c r="D41" s="53">
        <v>663</v>
      </c>
      <c r="E41" s="53">
        <v>468</v>
      </c>
    </row>
    <row r="42" spans="1:5" x14ac:dyDescent="0.25">
      <c r="A42" s="42" t="s">
        <v>40</v>
      </c>
      <c r="B42" s="53">
        <v>20</v>
      </c>
      <c r="C42" s="53">
        <v>19</v>
      </c>
      <c r="D42" s="53">
        <v>419</v>
      </c>
      <c r="E42" s="53">
        <v>336</v>
      </c>
    </row>
    <row r="43" spans="1:5" x14ac:dyDescent="0.25">
      <c r="A43" s="42" t="s">
        <v>41</v>
      </c>
      <c r="B43" s="53">
        <v>5</v>
      </c>
      <c r="C43" s="53">
        <v>9</v>
      </c>
      <c r="D43" s="53">
        <v>115</v>
      </c>
      <c r="E43" s="53">
        <v>154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10</v>
      </c>
      <c r="E44" s="53">
        <v>14</v>
      </c>
    </row>
    <row r="45" spans="1:5" x14ac:dyDescent="0.25">
      <c r="A45" s="42" t="s">
        <v>43</v>
      </c>
      <c r="B45" s="53">
        <v>2</v>
      </c>
      <c r="C45" s="53">
        <v>3</v>
      </c>
      <c r="D45" s="53">
        <v>82</v>
      </c>
      <c r="E45" s="53">
        <v>84</v>
      </c>
    </row>
    <row r="46" spans="1:5" x14ac:dyDescent="0.25">
      <c r="A46" s="42" t="s">
        <v>44</v>
      </c>
      <c r="B46" s="53">
        <v>0</v>
      </c>
      <c r="C46" s="53">
        <v>0</v>
      </c>
      <c r="D46" s="53">
        <v>11</v>
      </c>
      <c r="E46" s="53">
        <v>28</v>
      </c>
    </row>
    <row r="47" spans="1:5" x14ac:dyDescent="0.25">
      <c r="A47" s="42" t="s">
        <v>45</v>
      </c>
      <c r="B47" s="53">
        <v>3</v>
      </c>
      <c r="C47" s="53">
        <v>12</v>
      </c>
      <c r="D47" s="53">
        <v>268</v>
      </c>
      <c r="E47" s="53">
        <v>206</v>
      </c>
    </row>
    <row r="48" spans="1:5" x14ac:dyDescent="0.25">
      <c r="A48" s="42" t="s">
        <v>46</v>
      </c>
      <c r="B48" s="53">
        <v>55</v>
      </c>
      <c r="C48" s="53">
        <v>35</v>
      </c>
      <c r="D48" s="53">
        <v>1564</v>
      </c>
      <c r="E48" s="53">
        <v>1265</v>
      </c>
    </row>
    <row r="49" spans="1:5" x14ac:dyDescent="0.25">
      <c r="A49" s="42" t="s">
        <v>47</v>
      </c>
      <c r="B49" s="53">
        <v>1</v>
      </c>
      <c r="C49" s="53">
        <v>0</v>
      </c>
      <c r="D49" s="53">
        <v>6</v>
      </c>
      <c r="E49" s="53">
        <v>10</v>
      </c>
    </row>
    <row r="50" spans="1:5" x14ac:dyDescent="0.25">
      <c r="A50" s="42" t="s">
        <v>48</v>
      </c>
      <c r="B50" s="53">
        <v>25</v>
      </c>
      <c r="C50" s="53">
        <v>9</v>
      </c>
      <c r="D50" s="53">
        <v>618</v>
      </c>
      <c r="E50" s="53">
        <v>483</v>
      </c>
    </row>
    <row r="51" spans="1:5" x14ac:dyDescent="0.25">
      <c r="A51" s="42" t="s">
        <v>49</v>
      </c>
      <c r="B51" s="53">
        <v>1</v>
      </c>
      <c r="C51" s="53">
        <v>2</v>
      </c>
      <c r="D51" s="53">
        <v>57</v>
      </c>
      <c r="E51" s="53">
        <v>67</v>
      </c>
    </row>
    <row r="52" spans="1:5" x14ac:dyDescent="0.25">
      <c r="A52" s="42" t="s">
        <v>50</v>
      </c>
      <c r="B52" s="53">
        <v>1</v>
      </c>
      <c r="C52" s="53">
        <v>2</v>
      </c>
      <c r="D52" s="53">
        <v>43</v>
      </c>
      <c r="E52" s="53">
        <v>75</v>
      </c>
    </row>
    <row r="53" spans="1:5" x14ac:dyDescent="0.25">
      <c r="A53" s="42" t="s">
        <v>51</v>
      </c>
      <c r="B53" s="53">
        <v>445</v>
      </c>
      <c r="C53" s="53">
        <v>133</v>
      </c>
      <c r="D53" s="53">
        <v>5336</v>
      </c>
      <c r="E53" s="53">
        <v>1332</v>
      </c>
    </row>
    <row r="54" spans="1:5" x14ac:dyDescent="0.25">
      <c r="A54" s="42" t="s">
        <v>52</v>
      </c>
      <c r="B54" s="53">
        <v>0</v>
      </c>
      <c r="C54" s="53">
        <v>3</v>
      </c>
      <c r="D54" s="53">
        <v>72</v>
      </c>
      <c r="E54" s="53">
        <v>90</v>
      </c>
    </row>
    <row r="55" spans="1:5" x14ac:dyDescent="0.25">
      <c r="A55" s="42" t="s">
        <v>53</v>
      </c>
      <c r="B55" s="53">
        <v>0</v>
      </c>
      <c r="C55" s="53">
        <v>0</v>
      </c>
      <c r="D55" s="53">
        <v>7</v>
      </c>
      <c r="E55" s="53">
        <v>13</v>
      </c>
    </row>
    <row r="56" spans="1:5" x14ac:dyDescent="0.25">
      <c r="A56" s="42" t="s">
        <v>54</v>
      </c>
      <c r="B56" s="53">
        <v>7</v>
      </c>
      <c r="C56" s="53">
        <v>4</v>
      </c>
      <c r="D56" s="53">
        <v>120</v>
      </c>
      <c r="E56" s="53">
        <v>149</v>
      </c>
    </row>
    <row r="57" spans="1:5" x14ac:dyDescent="0.25">
      <c r="A57" s="42" t="s">
        <v>55</v>
      </c>
      <c r="B57" s="53">
        <v>1</v>
      </c>
      <c r="C57" s="53">
        <v>2</v>
      </c>
      <c r="D57" s="53">
        <v>9</v>
      </c>
      <c r="E57" s="53">
        <v>13</v>
      </c>
    </row>
    <row r="58" spans="1:5" x14ac:dyDescent="0.25">
      <c r="A58" s="42" t="s">
        <v>56</v>
      </c>
      <c r="B58" s="53">
        <v>0</v>
      </c>
      <c r="C58" s="53">
        <v>0</v>
      </c>
      <c r="D58" s="53">
        <v>53</v>
      </c>
      <c r="E58" s="53">
        <v>70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8</v>
      </c>
    </row>
    <row r="60" spans="1:5" x14ac:dyDescent="0.25">
      <c r="A60" s="42" t="s">
        <v>58</v>
      </c>
      <c r="B60" s="53">
        <v>3</v>
      </c>
      <c r="C60" s="53">
        <v>2</v>
      </c>
      <c r="D60" s="53">
        <v>29</v>
      </c>
      <c r="E60" s="53">
        <v>37</v>
      </c>
    </row>
    <row r="61" spans="1:5" x14ac:dyDescent="0.25">
      <c r="A61" s="42" t="s">
        <v>59</v>
      </c>
      <c r="B61" s="53">
        <v>1</v>
      </c>
      <c r="C61" s="53">
        <v>0</v>
      </c>
      <c r="D61" s="53">
        <v>27</v>
      </c>
      <c r="E61" s="53">
        <v>41</v>
      </c>
    </row>
    <row r="62" spans="1:5" x14ac:dyDescent="0.25">
      <c r="A62" s="42" t="s">
        <v>60</v>
      </c>
      <c r="B62" s="53">
        <v>0</v>
      </c>
      <c r="C62" s="53">
        <v>1</v>
      </c>
      <c r="D62" s="53">
        <v>11</v>
      </c>
      <c r="E62" s="53">
        <v>31</v>
      </c>
    </row>
    <row r="63" spans="1:5" x14ac:dyDescent="0.25">
      <c r="A63" s="42" t="s">
        <v>61</v>
      </c>
      <c r="B63" s="53">
        <v>3</v>
      </c>
      <c r="C63" s="53">
        <v>1</v>
      </c>
      <c r="D63" s="53">
        <v>37</v>
      </c>
      <c r="E63" s="53">
        <v>55</v>
      </c>
    </row>
    <row r="64" spans="1:5" x14ac:dyDescent="0.25">
      <c r="A64" s="42" t="s">
        <v>62</v>
      </c>
      <c r="B64" s="53">
        <v>0</v>
      </c>
      <c r="C64" s="53">
        <v>2</v>
      </c>
      <c r="D64" s="53">
        <v>21</v>
      </c>
      <c r="E64" s="53">
        <v>40</v>
      </c>
    </row>
    <row r="65" spans="1:5" x14ac:dyDescent="0.25">
      <c r="A65" s="42" t="s">
        <v>63</v>
      </c>
      <c r="B65" s="53">
        <v>5</v>
      </c>
      <c r="C65" s="53">
        <v>11</v>
      </c>
      <c r="D65" s="53">
        <v>160</v>
      </c>
      <c r="E65" s="53">
        <v>194</v>
      </c>
    </row>
    <row r="66" spans="1:5" x14ac:dyDescent="0.25">
      <c r="A66" s="42" t="s">
        <v>64</v>
      </c>
      <c r="B66" s="53">
        <v>2</v>
      </c>
      <c r="C66" s="53">
        <v>1</v>
      </c>
      <c r="D66" s="53">
        <v>40</v>
      </c>
      <c r="E66" s="53">
        <v>39</v>
      </c>
    </row>
    <row r="67" spans="1:5" x14ac:dyDescent="0.25">
      <c r="A67" s="42" t="s">
        <v>65</v>
      </c>
      <c r="B67" s="53">
        <v>13</v>
      </c>
      <c r="C67" s="53">
        <v>11</v>
      </c>
      <c r="D67" s="53">
        <v>281</v>
      </c>
      <c r="E67" s="53">
        <v>308</v>
      </c>
    </row>
    <row r="68" spans="1:5" x14ac:dyDescent="0.25">
      <c r="A68" s="42" t="s">
        <v>66</v>
      </c>
      <c r="B68" s="53">
        <v>0</v>
      </c>
      <c r="C68" s="53">
        <v>4</v>
      </c>
      <c r="D68" s="53">
        <v>27</v>
      </c>
      <c r="E68" s="53">
        <v>49</v>
      </c>
    </row>
    <row r="69" spans="1:5" x14ac:dyDescent="0.25">
      <c r="A69" s="42" t="s">
        <v>67</v>
      </c>
      <c r="B69" s="53">
        <v>23</v>
      </c>
      <c r="C69" s="53">
        <v>25</v>
      </c>
      <c r="D69" s="53">
        <v>865</v>
      </c>
      <c r="E69" s="53">
        <v>886</v>
      </c>
    </row>
    <row r="70" spans="1:5" x14ac:dyDescent="0.25">
      <c r="A70" s="39" t="s">
        <v>68</v>
      </c>
      <c r="B70" s="43">
        <f>SUM(B3:B69)</f>
        <v>1052</v>
      </c>
      <c r="C70" s="43">
        <f>SUM(C3:C69)</f>
        <v>586</v>
      </c>
      <c r="D70" s="43">
        <f t="shared" ref="D70:E70" si="0">SUM(D3:D69)</f>
        <v>20820</v>
      </c>
      <c r="E70" s="43">
        <f t="shared" si="0"/>
        <v>15540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4"/>
      <c r="E137" s="94"/>
    </row>
    <row r="138" spans="4:5" ht="14.4" x14ac:dyDescent="0.25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4"/>
      <c r="AA137" s="94"/>
    </row>
    <row r="138" spans="26:27" ht="14.4" x14ac:dyDescent="0.25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" sqref="J1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6305</v>
      </c>
      <c r="C2" s="11">
        <v>10654</v>
      </c>
      <c r="D2" s="11">
        <v>10893</v>
      </c>
      <c r="E2" s="11">
        <v>10047</v>
      </c>
      <c r="F2" s="11">
        <v>13727</v>
      </c>
      <c r="G2" s="11">
        <v>14064</v>
      </c>
      <c r="H2" s="11">
        <v>10952</v>
      </c>
    </row>
    <row r="3" spans="1:8" x14ac:dyDescent="0.25">
      <c r="A3" s="11" t="s">
        <v>2</v>
      </c>
      <c r="B3" s="11">
        <v>79638</v>
      </c>
      <c r="C3" s="11">
        <v>172178</v>
      </c>
      <c r="D3" s="11">
        <v>161893</v>
      </c>
      <c r="E3" s="11">
        <v>123317</v>
      </c>
      <c r="F3" s="11">
        <v>131744</v>
      </c>
      <c r="G3" s="11">
        <v>139443</v>
      </c>
      <c r="H3" s="11">
        <v>108918</v>
      </c>
    </row>
    <row r="4" spans="1:8" x14ac:dyDescent="0.25">
      <c r="A4" s="11" t="s">
        <v>3</v>
      </c>
      <c r="B4" s="11">
        <v>3133</v>
      </c>
      <c r="C4" s="11">
        <v>5628</v>
      </c>
      <c r="D4" s="11">
        <v>6131</v>
      </c>
      <c r="E4" s="11">
        <v>6410</v>
      </c>
      <c r="F4" s="11">
        <v>7728</v>
      </c>
      <c r="G4" s="11">
        <v>8241</v>
      </c>
      <c r="H4" s="11">
        <v>6344</v>
      </c>
    </row>
    <row r="5" spans="1:8" x14ac:dyDescent="0.25">
      <c r="A5" s="11" t="s">
        <v>4</v>
      </c>
      <c r="B5" s="11">
        <v>7558</v>
      </c>
      <c r="C5" s="11">
        <v>16072</v>
      </c>
      <c r="D5" s="11">
        <v>17901</v>
      </c>
      <c r="E5" s="11">
        <v>16272</v>
      </c>
      <c r="F5" s="11">
        <v>19579</v>
      </c>
      <c r="G5" s="11">
        <v>21002</v>
      </c>
      <c r="H5" s="11">
        <v>15737</v>
      </c>
    </row>
    <row r="6" spans="1:8" x14ac:dyDescent="0.25">
      <c r="A6" s="11" t="s">
        <v>5</v>
      </c>
      <c r="B6" s="11">
        <v>2243</v>
      </c>
      <c r="C6" s="11">
        <v>4238</v>
      </c>
      <c r="D6" s="11">
        <v>4462</v>
      </c>
      <c r="E6" s="11">
        <v>4794</v>
      </c>
      <c r="F6" s="11">
        <v>6048</v>
      </c>
      <c r="G6" s="11">
        <v>6362</v>
      </c>
      <c r="H6" s="11">
        <v>4897</v>
      </c>
    </row>
    <row r="7" spans="1:8" x14ac:dyDescent="0.25">
      <c r="A7" s="11" t="s">
        <v>6</v>
      </c>
      <c r="B7" s="11">
        <v>23447</v>
      </c>
      <c r="C7" s="11">
        <v>41849</v>
      </c>
      <c r="D7" s="11">
        <v>44015</v>
      </c>
      <c r="E7" s="11">
        <v>40614</v>
      </c>
      <c r="F7" s="11">
        <v>47616</v>
      </c>
      <c r="G7" s="11">
        <v>42940</v>
      </c>
      <c r="H7" s="11">
        <v>33745</v>
      </c>
    </row>
    <row r="8" spans="1:8" x14ac:dyDescent="0.25">
      <c r="A8" s="11" t="s">
        <v>7</v>
      </c>
      <c r="B8" s="11">
        <v>6249</v>
      </c>
      <c r="C8" s="11">
        <v>11302</v>
      </c>
      <c r="D8" s="11">
        <v>12279</v>
      </c>
      <c r="E8" s="11">
        <v>12211</v>
      </c>
      <c r="F8" s="11">
        <v>13608</v>
      </c>
      <c r="G8" s="11">
        <v>13987</v>
      </c>
      <c r="H8" s="11">
        <v>11915</v>
      </c>
    </row>
    <row r="9" spans="1:8" x14ac:dyDescent="0.25">
      <c r="A9" s="11" t="s">
        <v>8</v>
      </c>
      <c r="B9" s="11">
        <v>2928</v>
      </c>
      <c r="C9" s="11">
        <v>5278</v>
      </c>
      <c r="D9" s="11">
        <v>5752</v>
      </c>
      <c r="E9" s="11">
        <v>5381</v>
      </c>
      <c r="F9" s="11">
        <v>6985</v>
      </c>
      <c r="G9" s="11">
        <v>6891</v>
      </c>
      <c r="H9" s="11">
        <v>5642</v>
      </c>
    </row>
    <row r="10" spans="1:8" x14ac:dyDescent="0.25">
      <c r="A10" s="11" t="s">
        <v>9</v>
      </c>
      <c r="B10" s="11">
        <v>39546</v>
      </c>
      <c r="C10" s="11">
        <v>68332</v>
      </c>
      <c r="D10" s="11">
        <v>73675</v>
      </c>
      <c r="E10" s="11">
        <v>71043</v>
      </c>
      <c r="F10" s="11">
        <v>86745</v>
      </c>
      <c r="G10" s="11">
        <v>82310</v>
      </c>
      <c r="H10" s="11">
        <v>62696</v>
      </c>
    </row>
    <row r="11" spans="1:8" x14ac:dyDescent="0.25">
      <c r="A11" s="11" t="s">
        <v>10</v>
      </c>
      <c r="B11" s="11">
        <v>11109</v>
      </c>
      <c r="C11" s="11">
        <v>20479</v>
      </c>
      <c r="D11" s="11">
        <v>22550</v>
      </c>
      <c r="E11" s="11">
        <v>20841</v>
      </c>
      <c r="F11" s="11">
        <v>25067</v>
      </c>
      <c r="G11" s="11">
        <v>24587</v>
      </c>
      <c r="H11" s="11">
        <v>18879</v>
      </c>
    </row>
    <row r="12" spans="1:8" x14ac:dyDescent="0.25">
      <c r="A12" s="11" t="s">
        <v>11</v>
      </c>
      <c r="B12" s="11">
        <v>6284</v>
      </c>
      <c r="C12" s="11">
        <v>11198</v>
      </c>
      <c r="D12" s="11">
        <v>12038</v>
      </c>
      <c r="E12" s="11">
        <v>12632</v>
      </c>
      <c r="F12" s="11">
        <v>14481</v>
      </c>
      <c r="G12" s="11">
        <v>16349</v>
      </c>
      <c r="H12" s="11">
        <v>12870</v>
      </c>
    </row>
    <row r="13" spans="1:8" x14ac:dyDescent="0.25">
      <c r="A13" s="11" t="s">
        <v>12</v>
      </c>
      <c r="B13" s="11">
        <v>145</v>
      </c>
      <c r="C13" s="11">
        <v>294</v>
      </c>
      <c r="D13" s="11">
        <v>363</v>
      </c>
      <c r="E13" s="11">
        <v>349</v>
      </c>
      <c r="F13" s="11">
        <v>544</v>
      </c>
      <c r="G13" s="11">
        <v>656</v>
      </c>
      <c r="H13" s="11">
        <v>532</v>
      </c>
    </row>
    <row r="14" spans="1:8" x14ac:dyDescent="0.25">
      <c r="A14" s="11" t="s">
        <v>13</v>
      </c>
      <c r="B14" s="11">
        <v>3160</v>
      </c>
      <c r="C14" s="11">
        <v>6167</v>
      </c>
      <c r="D14" s="11">
        <v>6821</v>
      </c>
      <c r="E14" s="11">
        <v>6842</v>
      </c>
      <c r="F14" s="11">
        <v>8611</v>
      </c>
      <c r="G14" s="11">
        <v>8290</v>
      </c>
      <c r="H14" s="11">
        <v>5866</v>
      </c>
    </row>
    <row r="15" spans="1:8" x14ac:dyDescent="0.25">
      <c r="A15" s="11" t="s">
        <v>14</v>
      </c>
      <c r="B15" s="11">
        <v>17448</v>
      </c>
      <c r="C15" s="11">
        <v>19387</v>
      </c>
      <c r="D15" s="11">
        <v>13798</v>
      </c>
      <c r="E15" s="11">
        <v>12333</v>
      </c>
      <c r="F15" s="11">
        <v>13876</v>
      </c>
      <c r="G15" s="11">
        <v>13521</v>
      </c>
      <c r="H15" s="11">
        <v>11480</v>
      </c>
    </row>
    <row r="16" spans="1:8" x14ac:dyDescent="0.25">
      <c r="A16" s="11" t="s">
        <v>15</v>
      </c>
      <c r="B16" s="11">
        <v>36771</v>
      </c>
      <c r="C16" s="11">
        <v>60596</v>
      </c>
      <c r="D16" s="11">
        <v>60026</v>
      </c>
      <c r="E16" s="11">
        <v>58862</v>
      </c>
      <c r="F16" s="11">
        <v>66692</v>
      </c>
      <c r="G16" s="11">
        <v>59743</v>
      </c>
      <c r="H16" s="11">
        <v>46276</v>
      </c>
    </row>
    <row r="17" spans="1:8" x14ac:dyDescent="0.25">
      <c r="A17" s="11" t="s">
        <v>16</v>
      </c>
      <c r="B17" s="11">
        <v>1665</v>
      </c>
      <c r="C17" s="11">
        <v>3085</v>
      </c>
      <c r="D17" s="11">
        <v>3273</v>
      </c>
      <c r="E17" s="11">
        <v>3395</v>
      </c>
      <c r="F17" s="11">
        <v>4212</v>
      </c>
      <c r="G17" s="11">
        <v>4298</v>
      </c>
      <c r="H17" s="11">
        <v>3416</v>
      </c>
    </row>
    <row r="18" spans="1:8" x14ac:dyDescent="0.25">
      <c r="A18" s="11" t="s">
        <v>17</v>
      </c>
      <c r="B18" s="11">
        <v>3351</v>
      </c>
      <c r="C18" s="11">
        <v>6437</v>
      </c>
      <c r="D18" s="11">
        <v>7096</v>
      </c>
      <c r="E18" s="11">
        <v>7477</v>
      </c>
      <c r="F18" s="11">
        <v>9115</v>
      </c>
      <c r="G18" s="11">
        <v>8994</v>
      </c>
      <c r="H18" s="11">
        <v>7088</v>
      </c>
    </row>
    <row r="19" spans="1:8" x14ac:dyDescent="0.25">
      <c r="A19" s="11" t="s">
        <v>18</v>
      </c>
      <c r="B19" s="11">
        <v>1715</v>
      </c>
      <c r="C19" s="11">
        <v>3286</v>
      </c>
      <c r="D19" s="11">
        <v>3295</v>
      </c>
      <c r="E19" s="11">
        <v>3338</v>
      </c>
      <c r="F19" s="11">
        <v>3829</v>
      </c>
      <c r="G19" s="11">
        <v>3954</v>
      </c>
      <c r="H19" s="11">
        <v>3096</v>
      </c>
    </row>
    <row r="20" spans="1:8" x14ac:dyDescent="0.25">
      <c r="A20" s="11" t="s">
        <v>19</v>
      </c>
      <c r="B20" s="11">
        <v>3755</v>
      </c>
      <c r="C20" s="11">
        <v>5932</v>
      </c>
      <c r="D20" s="11">
        <v>5884</v>
      </c>
      <c r="E20" s="11">
        <v>5774</v>
      </c>
      <c r="F20" s="11">
        <v>6723</v>
      </c>
      <c r="G20" s="11">
        <v>6983</v>
      </c>
      <c r="H20" s="11">
        <v>5500</v>
      </c>
    </row>
    <row r="21" spans="1:8" x14ac:dyDescent="0.25">
      <c r="A21" s="11" t="s">
        <v>20</v>
      </c>
      <c r="B21" s="11">
        <v>3904</v>
      </c>
      <c r="C21" s="11">
        <v>6990</v>
      </c>
      <c r="D21" s="11">
        <v>7465</v>
      </c>
      <c r="E21" s="11">
        <v>7361</v>
      </c>
      <c r="F21" s="11">
        <v>9296</v>
      </c>
      <c r="G21" s="11">
        <v>9773</v>
      </c>
      <c r="H21" s="11">
        <v>8139</v>
      </c>
    </row>
    <row r="22" spans="1:8" x14ac:dyDescent="0.25">
      <c r="A22" s="11" t="s">
        <v>21</v>
      </c>
      <c r="B22" s="11">
        <v>16031</v>
      </c>
      <c r="C22" s="11">
        <v>28134</v>
      </c>
      <c r="D22" s="11">
        <v>30271</v>
      </c>
      <c r="E22" s="11">
        <v>27330</v>
      </c>
      <c r="F22" s="11">
        <v>29217</v>
      </c>
      <c r="G22" s="11">
        <v>28205</v>
      </c>
      <c r="H22" s="11">
        <v>24468</v>
      </c>
    </row>
    <row r="23" spans="1:8" x14ac:dyDescent="0.25">
      <c r="A23" s="11" t="s">
        <v>22</v>
      </c>
      <c r="B23" s="11">
        <v>17039</v>
      </c>
      <c r="C23" s="11">
        <v>34618</v>
      </c>
      <c r="D23" s="11">
        <v>34723</v>
      </c>
      <c r="E23" s="11">
        <v>29995</v>
      </c>
      <c r="F23" s="11">
        <v>32491</v>
      </c>
      <c r="G23" s="11">
        <v>30381</v>
      </c>
      <c r="H23" s="11">
        <v>21796</v>
      </c>
    </row>
    <row r="24" spans="1:8" x14ac:dyDescent="0.25">
      <c r="A24" s="11" t="s">
        <v>23</v>
      </c>
      <c r="B24" s="11">
        <v>37733</v>
      </c>
      <c r="C24" s="11">
        <v>66277</v>
      </c>
      <c r="D24" s="11">
        <v>72543</v>
      </c>
      <c r="E24" s="11">
        <v>60819</v>
      </c>
      <c r="F24" s="11">
        <v>65287</v>
      </c>
      <c r="G24" s="11">
        <v>61983</v>
      </c>
      <c r="H24" s="11">
        <v>45870</v>
      </c>
    </row>
    <row r="25" spans="1:8" x14ac:dyDescent="0.25">
      <c r="A25" s="11" t="s">
        <v>24</v>
      </c>
      <c r="B25" s="11">
        <v>1478</v>
      </c>
      <c r="C25" s="11">
        <v>2536</v>
      </c>
      <c r="D25" s="11">
        <v>2747</v>
      </c>
      <c r="E25" s="11">
        <v>2832</v>
      </c>
      <c r="F25" s="11">
        <v>3903</v>
      </c>
      <c r="G25" s="11">
        <v>3941</v>
      </c>
      <c r="H25" s="11">
        <v>3012</v>
      </c>
    </row>
    <row r="26" spans="1:8" x14ac:dyDescent="0.25">
      <c r="A26" s="11" t="s">
        <v>25</v>
      </c>
      <c r="B26" s="11">
        <v>14478</v>
      </c>
      <c r="C26" s="11">
        <v>27143</v>
      </c>
      <c r="D26" s="11">
        <v>27218</v>
      </c>
      <c r="E26" s="11">
        <v>25198</v>
      </c>
      <c r="F26" s="11">
        <v>28662</v>
      </c>
      <c r="G26" s="11">
        <v>29547</v>
      </c>
      <c r="H26" s="11">
        <v>22506</v>
      </c>
    </row>
    <row r="27" spans="1:8" x14ac:dyDescent="0.25">
      <c r="A27" s="11" t="s">
        <v>26</v>
      </c>
      <c r="B27" s="11">
        <v>5081</v>
      </c>
      <c r="C27" s="11">
        <v>10711</v>
      </c>
      <c r="D27" s="11">
        <v>11651</v>
      </c>
      <c r="E27" s="11">
        <v>12076</v>
      </c>
      <c r="F27" s="11">
        <v>14066</v>
      </c>
      <c r="G27" s="11">
        <v>14647</v>
      </c>
      <c r="H27" s="11">
        <v>11296</v>
      </c>
    </row>
    <row r="28" spans="1:8" x14ac:dyDescent="0.25">
      <c r="A28" s="11" t="s">
        <v>27</v>
      </c>
      <c r="B28" s="11">
        <v>152</v>
      </c>
      <c r="C28" s="11">
        <v>241</v>
      </c>
      <c r="D28" s="11">
        <v>301</v>
      </c>
      <c r="E28" s="11">
        <v>394</v>
      </c>
      <c r="F28" s="11">
        <v>668</v>
      </c>
      <c r="G28" s="11">
        <v>835</v>
      </c>
      <c r="H28" s="11">
        <v>648</v>
      </c>
    </row>
    <row r="29" spans="1:8" x14ac:dyDescent="0.25">
      <c r="A29" s="11" t="s">
        <v>28</v>
      </c>
      <c r="B29" s="11">
        <v>8293</v>
      </c>
      <c r="C29" s="11">
        <v>15421</v>
      </c>
      <c r="D29" s="11">
        <v>16146</v>
      </c>
      <c r="E29" s="11">
        <v>15713</v>
      </c>
      <c r="F29" s="11">
        <v>18062</v>
      </c>
      <c r="G29" s="11">
        <v>16972</v>
      </c>
      <c r="H29" s="11">
        <v>14801</v>
      </c>
    </row>
    <row r="30" spans="1:8" x14ac:dyDescent="0.25">
      <c r="A30" s="11" t="s">
        <v>29</v>
      </c>
      <c r="B30" s="11">
        <v>722</v>
      </c>
      <c r="C30" s="11">
        <v>1375</v>
      </c>
      <c r="D30" s="11">
        <v>1393</v>
      </c>
      <c r="E30" s="11">
        <v>1532</v>
      </c>
      <c r="F30" s="11">
        <v>1878</v>
      </c>
      <c r="G30" s="11">
        <v>1756</v>
      </c>
      <c r="H30" s="11">
        <v>1448</v>
      </c>
    </row>
    <row r="31" spans="1:8" x14ac:dyDescent="0.25">
      <c r="A31" s="11" t="s">
        <v>30</v>
      </c>
      <c r="B31" s="11">
        <v>1530</v>
      </c>
      <c r="C31" s="11">
        <v>2988</v>
      </c>
      <c r="D31" s="11">
        <v>3057</v>
      </c>
      <c r="E31" s="11">
        <v>3420</v>
      </c>
      <c r="F31" s="11">
        <v>3797</v>
      </c>
      <c r="G31" s="11">
        <v>3987</v>
      </c>
      <c r="H31" s="11">
        <v>3010</v>
      </c>
    </row>
    <row r="32" spans="1:8" x14ac:dyDescent="0.25">
      <c r="A32" s="11" t="s">
        <v>31</v>
      </c>
      <c r="B32" s="11">
        <v>2301</v>
      </c>
      <c r="C32" s="11">
        <v>3732</v>
      </c>
      <c r="D32" s="11">
        <v>3627</v>
      </c>
      <c r="E32" s="11">
        <v>3993</v>
      </c>
      <c r="F32" s="11">
        <v>4950</v>
      </c>
      <c r="G32" s="11">
        <v>5056</v>
      </c>
      <c r="H32" s="11">
        <v>4240</v>
      </c>
    </row>
    <row r="33" spans="1:8" x14ac:dyDescent="0.25">
      <c r="A33" s="11" t="s">
        <v>32</v>
      </c>
      <c r="B33" s="11">
        <v>4485</v>
      </c>
      <c r="C33" s="11">
        <v>6615</v>
      </c>
      <c r="D33" s="11">
        <v>6753</v>
      </c>
      <c r="E33" s="11">
        <v>6935</v>
      </c>
      <c r="F33" s="11">
        <v>8310</v>
      </c>
      <c r="G33" s="11">
        <v>8982</v>
      </c>
      <c r="H33" s="11">
        <v>7052</v>
      </c>
    </row>
    <row r="34" spans="1:8" x14ac:dyDescent="0.25">
      <c r="A34" s="11" t="s">
        <v>33</v>
      </c>
      <c r="B34" s="11">
        <v>2081</v>
      </c>
      <c r="C34" s="11">
        <v>3603</v>
      </c>
      <c r="D34" s="11">
        <v>4161</v>
      </c>
      <c r="E34" s="11">
        <v>4068</v>
      </c>
      <c r="F34" s="11">
        <v>4900</v>
      </c>
      <c r="G34" s="11">
        <v>5300</v>
      </c>
      <c r="H34" s="11">
        <v>3982</v>
      </c>
    </row>
    <row r="35" spans="1:8" x14ac:dyDescent="0.25">
      <c r="A35" s="11" t="s">
        <v>34</v>
      </c>
      <c r="B35" s="11">
        <v>943</v>
      </c>
      <c r="C35" s="11">
        <v>1775</v>
      </c>
      <c r="D35" s="11">
        <v>1995</v>
      </c>
      <c r="E35" s="11">
        <v>2107</v>
      </c>
      <c r="F35" s="11">
        <v>2609</v>
      </c>
      <c r="G35" s="11">
        <v>2571</v>
      </c>
      <c r="H35" s="11">
        <v>2076</v>
      </c>
    </row>
    <row r="36" spans="1:8" x14ac:dyDescent="0.25">
      <c r="A36" s="11" t="s">
        <v>35</v>
      </c>
      <c r="B36" s="11">
        <v>12086</v>
      </c>
      <c r="C36" s="11">
        <v>22841</v>
      </c>
      <c r="D36" s="11">
        <v>24216</v>
      </c>
      <c r="E36" s="11">
        <v>21674</v>
      </c>
      <c r="F36" s="11">
        <v>25028</v>
      </c>
      <c r="G36" s="11">
        <v>24103</v>
      </c>
      <c r="H36" s="11">
        <v>19896</v>
      </c>
    </row>
    <row r="37" spans="1:8" x14ac:dyDescent="0.25">
      <c r="A37" s="11" t="s">
        <v>36</v>
      </c>
      <c r="B37" s="11">
        <v>30641</v>
      </c>
      <c r="C37" s="11">
        <v>58906</v>
      </c>
      <c r="D37" s="11">
        <v>59587</v>
      </c>
      <c r="E37" s="11">
        <v>51121</v>
      </c>
      <c r="F37" s="11">
        <v>56829</v>
      </c>
      <c r="G37" s="11">
        <v>57563</v>
      </c>
      <c r="H37" s="11">
        <v>49885</v>
      </c>
    </row>
    <row r="38" spans="1:8" x14ac:dyDescent="0.25">
      <c r="A38" s="11" t="s">
        <v>37</v>
      </c>
      <c r="B38" s="11">
        <v>4251</v>
      </c>
      <c r="C38" s="11">
        <v>7864</v>
      </c>
      <c r="D38" s="11">
        <v>8376</v>
      </c>
      <c r="E38" s="11">
        <v>8289</v>
      </c>
      <c r="F38" s="11">
        <v>9778</v>
      </c>
      <c r="G38" s="11">
        <v>10381</v>
      </c>
      <c r="H38" s="11">
        <v>8393</v>
      </c>
    </row>
    <row r="39" spans="1:8" x14ac:dyDescent="0.25">
      <c r="A39" s="11" t="s">
        <v>38</v>
      </c>
      <c r="B39" s="11">
        <v>7254</v>
      </c>
      <c r="C39" s="11">
        <v>13128</v>
      </c>
      <c r="D39" s="11">
        <v>14476</v>
      </c>
      <c r="E39" s="11">
        <v>14078</v>
      </c>
      <c r="F39" s="11">
        <v>15925</v>
      </c>
      <c r="G39" s="11">
        <v>15672</v>
      </c>
      <c r="H39" s="11">
        <v>13524</v>
      </c>
    </row>
    <row r="40" spans="1:8" x14ac:dyDescent="0.25">
      <c r="A40" s="11" t="s">
        <v>39</v>
      </c>
      <c r="B40" s="11">
        <v>21589</v>
      </c>
      <c r="C40" s="11">
        <v>41890</v>
      </c>
      <c r="D40" s="11">
        <v>42481</v>
      </c>
      <c r="E40" s="11">
        <v>38634</v>
      </c>
      <c r="F40" s="11">
        <v>41277</v>
      </c>
      <c r="G40" s="11">
        <v>38345</v>
      </c>
      <c r="H40" s="11">
        <v>29898</v>
      </c>
    </row>
    <row r="41" spans="1:8" x14ac:dyDescent="0.25">
      <c r="A41" s="11" t="s">
        <v>40</v>
      </c>
      <c r="B41" s="11">
        <v>15999</v>
      </c>
      <c r="C41" s="11">
        <v>30868</v>
      </c>
      <c r="D41" s="11">
        <v>33289</v>
      </c>
      <c r="E41" s="11">
        <v>30672</v>
      </c>
      <c r="F41" s="11">
        <v>35914</v>
      </c>
      <c r="G41" s="11">
        <v>33426</v>
      </c>
      <c r="H41" s="11">
        <v>27419</v>
      </c>
    </row>
    <row r="42" spans="1:8" x14ac:dyDescent="0.25">
      <c r="A42" s="11" t="s">
        <v>41</v>
      </c>
      <c r="B42" s="11">
        <v>5549</v>
      </c>
      <c r="C42" s="11">
        <v>10040</v>
      </c>
      <c r="D42" s="11">
        <v>11451</v>
      </c>
      <c r="E42" s="11">
        <v>10448</v>
      </c>
      <c r="F42" s="11">
        <v>12185</v>
      </c>
      <c r="G42" s="11">
        <v>12984</v>
      </c>
      <c r="H42" s="11">
        <v>10004</v>
      </c>
    </row>
    <row r="43" spans="1:8" x14ac:dyDescent="0.25">
      <c r="A43" s="11" t="s">
        <v>91</v>
      </c>
      <c r="B43" s="11">
        <v>1751</v>
      </c>
      <c r="C43" s="11">
        <v>3248</v>
      </c>
      <c r="D43" s="11">
        <v>3648</v>
      </c>
      <c r="E43" s="11">
        <v>3749</v>
      </c>
      <c r="F43" s="11">
        <v>4543</v>
      </c>
      <c r="G43" s="11">
        <v>4650</v>
      </c>
      <c r="H43" s="11">
        <v>3597</v>
      </c>
    </row>
    <row r="44" spans="1:8" x14ac:dyDescent="0.25">
      <c r="A44" s="11" t="s">
        <v>43</v>
      </c>
      <c r="B44" s="11">
        <v>5517</v>
      </c>
      <c r="C44" s="11">
        <v>9799</v>
      </c>
      <c r="D44" s="11">
        <v>9997</v>
      </c>
      <c r="E44" s="11">
        <v>9870</v>
      </c>
      <c r="F44" s="11">
        <v>12363</v>
      </c>
      <c r="G44" s="11">
        <v>13458</v>
      </c>
      <c r="H44" s="11">
        <v>10870</v>
      </c>
    </row>
    <row r="45" spans="1:8" x14ac:dyDescent="0.25">
      <c r="A45" s="11" t="s">
        <v>44</v>
      </c>
      <c r="B45" s="11">
        <v>1734</v>
      </c>
      <c r="C45" s="11">
        <v>3649</v>
      </c>
      <c r="D45" s="11">
        <v>3883</v>
      </c>
      <c r="E45" s="11">
        <v>3916</v>
      </c>
      <c r="F45" s="11">
        <v>5014</v>
      </c>
      <c r="G45" s="11">
        <v>4768</v>
      </c>
      <c r="H45" s="11">
        <v>4174</v>
      </c>
    </row>
    <row r="46" spans="1:8" x14ac:dyDescent="0.25">
      <c r="A46" s="11" t="s">
        <v>45</v>
      </c>
      <c r="B46" s="11">
        <v>9583</v>
      </c>
      <c r="C46" s="11">
        <v>17524</v>
      </c>
      <c r="D46" s="11">
        <v>17746</v>
      </c>
      <c r="E46" s="11">
        <v>17452</v>
      </c>
      <c r="F46" s="11">
        <v>22512</v>
      </c>
      <c r="G46" s="11">
        <v>20254</v>
      </c>
      <c r="H46" s="11">
        <v>12400</v>
      </c>
    </row>
    <row r="47" spans="1:8" x14ac:dyDescent="0.25">
      <c r="A47" s="11" t="s">
        <v>46</v>
      </c>
      <c r="B47" s="11">
        <v>53796</v>
      </c>
      <c r="C47" s="11">
        <v>96717</v>
      </c>
      <c r="D47" s="11">
        <v>104987</v>
      </c>
      <c r="E47" s="11">
        <v>93656</v>
      </c>
      <c r="F47" s="11">
        <v>101588</v>
      </c>
      <c r="G47" s="11">
        <v>95427</v>
      </c>
      <c r="H47" s="11">
        <v>77554</v>
      </c>
    </row>
    <row r="48" spans="1:8" x14ac:dyDescent="0.25">
      <c r="A48" s="11" t="s">
        <v>47</v>
      </c>
      <c r="B48" s="11">
        <v>823</v>
      </c>
      <c r="C48" s="11">
        <v>1883</v>
      </c>
      <c r="D48" s="11">
        <v>2011</v>
      </c>
      <c r="E48" s="11">
        <v>1653</v>
      </c>
      <c r="F48" s="11">
        <v>1979</v>
      </c>
      <c r="G48" s="11">
        <v>2171</v>
      </c>
      <c r="H48" s="11">
        <v>1849</v>
      </c>
    </row>
    <row r="49" spans="1:8" x14ac:dyDescent="0.25">
      <c r="A49" s="11" t="s">
        <v>48</v>
      </c>
      <c r="B49" s="11">
        <v>22521</v>
      </c>
      <c r="C49" s="11">
        <v>36846</v>
      </c>
      <c r="D49" s="11">
        <v>35852</v>
      </c>
      <c r="E49" s="11">
        <v>33131</v>
      </c>
      <c r="F49" s="11">
        <v>38474</v>
      </c>
      <c r="G49" s="11">
        <v>36384</v>
      </c>
      <c r="H49" s="11">
        <v>28958</v>
      </c>
    </row>
    <row r="50" spans="1:8" x14ac:dyDescent="0.25">
      <c r="A50" s="11" t="s">
        <v>49</v>
      </c>
      <c r="B50" s="11">
        <v>3660</v>
      </c>
      <c r="C50" s="11">
        <v>7186</v>
      </c>
      <c r="D50" s="11">
        <v>8573</v>
      </c>
      <c r="E50" s="11">
        <v>8222</v>
      </c>
      <c r="F50" s="11">
        <v>9681</v>
      </c>
      <c r="G50" s="11">
        <v>10042</v>
      </c>
      <c r="H50" s="11">
        <v>7981</v>
      </c>
    </row>
    <row r="51" spans="1:8" x14ac:dyDescent="0.25">
      <c r="A51" s="11" t="s">
        <v>50</v>
      </c>
      <c r="B51" s="11">
        <v>2369</v>
      </c>
      <c r="C51" s="11">
        <v>4338</v>
      </c>
      <c r="D51" s="11">
        <v>4872</v>
      </c>
      <c r="E51" s="11">
        <v>4733</v>
      </c>
      <c r="F51" s="11">
        <v>5828</v>
      </c>
      <c r="G51" s="11">
        <v>5358</v>
      </c>
      <c r="H51" s="11">
        <v>3750</v>
      </c>
    </row>
    <row r="52" spans="1:8" x14ac:dyDescent="0.25">
      <c r="A52" s="11" t="s">
        <v>51</v>
      </c>
      <c r="B52" s="11">
        <v>99193</v>
      </c>
      <c r="C52" s="11">
        <v>258499</v>
      </c>
      <c r="D52" s="11">
        <v>221845</v>
      </c>
      <c r="E52" s="11">
        <v>144074</v>
      </c>
      <c r="F52" s="11">
        <v>144610</v>
      </c>
      <c r="G52" s="11">
        <v>127030</v>
      </c>
      <c r="H52" s="11">
        <v>91961</v>
      </c>
    </row>
    <row r="53" spans="1:8" x14ac:dyDescent="0.25">
      <c r="A53" s="11" t="s">
        <v>52</v>
      </c>
      <c r="B53" s="11">
        <v>3152</v>
      </c>
      <c r="C53" s="11">
        <v>5942</v>
      </c>
      <c r="D53" s="11">
        <v>6483</v>
      </c>
      <c r="E53" s="11">
        <v>6621</v>
      </c>
      <c r="F53" s="11">
        <v>9546</v>
      </c>
      <c r="G53" s="11">
        <v>9217</v>
      </c>
      <c r="H53" s="11">
        <v>6366</v>
      </c>
    </row>
    <row r="54" spans="1:8" x14ac:dyDescent="0.25">
      <c r="A54" s="11" t="s">
        <v>53</v>
      </c>
      <c r="B54" s="11">
        <v>742</v>
      </c>
      <c r="C54" s="11">
        <v>1266</v>
      </c>
      <c r="D54" s="11">
        <v>1474</v>
      </c>
      <c r="E54" s="11">
        <v>1497</v>
      </c>
      <c r="F54" s="11">
        <v>2049</v>
      </c>
      <c r="G54" s="11">
        <v>2220</v>
      </c>
      <c r="H54" s="11">
        <v>1765</v>
      </c>
    </row>
    <row r="55" spans="1:8" x14ac:dyDescent="0.25">
      <c r="A55" s="11" t="s">
        <v>54</v>
      </c>
      <c r="B55" s="11">
        <v>6884</v>
      </c>
      <c r="C55" s="11">
        <v>12472</v>
      </c>
      <c r="D55" s="11">
        <v>13860</v>
      </c>
      <c r="E55" s="11">
        <v>14219</v>
      </c>
      <c r="F55" s="11">
        <v>16630</v>
      </c>
      <c r="G55" s="11">
        <v>16125</v>
      </c>
      <c r="H55" s="11">
        <v>12258</v>
      </c>
    </row>
    <row r="56" spans="1:8" x14ac:dyDescent="0.25">
      <c r="A56" s="11" t="s">
        <v>55</v>
      </c>
      <c r="B56" s="11">
        <v>2236</v>
      </c>
      <c r="C56" s="11">
        <v>3210</v>
      </c>
      <c r="D56" s="11">
        <v>3470</v>
      </c>
      <c r="E56" s="11">
        <v>3440</v>
      </c>
      <c r="F56" s="11">
        <v>4150</v>
      </c>
      <c r="G56" s="11">
        <v>3965</v>
      </c>
      <c r="H56" s="11">
        <v>3389</v>
      </c>
    </row>
    <row r="57" spans="1:8" x14ac:dyDescent="0.25">
      <c r="A57" s="11" t="s">
        <v>56</v>
      </c>
      <c r="B57" s="11">
        <v>3247</v>
      </c>
      <c r="C57" s="11">
        <v>5974</v>
      </c>
      <c r="D57" s="11">
        <v>6759</v>
      </c>
      <c r="E57" s="11">
        <v>7070</v>
      </c>
      <c r="F57" s="11">
        <v>8550</v>
      </c>
      <c r="G57" s="11">
        <v>9372</v>
      </c>
      <c r="H57" s="11">
        <v>7466</v>
      </c>
    </row>
    <row r="58" spans="1:8" x14ac:dyDescent="0.25">
      <c r="A58" s="11" t="s">
        <v>57</v>
      </c>
      <c r="B58" s="11">
        <v>249</v>
      </c>
      <c r="C58" s="11">
        <v>411</v>
      </c>
      <c r="D58" s="11">
        <v>561</v>
      </c>
      <c r="E58" s="11">
        <v>562</v>
      </c>
      <c r="F58" s="11">
        <v>807</v>
      </c>
      <c r="G58" s="11">
        <v>1073</v>
      </c>
      <c r="H58" s="11">
        <v>798</v>
      </c>
    </row>
    <row r="59" spans="1:8" x14ac:dyDescent="0.25">
      <c r="A59" s="11" t="s">
        <v>58</v>
      </c>
      <c r="B59" s="11">
        <v>1876</v>
      </c>
      <c r="C59" s="11">
        <v>3633</v>
      </c>
      <c r="D59" s="11">
        <v>3978</v>
      </c>
      <c r="E59" s="11">
        <v>3691</v>
      </c>
      <c r="F59" s="11">
        <v>5039</v>
      </c>
      <c r="G59" s="11">
        <v>5342</v>
      </c>
      <c r="H59" s="11">
        <v>4211</v>
      </c>
    </row>
    <row r="60" spans="1:8" x14ac:dyDescent="0.25">
      <c r="A60" s="11" t="s">
        <v>59</v>
      </c>
      <c r="B60" s="11">
        <v>1872</v>
      </c>
      <c r="C60" s="11">
        <v>3280</v>
      </c>
      <c r="D60" s="11">
        <v>3915</v>
      </c>
      <c r="E60" s="11">
        <v>3747</v>
      </c>
      <c r="F60" s="11">
        <v>4759</v>
      </c>
      <c r="G60" s="11">
        <v>5059</v>
      </c>
      <c r="H60" s="11">
        <v>4164</v>
      </c>
    </row>
    <row r="61" spans="1:8" x14ac:dyDescent="0.25">
      <c r="A61" s="11" t="s">
        <v>60</v>
      </c>
      <c r="B61" s="11">
        <v>3641</v>
      </c>
      <c r="C61" s="11">
        <v>4045</v>
      </c>
      <c r="D61" s="11">
        <v>3653</v>
      </c>
      <c r="E61" s="11">
        <v>3449</v>
      </c>
      <c r="F61" s="11">
        <v>4002</v>
      </c>
      <c r="G61" s="11">
        <v>3883</v>
      </c>
      <c r="H61" s="11">
        <v>3747</v>
      </c>
    </row>
    <row r="62" spans="1:8" x14ac:dyDescent="0.25">
      <c r="A62" s="11" t="s">
        <v>61</v>
      </c>
      <c r="B62" s="11">
        <v>2216</v>
      </c>
      <c r="C62" s="11">
        <v>3930</v>
      </c>
      <c r="D62" s="11">
        <v>4664</v>
      </c>
      <c r="E62" s="11">
        <v>4779</v>
      </c>
      <c r="F62" s="11">
        <v>5697</v>
      </c>
      <c r="G62" s="11">
        <v>6588</v>
      </c>
      <c r="H62" s="11">
        <v>4933</v>
      </c>
    </row>
    <row r="63" spans="1:8" x14ac:dyDescent="0.25">
      <c r="A63" s="11" t="s">
        <v>62</v>
      </c>
      <c r="B63" s="11">
        <v>1729</v>
      </c>
      <c r="C63" s="11">
        <v>3066</v>
      </c>
      <c r="D63" s="11">
        <v>3618</v>
      </c>
      <c r="E63" s="11">
        <v>3514</v>
      </c>
      <c r="F63" s="11">
        <v>4673</v>
      </c>
      <c r="G63" s="11">
        <v>5019</v>
      </c>
      <c r="H63" s="11">
        <v>3818</v>
      </c>
    </row>
    <row r="64" spans="1:8" x14ac:dyDescent="0.25">
      <c r="A64" s="11" t="s">
        <v>63</v>
      </c>
      <c r="B64" s="11">
        <v>10402</v>
      </c>
      <c r="C64" s="11">
        <v>19667</v>
      </c>
      <c r="D64" s="11">
        <v>22497</v>
      </c>
      <c r="E64" s="11">
        <v>21260</v>
      </c>
      <c r="F64" s="11">
        <v>25045</v>
      </c>
      <c r="G64" s="11">
        <v>26092</v>
      </c>
      <c r="H64" s="11">
        <v>20031</v>
      </c>
    </row>
    <row r="65" spans="1:8" x14ac:dyDescent="0.25">
      <c r="A65" s="11" t="s">
        <v>64</v>
      </c>
      <c r="B65" s="11">
        <v>2203</v>
      </c>
      <c r="C65" s="11">
        <v>4562</v>
      </c>
      <c r="D65" s="11">
        <v>5028</v>
      </c>
      <c r="E65" s="11">
        <v>4909</v>
      </c>
      <c r="F65" s="11">
        <v>6906</v>
      </c>
      <c r="G65" s="11">
        <v>7426</v>
      </c>
      <c r="H65" s="11">
        <v>5632</v>
      </c>
    </row>
    <row r="66" spans="1:8" x14ac:dyDescent="0.25">
      <c r="A66" s="11" t="s">
        <v>65</v>
      </c>
      <c r="B66" s="11">
        <v>17395</v>
      </c>
      <c r="C66" s="11">
        <v>33098</v>
      </c>
      <c r="D66" s="11">
        <v>36379</v>
      </c>
      <c r="E66" s="11">
        <v>35126</v>
      </c>
      <c r="F66" s="11">
        <v>44140</v>
      </c>
      <c r="G66" s="11">
        <v>46568</v>
      </c>
      <c r="H66" s="11">
        <v>38012</v>
      </c>
    </row>
    <row r="67" spans="1:8" x14ac:dyDescent="0.25">
      <c r="A67" s="11" t="s">
        <v>66</v>
      </c>
      <c r="B67" s="11">
        <v>1360</v>
      </c>
      <c r="C67" s="11">
        <v>2486</v>
      </c>
      <c r="D67" s="11">
        <v>2706</v>
      </c>
      <c r="E67" s="11">
        <v>2701</v>
      </c>
      <c r="F67" s="11">
        <v>3243</v>
      </c>
      <c r="G67" s="11">
        <v>3346</v>
      </c>
      <c r="H67" s="11">
        <v>2644</v>
      </c>
    </row>
    <row r="68" spans="1:8" ht="13.8" thickBot="1" x14ac:dyDescent="0.3">
      <c r="A68" s="13" t="s">
        <v>67</v>
      </c>
      <c r="B68" s="13">
        <v>26655</v>
      </c>
      <c r="C68" s="13">
        <v>50316</v>
      </c>
      <c r="D68" s="13">
        <v>54704</v>
      </c>
      <c r="E68" s="13">
        <v>50236</v>
      </c>
      <c r="F68" s="13">
        <v>57049</v>
      </c>
      <c r="G68" s="13">
        <v>50481</v>
      </c>
      <c r="H68" s="13">
        <v>38207</v>
      </c>
    </row>
    <row r="69" spans="1:8" x14ac:dyDescent="0.25">
      <c r="A69" s="32" t="s">
        <v>68</v>
      </c>
      <c r="B69" s="32">
        <f>SUM(B2:B68)</f>
        <v>756876</v>
      </c>
      <c r="C69" s="32">
        <f t="shared" ref="C69:G69" si="0">SUM(C2:C68)</f>
        <v>1467135</v>
      </c>
      <c r="D69" s="32">
        <f t="shared" si="0"/>
        <v>1477235</v>
      </c>
      <c r="E69" s="32">
        <f t="shared" si="0"/>
        <v>1287898</v>
      </c>
      <c r="F69" s="32">
        <f t="shared" si="0"/>
        <v>1460839</v>
      </c>
      <c r="G69" s="32">
        <f t="shared" si="0"/>
        <v>1420343</v>
      </c>
      <c r="H69" s="32">
        <f>SUM(H2:H68)</f>
        <v>1109747</v>
      </c>
    </row>
    <row r="70" spans="1:8" x14ac:dyDescent="0.25">
      <c r="B70" s="17">
        <f t="shared" ref="B70:H70" si="1">B69/$B$72</f>
        <v>8.4283947357666242E-2</v>
      </c>
      <c r="C70" s="17">
        <f>C69/$B$72</f>
        <v>0.16337673424258356</v>
      </c>
      <c r="D70" s="17">
        <f>D69/$B$72</f>
        <v>0.16450144670316155</v>
      </c>
      <c r="E70" s="17">
        <f t="shared" si="1"/>
        <v>0.14341731965876001</v>
      </c>
      <c r="F70" s="17">
        <f t="shared" si="1"/>
        <v>0.16267562635626681</v>
      </c>
      <c r="G70" s="17">
        <f t="shared" si="1"/>
        <v>0.15816608617769587</v>
      </c>
      <c r="H70" s="17">
        <f t="shared" si="1"/>
        <v>0.12357883950386594</v>
      </c>
    </row>
    <row r="72" spans="1:8" x14ac:dyDescent="0.25">
      <c r="A72" s="32" t="s">
        <v>80</v>
      </c>
      <c r="B72" s="16">
        <f>SUM(B69:H69)</f>
        <v>8980073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3" sqref="M13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1950</v>
      </c>
      <c r="D2" s="11">
        <v>2780</v>
      </c>
      <c r="E2" s="11">
        <v>2347</v>
      </c>
      <c r="F2" s="11">
        <v>2118</v>
      </c>
      <c r="G2" s="11">
        <v>2654</v>
      </c>
      <c r="H2" s="11">
        <v>3791</v>
      </c>
      <c r="I2" s="11">
        <v>3535</v>
      </c>
    </row>
    <row r="3" spans="1:9" x14ac:dyDescent="0.25">
      <c r="A3" s="11" t="s">
        <v>2</v>
      </c>
      <c r="B3" s="10" t="s">
        <v>0</v>
      </c>
      <c r="C3" s="11">
        <v>41631</v>
      </c>
      <c r="D3" s="11">
        <v>94570</v>
      </c>
      <c r="E3" s="11">
        <v>89527</v>
      </c>
      <c r="F3" s="11">
        <v>64360</v>
      </c>
      <c r="G3" s="11">
        <v>67329</v>
      </c>
      <c r="H3" s="11">
        <v>80018</v>
      </c>
      <c r="I3" s="11">
        <v>65837</v>
      </c>
    </row>
    <row r="4" spans="1:9" x14ac:dyDescent="0.25">
      <c r="A4" s="11" t="s">
        <v>3</v>
      </c>
      <c r="B4" s="10" t="s">
        <v>0</v>
      </c>
      <c r="C4" s="11">
        <v>610</v>
      </c>
      <c r="D4" s="11">
        <v>1103</v>
      </c>
      <c r="E4" s="11">
        <v>1193</v>
      </c>
      <c r="F4" s="11">
        <v>1270</v>
      </c>
      <c r="G4" s="11">
        <v>1752</v>
      </c>
      <c r="H4" s="11">
        <v>2543</v>
      </c>
      <c r="I4" s="11">
        <v>2186</v>
      </c>
    </row>
    <row r="5" spans="1:9" x14ac:dyDescent="0.25">
      <c r="A5" s="11" t="s">
        <v>4</v>
      </c>
      <c r="B5" s="10" t="s">
        <v>0</v>
      </c>
      <c r="C5" s="11">
        <v>2521</v>
      </c>
      <c r="D5" s="11">
        <v>5671</v>
      </c>
      <c r="E5" s="11">
        <v>6404</v>
      </c>
      <c r="F5" s="11">
        <v>5904</v>
      </c>
      <c r="G5" s="11">
        <v>7323</v>
      </c>
      <c r="H5" s="11">
        <v>9830</v>
      </c>
      <c r="I5" s="11">
        <v>8063</v>
      </c>
    </row>
    <row r="6" spans="1:9" x14ac:dyDescent="0.25">
      <c r="A6" s="11" t="s">
        <v>5</v>
      </c>
      <c r="B6" s="10" t="s">
        <v>0</v>
      </c>
      <c r="C6" s="11">
        <v>306</v>
      </c>
      <c r="D6" s="11">
        <v>521</v>
      </c>
      <c r="E6" s="11">
        <v>584</v>
      </c>
      <c r="F6" s="11">
        <v>623</v>
      </c>
      <c r="G6" s="11">
        <v>857</v>
      </c>
      <c r="H6" s="11">
        <v>1181</v>
      </c>
      <c r="I6" s="11">
        <v>1192</v>
      </c>
    </row>
    <row r="7" spans="1:9" x14ac:dyDescent="0.25">
      <c r="A7" s="11" t="s">
        <v>6</v>
      </c>
      <c r="B7" s="10" t="s">
        <v>0</v>
      </c>
      <c r="C7" s="11">
        <v>8537</v>
      </c>
      <c r="D7" s="11">
        <v>15768</v>
      </c>
      <c r="E7" s="11">
        <v>16346</v>
      </c>
      <c r="F7" s="11">
        <v>14888</v>
      </c>
      <c r="G7" s="11">
        <v>16857</v>
      </c>
      <c r="H7" s="11">
        <v>17339</v>
      </c>
      <c r="I7" s="11">
        <v>14562</v>
      </c>
    </row>
    <row r="8" spans="1:9" x14ac:dyDescent="0.25">
      <c r="A8" s="11" t="s">
        <v>7</v>
      </c>
      <c r="B8" s="10" t="s">
        <v>0</v>
      </c>
      <c r="C8" s="11">
        <v>1528</v>
      </c>
      <c r="D8" s="11">
        <v>3041</v>
      </c>
      <c r="E8" s="11">
        <v>3127</v>
      </c>
      <c r="F8" s="11">
        <v>2559</v>
      </c>
      <c r="G8" s="11">
        <v>2728</v>
      </c>
      <c r="H8" s="11">
        <v>3540</v>
      </c>
      <c r="I8" s="11">
        <v>3266</v>
      </c>
    </row>
    <row r="9" spans="1:9" x14ac:dyDescent="0.25">
      <c r="A9" s="11" t="s">
        <v>8</v>
      </c>
      <c r="B9" s="10" t="s">
        <v>0</v>
      </c>
      <c r="C9" s="11">
        <v>515</v>
      </c>
      <c r="D9" s="11">
        <v>1058</v>
      </c>
      <c r="E9" s="11">
        <v>1068</v>
      </c>
      <c r="F9" s="11">
        <v>909</v>
      </c>
      <c r="G9" s="11">
        <v>1171</v>
      </c>
      <c r="H9" s="11">
        <v>1596</v>
      </c>
      <c r="I9" s="11">
        <v>1495</v>
      </c>
    </row>
    <row r="10" spans="1:9" x14ac:dyDescent="0.25">
      <c r="A10" s="11" t="s">
        <v>9</v>
      </c>
      <c r="B10" s="10" t="s">
        <v>0</v>
      </c>
      <c r="C10" s="11">
        <v>15675</v>
      </c>
      <c r="D10" s="11">
        <v>28165</v>
      </c>
      <c r="E10" s="11">
        <v>30036</v>
      </c>
      <c r="F10" s="11">
        <v>27155</v>
      </c>
      <c r="G10" s="11">
        <v>31114</v>
      </c>
      <c r="H10" s="11">
        <v>34564</v>
      </c>
      <c r="I10" s="11">
        <v>27182</v>
      </c>
    </row>
    <row r="11" spans="1:9" x14ac:dyDescent="0.25">
      <c r="A11" s="11" t="s">
        <v>10</v>
      </c>
      <c r="B11" s="10" t="s">
        <v>0</v>
      </c>
      <c r="C11" s="11">
        <v>2972</v>
      </c>
      <c r="D11" s="11">
        <v>5315</v>
      </c>
      <c r="E11" s="11">
        <v>5929</v>
      </c>
      <c r="F11" s="11">
        <v>5034</v>
      </c>
      <c r="G11" s="11">
        <v>5753</v>
      </c>
      <c r="H11" s="11">
        <v>7545</v>
      </c>
      <c r="I11" s="11">
        <v>6632</v>
      </c>
    </row>
    <row r="12" spans="1:9" x14ac:dyDescent="0.25">
      <c r="A12" s="11" t="s">
        <v>11</v>
      </c>
      <c r="B12" s="10" t="s">
        <v>0</v>
      </c>
      <c r="C12" s="11">
        <v>1712</v>
      </c>
      <c r="D12" s="11">
        <v>3337</v>
      </c>
      <c r="E12" s="11">
        <v>3671</v>
      </c>
      <c r="F12" s="11">
        <v>3702</v>
      </c>
      <c r="G12" s="11">
        <v>4636</v>
      </c>
      <c r="H12" s="11">
        <v>6603</v>
      </c>
      <c r="I12" s="11">
        <v>5708</v>
      </c>
    </row>
    <row r="13" spans="1:9" x14ac:dyDescent="0.25">
      <c r="A13" s="11" t="s">
        <v>12</v>
      </c>
      <c r="B13" s="10" t="s">
        <v>0</v>
      </c>
      <c r="C13" s="11">
        <v>34</v>
      </c>
      <c r="D13" s="11">
        <v>66</v>
      </c>
      <c r="E13" s="11">
        <v>80</v>
      </c>
      <c r="F13" s="11">
        <v>60</v>
      </c>
      <c r="G13" s="11">
        <v>106</v>
      </c>
      <c r="H13" s="11">
        <v>173</v>
      </c>
      <c r="I13" s="11">
        <v>145</v>
      </c>
    </row>
    <row r="14" spans="1:9" x14ac:dyDescent="0.25">
      <c r="A14" s="11" t="s">
        <v>13</v>
      </c>
      <c r="B14" s="10" t="s">
        <v>0</v>
      </c>
      <c r="C14" s="11">
        <v>877</v>
      </c>
      <c r="D14" s="11">
        <v>1774</v>
      </c>
      <c r="E14" s="11">
        <v>1942</v>
      </c>
      <c r="F14" s="11">
        <v>1931</v>
      </c>
      <c r="G14" s="11">
        <v>2401</v>
      </c>
      <c r="H14" s="11">
        <v>2879</v>
      </c>
      <c r="I14" s="11">
        <v>2288</v>
      </c>
    </row>
    <row r="15" spans="1:9" x14ac:dyDescent="0.25">
      <c r="A15" s="11" t="s">
        <v>14</v>
      </c>
      <c r="B15" s="10" t="s">
        <v>0</v>
      </c>
      <c r="C15" s="11">
        <v>7615</v>
      </c>
      <c r="D15" s="11">
        <v>9086</v>
      </c>
      <c r="E15" s="11">
        <v>5719</v>
      </c>
      <c r="F15" s="11">
        <v>4636</v>
      </c>
      <c r="G15" s="11">
        <v>4496</v>
      </c>
      <c r="H15" s="11">
        <v>5087</v>
      </c>
      <c r="I15" s="11">
        <v>4693</v>
      </c>
    </row>
    <row r="16" spans="1:9" x14ac:dyDescent="0.25">
      <c r="A16" s="11" t="s">
        <v>15</v>
      </c>
      <c r="B16" s="10" t="s">
        <v>0</v>
      </c>
      <c r="C16" s="11">
        <v>16488</v>
      </c>
      <c r="D16" s="11">
        <v>27269</v>
      </c>
      <c r="E16" s="11">
        <v>26299</v>
      </c>
      <c r="F16" s="11">
        <v>23428</v>
      </c>
      <c r="G16" s="11">
        <v>24020</v>
      </c>
      <c r="H16" s="11">
        <v>24412</v>
      </c>
      <c r="I16" s="11">
        <v>18812</v>
      </c>
    </row>
    <row r="17" spans="1:9" x14ac:dyDescent="0.25">
      <c r="A17" s="11" t="s">
        <v>16</v>
      </c>
      <c r="B17" s="10" t="s">
        <v>0</v>
      </c>
      <c r="C17" s="11">
        <v>300</v>
      </c>
      <c r="D17" s="11">
        <v>637</v>
      </c>
      <c r="E17" s="11">
        <v>596</v>
      </c>
      <c r="F17" s="11">
        <v>593</v>
      </c>
      <c r="G17" s="11">
        <v>725</v>
      </c>
      <c r="H17" s="11">
        <v>1157</v>
      </c>
      <c r="I17" s="11">
        <v>1049</v>
      </c>
    </row>
    <row r="18" spans="1:9" x14ac:dyDescent="0.25">
      <c r="A18" s="11" t="s">
        <v>17</v>
      </c>
      <c r="B18" s="10" t="s">
        <v>0</v>
      </c>
      <c r="C18" s="11">
        <v>694</v>
      </c>
      <c r="D18" s="11">
        <v>1357</v>
      </c>
      <c r="E18" s="11">
        <v>1466</v>
      </c>
      <c r="F18" s="11">
        <v>1515</v>
      </c>
      <c r="G18" s="11">
        <v>1954</v>
      </c>
      <c r="H18" s="11">
        <v>2560</v>
      </c>
      <c r="I18" s="11">
        <v>2478</v>
      </c>
    </row>
    <row r="19" spans="1:9" x14ac:dyDescent="0.25">
      <c r="A19" s="11" t="s">
        <v>18</v>
      </c>
      <c r="B19" s="10" t="s">
        <v>0</v>
      </c>
      <c r="C19" s="11">
        <v>387</v>
      </c>
      <c r="D19" s="11">
        <v>852</v>
      </c>
      <c r="E19" s="11">
        <v>779</v>
      </c>
      <c r="F19" s="11">
        <v>750</v>
      </c>
      <c r="G19" s="11">
        <v>904</v>
      </c>
      <c r="H19" s="11">
        <v>1273</v>
      </c>
      <c r="I19" s="11">
        <v>1122</v>
      </c>
    </row>
    <row r="20" spans="1:9" x14ac:dyDescent="0.25">
      <c r="A20" s="11" t="s">
        <v>19</v>
      </c>
      <c r="B20" s="10" t="s">
        <v>0</v>
      </c>
      <c r="C20" s="11">
        <v>1180</v>
      </c>
      <c r="D20" s="11">
        <v>1729</v>
      </c>
      <c r="E20" s="11">
        <v>1666</v>
      </c>
      <c r="F20" s="11">
        <v>1475</v>
      </c>
      <c r="G20" s="11">
        <v>1603</v>
      </c>
      <c r="H20" s="11">
        <v>2198</v>
      </c>
      <c r="I20" s="11">
        <v>1899</v>
      </c>
    </row>
    <row r="21" spans="1:9" x14ac:dyDescent="0.25">
      <c r="A21" s="11" t="s">
        <v>20</v>
      </c>
      <c r="B21" s="10" t="s">
        <v>0</v>
      </c>
      <c r="C21" s="11">
        <v>1013</v>
      </c>
      <c r="D21" s="11">
        <v>1826</v>
      </c>
      <c r="E21" s="11">
        <v>1752</v>
      </c>
      <c r="F21" s="11">
        <v>1739</v>
      </c>
      <c r="G21" s="11">
        <v>2154</v>
      </c>
      <c r="H21" s="11">
        <v>3037</v>
      </c>
      <c r="I21" s="11">
        <v>2874</v>
      </c>
    </row>
    <row r="22" spans="1:9" x14ac:dyDescent="0.25">
      <c r="A22" s="11" t="s">
        <v>21</v>
      </c>
      <c r="B22" s="10" t="s">
        <v>0</v>
      </c>
      <c r="C22" s="11">
        <v>6275</v>
      </c>
      <c r="D22" s="11">
        <v>10380</v>
      </c>
      <c r="E22" s="11">
        <v>10893</v>
      </c>
      <c r="F22" s="11">
        <v>8723</v>
      </c>
      <c r="G22" s="11">
        <v>8009</v>
      </c>
      <c r="H22" s="11">
        <v>9056</v>
      </c>
      <c r="I22" s="11">
        <v>8345</v>
      </c>
    </row>
    <row r="23" spans="1:9" x14ac:dyDescent="0.25">
      <c r="A23" s="11" t="s">
        <v>22</v>
      </c>
      <c r="B23" s="10" t="s">
        <v>0</v>
      </c>
      <c r="C23" s="11">
        <v>7407</v>
      </c>
      <c r="D23" s="11">
        <v>15662</v>
      </c>
      <c r="E23" s="11">
        <v>15293</v>
      </c>
      <c r="F23" s="11">
        <v>12880</v>
      </c>
      <c r="G23" s="11">
        <v>13012</v>
      </c>
      <c r="H23" s="11">
        <v>13151</v>
      </c>
      <c r="I23" s="11">
        <v>9158</v>
      </c>
    </row>
    <row r="24" spans="1:9" x14ac:dyDescent="0.25">
      <c r="A24" s="11" t="s">
        <v>23</v>
      </c>
      <c r="B24" s="10" t="s">
        <v>0</v>
      </c>
      <c r="C24" s="11">
        <v>19146</v>
      </c>
      <c r="D24" s="11">
        <v>34948</v>
      </c>
      <c r="E24" s="11">
        <v>38745</v>
      </c>
      <c r="F24" s="11">
        <v>30586</v>
      </c>
      <c r="G24" s="11">
        <v>29417</v>
      </c>
      <c r="H24" s="11">
        <v>29064</v>
      </c>
      <c r="I24" s="11">
        <v>20864</v>
      </c>
    </row>
    <row r="25" spans="1:9" x14ac:dyDescent="0.25">
      <c r="A25" s="11" t="s">
        <v>24</v>
      </c>
      <c r="B25" s="10" t="s">
        <v>0</v>
      </c>
      <c r="C25" s="11">
        <v>324</v>
      </c>
      <c r="D25" s="11">
        <v>598</v>
      </c>
      <c r="E25" s="11">
        <v>650</v>
      </c>
      <c r="F25" s="11">
        <v>644</v>
      </c>
      <c r="G25" s="11">
        <v>1003</v>
      </c>
      <c r="H25" s="11">
        <v>1322</v>
      </c>
      <c r="I25" s="11">
        <v>1234</v>
      </c>
    </row>
    <row r="26" spans="1:9" x14ac:dyDescent="0.25">
      <c r="A26" s="11" t="s">
        <v>25</v>
      </c>
      <c r="B26" s="10" t="s">
        <v>0</v>
      </c>
      <c r="C26" s="11">
        <v>5453</v>
      </c>
      <c r="D26" s="11">
        <v>11271</v>
      </c>
      <c r="E26" s="11">
        <v>11158</v>
      </c>
      <c r="F26" s="11">
        <v>10147</v>
      </c>
      <c r="G26" s="11">
        <v>11700</v>
      </c>
      <c r="H26" s="11">
        <v>14842</v>
      </c>
      <c r="I26" s="11">
        <v>11885</v>
      </c>
    </row>
    <row r="27" spans="1:9" x14ac:dyDescent="0.25">
      <c r="A27" s="11" t="s">
        <v>26</v>
      </c>
      <c r="B27" s="10" t="s">
        <v>0</v>
      </c>
      <c r="C27" s="11">
        <v>1343</v>
      </c>
      <c r="D27" s="11">
        <v>2923</v>
      </c>
      <c r="E27" s="11">
        <v>3487</v>
      </c>
      <c r="F27" s="11">
        <v>3840</v>
      </c>
      <c r="G27" s="11">
        <v>5025</v>
      </c>
      <c r="H27" s="11">
        <v>6852</v>
      </c>
      <c r="I27" s="11">
        <v>5994</v>
      </c>
    </row>
    <row r="28" spans="1:9" x14ac:dyDescent="0.25">
      <c r="A28" s="11" t="s">
        <v>27</v>
      </c>
      <c r="B28" s="10" t="s">
        <v>0</v>
      </c>
      <c r="C28" s="11">
        <v>17</v>
      </c>
      <c r="D28" s="11">
        <v>47</v>
      </c>
      <c r="E28" s="11">
        <v>57</v>
      </c>
      <c r="F28" s="11">
        <v>69</v>
      </c>
      <c r="G28" s="11">
        <v>147</v>
      </c>
      <c r="H28" s="11">
        <v>243</v>
      </c>
      <c r="I28" s="11">
        <v>203</v>
      </c>
    </row>
    <row r="29" spans="1:9" x14ac:dyDescent="0.25">
      <c r="A29" s="11" t="s">
        <v>28</v>
      </c>
      <c r="B29" s="10" t="s">
        <v>0</v>
      </c>
      <c r="C29" s="11">
        <v>2029</v>
      </c>
      <c r="D29" s="11">
        <v>3693</v>
      </c>
      <c r="E29" s="11">
        <v>3459</v>
      </c>
      <c r="F29" s="11">
        <v>3098</v>
      </c>
      <c r="G29" s="11">
        <v>3231</v>
      </c>
      <c r="H29" s="11">
        <v>3962</v>
      </c>
      <c r="I29" s="11">
        <v>4023</v>
      </c>
    </row>
    <row r="30" spans="1:9" x14ac:dyDescent="0.25">
      <c r="A30" s="11" t="s">
        <v>29</v>
      </c>
      <c r="B30" s="10" t="s">
        <v>0</v>
      </c>
      <c r="C30" s="11">
        <v>83</v>
      </c>
      <c r="D30" s="11">
        <v>139</v>
      </c>
      <c r="E30" s="11">
        <v>160</v>
      </c>
      <c r="F30" s="11">
        <v>174</v>
      </c>
      <c r="G30" s="11">
        <v>245</v>
      </c>
      <c r="H30" s="11">
        <v>284</v>
      </c>
      <c r="I30" s="11">
        <v>387</v>
      </c>
    </row>
    <row r="31" spans="1:9" x14ac:dyDescent="0.25">
      <c r="A31" s="11" t="s">
        <v>30</v>
      </c>
      <c r="B31" s="10" t="s">
        <v>0</v>
      </c>
      <c r="C31" s="11">
        <v>303</v>
      </c>
      <c r="D31" s="11">
        <v>668</v>
      </c>
      <c r="E31" s="11">
        <v>821</v>
      </c>
      <c r="F31" s="11">
        <v>943</v>
      </c>
      <c r="G31" s="11">
        <v>1282</v>
      </c>
      <c r="H31" s="11">
        <v>1814</v>
      </c>
      <c r="I31" s="11">
        <v>1532</v>
      </c>
    </row>
    <row r="32" spans="1:9" x14ac:dyDescent="0.25">
      <c r="A32" s="11" t="s">
        <v>31</v>
      </c>
      <c r="B32" s="10" t="s">
        <v>0</v>
      </c>
      <c r="C32" s="11">
        <v>590</v>
      </c>
      <c r="D32" s="11">
        <v>854</v>
      </c>
      <c r="E32" s="11">
        <v>604</v>
      </c>
      <c r="F32" s="11">
        <v>716</v>
      </c>
      <c r="G32" s="11">
        <v>859</v>
      </c>
      <c r="H32" s="11">
        <v>1211</v>
      </c>
      <c r="I32" s="11">
        <v>1176</v>
      </c>
    </row>
    <row r="33" spans="1:9" x14ac:dyDescent="0.25">
      <c r="A33" s="11" t="s">
        <v>32</v>
      </c>
      <c r="B33" s="10" t="s">
        <v>0</v>
      </c>
      <c r="C33" s="11">
        <v>1283</v>
      </c>
      <c r="D33" s="11">
        <v>1823</v>
      </c>
      <c r="E33" s="11">
        <v>1528</v>
      </c>
      <c r="F33" s="11">
        <v>1513</v>
      </c>
      <c r="G33" s="11">
        <v>2071</v>
      </c>
      <c r="H33" s="11">
        <v>3003</v>
      </c>
      <c r="I33" s="11">
        <v>2672</v>
      </c>
    </row>
    <row r="34" spans="1:9" x14ac:dyDescent="0.25">
      <c r="A34" s="11" t="s">
        <v>33</v>
      </c>
      <c r="B34" s="10" t="s">
        <v>0</v>
      </c>
      <c r="C34" s="11">
        <v>351</v>
      </c>
      <c r="D34" s="11">
        <v>623</v>
      </c>
      <c r="E34" s="11">
        <v>671</v>
      </c>
      <c r="F34" s="11">
        <v>662</v>
      </c>
      <c r="G34" s="11">
        <v>795</v>
      </c>
      <c r="H34" s="11">
        <v>1268</v>
      </c>
      <c r="I34" s="11">
        <v>1071</v>
      </c>
    </row>
    <row r="35" spans="1:9" x14ac:dyDescent="0.25">
      <c r="A35" s="11" t="s">
        <v>34</v>
      </c>
      <c r="B35" s="10" t="s">
        <v>0</v>
      </c>
      <c r="C35" s="11">
        <v>137</v>
      </c>
      <c r="D35" s="11">
        <v>245</v>
      </c>
      <c r="E35" s="11">
        <v>298</v>
      </c>
      <c r="F35" s="11">
        <v>323</v>
      </c>
      <c r="G35" s="11">
        <v>408</v>
      </c>
      <c r="H35" s="11">
        <v>599</v>
      </c>
      <c r="I35" s="11">
        <v>530</v>
      </c>
    </row>
    <row r="36" spans="1:9" x14ac:dyDescent="0.25">
      <c r="A36" s="11" t="s">
        <v>35</v>
      </c>
      <c r="B36" s="10" t="s">
        <v>0</v>
      </c>
      <c r="C36" s="11">
        <v>5223</v>
      </c>
      <c r="D36" s="11">
        <v>10591</v>
      </c>
      <c r="E36" s="11">
        <v>11774</v>
      </c>
      <c r="F36" s="11">
        <v>10260</v>
      </c>
      <c r="G36" s="11">
        <v>12568</v>
      </c>
      <c r="H36" s="11">
        <v>14044</v>
      </c>
      <c r="I36" s="11">
        <v>12248</v>
      </c>
    </row>
    <row r="37" spans="1:9" x14ac:dyDescent="0.25">
      <c r="A37" s="11" t="s">
        <v>36</v>
      </c>
      <c r="B37" s="10" t="s">
        <v>0</v>
      </c>
      <c r="C37" s="11">
        <v>9752</v>
      </c>
      <c r="D37" s="11">
        <v>20097</v>
      </c>
      <c r="E37" s="11">
        <v>19658</v>
      </c>
      <c r="F37" s="11">
        <v>15294</v>
      </c>
      <c r="G37" s="11">
        <v>15294</v>
      </c>
      <c r="H37" s="11">
        <v>17457</v>
      </c>
      <c r="I37" s="11">
        <v>15457</v>
      </c>
    </row>
    <row r="38" spans="1:9" x14ac:dyDescent="0.25">
      <c r="A38" s="11" t="s">
        <v>37</v>
      </c>
      <c r="B38" s="10" t="s">
        <v>0</v>
      </c>
      <c r="C38" s="11">
        <v>1156</v>
      </c>
      <c r="D38" s="11">
        <v>2390</v>
      </c>
      <c r="E38" s="11">
        <v>2490</v>
      </c>
      <c r="F38" s="11">
        <v>2468</v>
      </c>
      <c r="G38" s="11">
        <v>3248</v>
      </c>
      <c r="H38" s="11">
        <v>4188</v>
      </c>
      <c r="I38" s="11">
        <v>3740</v>
      </c>
    </row>
    <row r="39" spans="1:9" x14ac:dyDescent="0.25">
      <c r="A39" s="11" t="s">
        <v>38</v>
      </c>
      <c r="B39" s="10" t="s">
        <v>0</v>
      </c>
      <c r="C39" s="11">
        <v>2075</v>
      </c>
      <c r="D39" s="11">
        <v>3732</v>
      </c>
      <c r="E39" s="11">
        <v>4039</v>
      </c>
      <c r="F39" s="11">
        <v>3660</v>
      </c>
      <c r="G39" s="11">
        <v>3850</v>
      </c>
      <c r="H39" s="11">
        <v>4241</v>
      </c>
      <c r="I39" s="11">
        <v>3851</v>
      </c>
    </row>
    <row r="40" spans="1:9" x14ac:dyDescent="0.25">
      <c r="A40" s="11" t="s">
        <v>39</v>
      </c>
      <c r="B40" s="10" t="s">
        <v>0</v>
      </c>
      <c r="C40" s="11">
        <v>9236</v>
      </c>
      <c r="D40" s="11">
        <v>18334</v>
      </c>
      <c r="E40" s="11">
        <v>18685</v>
      </c>
      <c r="F40" s="11">
        <v>16743</v>
      </c>
      <c r="G40" s="11">
        <v>17037</v>
      </c>
      <c r="H40" s="11">
        <v>17460</v>
      </c>
      <c r="I40" s="11">
        <v>14098</v>
      </c>
    </row>
    <row r="41" spans="1:9" x14ac:dyDescent="0.25">
      <c r="A41" s="11" t="s">
        <v>40</v>
      </c>
      <c r="B41" s="10" t="s">
        <v>0</v>
      </c>
      <c r="C41" s="11">
        <v>6012</v>
      </c>
      <c r="D41" s="11">
        <v>12229</v>
      </c>
      <c r="E41" s="11">
        <v>13277</v>
      </c>
      <c r="F41" s="11">
        <v>11960</v>
      </c>
      <c r="G41" s="11">
        <v>13766</v>
      </c>
      <c r="H41" s="11">
        <v>15034</v>
      </c>
      <c r="I41" s="11">
        <v>12903</v>
      </c>
    </row>
    <row r="42" spans="1:9" x14ac:dyDescent="0.25">
      <c r="A42" s="11" t="s">
        <v>41</v>
      </c>
      <c r="B42" s="10" t="s">
        <v>0</v>
      </c>
      <c r="C42" s="11">
        <v>1422</v>
      </c>
      <c r="D42" s="11">
        <v>2897</v>
      </c>
      <c r="E42" s="11">
        <v>2825</v>
      </c>
      <c r="F42" s="11">
        <v>2339</v>
      </c>
      <c r="G42" s="11">
        <v>2586</v>
      </c>
      <c r="H42" s="11">
        <v>3367</v>
      </c>
      <c r="I42" s="11">
        <v>2763</v>
      </c>
    </row>
    <row r="43" spans="1:9" x14ac:dyDescent="0.25">
      <c r="A43" s="11" t="s">
        <v>42</v>
      </c>
      <c r="B43" s="10" t="s">
        <v>0</v>
      </c>
      <c r="C43" s="11">
        <v>354</v>
      </c>
      <c r="D43" s="11">
        <v>731</v>
      </c>
      <c r="E43" s="11">
        <v>692</v>
      </c>
      <c r="F43" s="11">
        <v>649</v>
      </c>
      <c r="G43" s="11">
        <v>778</v>
      </c>
      <c r="H43" s="11">
        <v>1120</v>
      </c>
      <c r="I43" s="11">
        <v>963</v>
      </c>
    </row>
    <row r="44" spans="1:9" x14ac:dyDescent="0.25">
      <c r="A44" s="11" t="s">
        <v>43</v>
      </c>
      <c r="B44" s="10" t="s">
        <v>0</v>
      </c>
      <c r="C44" s="11">
        <v>1383</v>
      </c>
      <c r="D44" s="11">
        <v>2669</v>
      </c>
      <c r="E44" s="11">
        <v>2954</v>
      </c>
      <c r="F44" s="11">
        <v>2763</v>
      </c>
      <c r="G44" s="11">
        <v>3674</v>
      </c>
      <c r="H44" s="11">
        <v>5238</v>
      </c>
      <c r="I44" s="11">
        <v>4439</v>
      </c>
    </row>
    <row r="45" spans="1:9" x14ac:dyDescent="0.25">
      <c r="A45" s="11" t="s">
        <v>44</v>
      </c>
      <c r="B45" s="10" t="s">
        <v>0</v>
      </c>
      <c r="C45" s="11">
        <v>310</v>
      </c>
      <c r="D45" s="11">
        <v>691</v>
      </c>
      <c r="E45" s="11">
        <v>757</v>
      </c>
      <c r="F45" s="11">
        <v>697</v>
      </c>
      <c r="G45" s="11">
        <v>796</v>
      </c>
      <c r="H45" s="11">
        <v>1023</v>
      </c>
      <c r="I45" s="11">
        <v>1100</v>
      </c>
    </row>
    <row r="46" spans="1:9" x14ac:dyDescent="0.25">
      <c r="A46" s="11" t="s">
        <v>45</v>
      </c>
      <c r="B46" s="10" t="s">
        <v>0</v>
      </c>
      <c r="C46" s="11">
        <v>4101</v>
      </c>
      <c r="D46" s="11">
        <v>7331</v>
      </c>
      <c r="E46" s="11">
        <v>6745</v>
      </c>
      <c r="F46" s="11">
        <v>6921</v>
      </c>
      <c r="G46" s="11">
        <v>9105</v>
      </c>
      <c r="H46" s="11">
        <v>8779</v>
      </c>
      <c r="I46" s="11">
        <v>5550</v>
      </c>
    </row>
    <row r="47" spans="1:9" x14ac:dyDescent="0.25">
      <c r="A47" s="11" t="s">
        <v>46</v>
      </c>
      <c r="B47" s="10" t="s">
        <v>0</v>
      </c>
      <c r="C47" s="11">
        <v>26845</v>
      </c>
      <c r="D47" s="11">
        <v>49143</v>
      </c>
      <c r="E47" s="11">
        <v>54023</v>
      </c>
      <c r="F47" s="11">
        <v>45605</v>
      </c>
      <c r="G47" s="11">
        <v>44591</v>
      </c>
      <c r="H47" s="11">
        <v>46442</v>
      </c>
      <c r="I47" s="11">
        <v>38775</v>
      </c>
    </row>
    <row r="48" spans="1:9" x14ac:dyDescent="0.25">
      <c r="A48" s="11" t="s">
        <v>47</v>
      </c>
      <c r="B48" s="10" t="s">
        <v>0</v>
      </c>
      <c r="C48" s="11">
        <v>242</v>
      </c>
      <c r="D48" s="11">
        <v>593</v>
      </c>
      <c r="E48" s="11">
        <v>632</v>
      </c>
      <c r="F48" s="11">
        <v>446</v>
      </c>
      <c r="G48" s="11">
        <v>508</v>
      </c>
      <c r="H48" s="11">
        <v>713</v>
      </c>
      <c r="I48" s="11">
        <v>645</v>
      </c>
    </row>
    <row r="49" spans="1:9" x14ac:dyDescent="0.25">
      <c r="A49" s="11" t="s">
        <v>48</v>
      </c>
      <c r="B49" s="10" t="s">
        <v>0</v>
      </c>
      <c r="C49" s="11">
        <v>9912</v>
      </c>
      <c r="D49" s="11">
        <v>15214</v>
      </c>
      <c r="E49" s="11">
        <v>14388</v>
      </c>
      <c r="F49" s="11">
        <v>12964</v>
      </c>
      <c r="G49" s="11">
        <v>14265</v>
      </c>
      <c r="H49" s="11">
        <v>15794</v>
      </c>
      <c r="I49" s="11">
        <v>13466</v>
      </c>
    </row>
    <row r="50" spans="1:9" x14ac:dyDescent="0.25">
      <c r="A50" s="11" t="s">
        <v>49</v>
      </c>
      <c r="B50" s="10" t="s">
        <v>0</v>
      </c>
      <c r="C50" s="11">
        <v>863</v>
      </c>
      <c r="D50" s="11">
        <v>1913</v>
      </c>
      <c r="E50" s="11">
        <v>2216</v>
      </c>
      <c r="F50" s="11">
        <v>2068</v>
      </c>
      <c r="G50" s="11">
        <v>2366</v>
      </c>
      <c r="H50" s="11">
        <v>3182</v>
      </c>
      <c r="I50" s="11">
        <v>2743</v>
      </c>
    </row>
    <row r="51" spans="1:9" x14ac:dyDescent="0.25">
      <c r="A51" s="11" t="s">
        <v>50</v>
      </c>
      <c r="B51" s="10" t="s">
        <v>0</v>
      </c>
      <c r="C51" s="11">
        <v>472</v>
      </c>
      <c r="D51" s="11">
        <v>824</v>
      </c>
      <c r="E51" s="11">
        <v>897</v>
      </c>
      <c r="F51" s="11">
        <v>832</v>
      </c>
      <c r="G51" s="11">
        <v>952</v>
      </c>
      <c r="H51" s="11">
        <v>1103</v>
      </c>
      <c r="I51" s="11">
        <v>944</v>
      </c>
    </row>
    <row r="52" spans="1:9" x14ac:dyDescent="0.25">
      <c r="A52" s="11" t="s">
        <v>51</v>
      </c>
      <c r="B52" s="10" t="s">
        <v>0</v>
      </c>
      <c r="C52" s="11">
        <v>61149</v>
      </c>
      <c r="D52" s="11">
        <v>177303</v>
      </c>
      <c r="E52" s="11">
        <v>156377</v>
      </c>
      <c r="F52" s="11">
        <v>103062</v>
      </c>
      <c r="G52" s="11">
        <v>108825</v>
      </c>
      <c r="H52" s="11">
        <v>98945</v>
      </c>
      <c r="I52" s="11">
        <v>71931</v>
      </c>
    </row>
    <row r="53" spans="1:9" x14ac:dyDescent="0.25">
      <c r="A53" s="11" t="s">
        <v>52</v>
      </c>
      <c r="B53" s="10" t="s">
        <v>0</v>
      </c>
      <c r="C53" s="11">
        <v>962</v>
      </c>
      <c r="D53" s="11">
        <v>1780</v>
      </c>
      <c r="E53" s="11">
        <v>1718</v>
      </c>
      <c r="F53" s="11">
        <v>1778</v>
      </c>
      <c r="G53" s="11">
        <v>2482</v>
      </c>
      <c r="H53" s="11">
        <v>2818</v>
      </c>
      <c r="I53" s="11">
        <v>2070</v>
      </c>
    </row>
    <row r="54" spans="1:9" x14ac:dyDescent="0.25">
      <c r="A54" s="11" t="s">
        <v>53</v>
      </c>
      <c r="B54" s="10" t="s">
        <v>0</v>
      </c>
      <c r="C54" s="11">
        <v>108</v>
      </c>
      <c r="D54" s="11">
        <v>141</v>
      </c>
      <c r="E54" s="11">
        <v>203</v>
      </c>
      <c r="F54" s="11">
        <v>204</v>
      </c>
      <c r="G54" s="11">
        <v>286</v>
      </c>
      <c r="H54" s="11">
        <v>425</v>
      </c>
      <c r="I54" s="11">
        <v>372</v>
      </c>
    </row>
    <row r="55" spans="1:9" x14ac:dyDescent="0.25">
      <c r="A55" s="11" t="s">
        <v>54</v>
      </c>
      <c r="B55" s="10" t="s">
        <v>0</v>
      </c>
      <c r="C55" s="11">
        <v>1524</v>
      </c>
      <c r="D55" s="11">
        <v>3276</v>
      </c>
      <c r="E55" s="11">
        <v>3661</v>
      </c>
      <c r="F55" s="11">
        <v>3525</v>
      </c>
      <c r="G55" s="11">
        <v>4168</v>
      </c>
      <c r="H55" s="11">
        <v>5070</v>
      </c>
      <c r="I55" s="11">
        <v>4134</v>
      </c>
    </row>
    <row r="56" spans="1:9" x14ac:dyDescent="0.25">
      <c r="A56" s="11" t="s">
        <v>55</v>
      </c>
      <c r="B56" s="10" t="s">
        <v>0</v>
      </c>
      <c r="C56" s="11">
        <v>607</v>
      </c>
      <c r="D56" s="11">
        <v>702</v>
      </c>
      <c r="E56" s="11">
        <v>637</v>
      </c>
      <c r="F56" s="11">
        <v>594</v>
      </c>
      <c r="G56" s="11">
        <v>683</v>
      </c>
      <c r="H56" s="11">
        <v>850</v>
      </c>
      <c r="I56" s="11">
        <v>810</v>
      </c>
    </row>
    <row r="57" spans="1:9" x14ac:dyDescent="0.25">
      <c r="A57" s="11" t="s">
        <v>56</v>
      </c>
      <c r="B57" s="10" t="s">
        <v>0</v>
      </c>
      <c r="C57" s="11">
        <v>483</v>
      </c>
      <c r="D57" s="11">
        <v>1036</v>
      </c>
      <c r="E57" s="11">
        <v>1337</v>
      </c>
      <c r="F57" s="11">
        <v>1252</v>
      </c>
      <c r="G57" s="11">
        <v>1622</v>
      </c>
      <c r="H57" s="11">
        <v>2438</v>
      </c>
      <c r="I57" s="11">
        <v>2305</v>
      </c>
    </row>
    <row r="58" spans="1:9" x14ac:dyDescent="0.25">
      <c r="A58" s="11" t="s">
        <v>57</v>
      </c>
      <c r="B58" s="10" t="s">
        <v>0</v>
      </c>
      <c r="C58" s="11">
        <v>45</v>
      </c>
      <c r="D58" s="11">
        <v>82</v>
      </c>
      <c r="E58" s="11">
        <v>97</v>
      </c>
      <c r="F58" s="11">
        <v>104</v>
      </c>
      <c r="G58" s="11">
        <v>168</v>
      </c>
      <c r="H58" s="11">
        <v>303</v>
      </c>
      <c r="I58" s="11">
        <v>269</v>
      </c>
    </row>
    <row r="59" spans="1:9" x14ac:dyDescent="0.25">
      <c r="A59" s="11" t="s">
        <v>58</v>
      </c>
      <c r="B59" s="10" t="s">
        <v>0</v>
      </c>
      <c r="C59" s="11">
        <v>353</v>
      </c>
      <c r="D59" s="11">
        <v>721</v>
      </c>
      <c r="E59" s="11">
        <v>775</v>
      </c>
      <c r="F59" s="11">
        <v>749</v>
      </c>
      <c r="G59" s="11">
        <v>1034</v>
      </c>
      <c r="H59" s="11">
        <v>1368</v>
      </c>
      <c r="I59" s="11">
        <v>1232</v>
      </c>
    </row>
    <row r="60" spans="1:9" x14ac:dyDescent="0.25">
      <c r="A60" s="11" t="s">
        <v>59</v>
      </c>
      <c r="B60" s="10" t="s">
        <v>0</v>
      </c>
      <c r="C60" s="11">
        <v>389</v>
      </c>
      <c r="D60" s="11">
        <v>603</v>
      </c>
      <c r="E60" s="11">
        <v>618</v>
      </c>
      <c r="F60" s="11">
        <v>606</v>
      </c>
      <c r="G60" s="11">
        <v>743</v>
      </c>
      <c r="H60" s="11">
        <v>1031</v>
      </c>
      <c r="I60" s="11">
        <v>938</v>
      </c>
    </row>
    <row r="61" spans="1:9" x14ac:dyDescent="0.25">
      <c r="A61" s="11" t="s">
        <v>60</v>
      </c>
      <c r="B61" s="10" t="s">
        <v>0</v>
      </c>
      <c r="C61" s="11">
        <v>1459</v>
      </c>
      <c r="D61" s="11">
        <v>1392</v>
      </c>
      <c r="E61" s="11">
        <v>1033</v>
      </c>
      <c r="F61" s="11">
        <v>863</v>
      </c>
      <c r="G61" s="11">
        <v>891</v>
      </c>
      <c r="H61" s="11">
        <v>1067</v>
      </c>
      <c r="I61" s="11">
        <v>1093</v>
      </c>
    </row>
    <row r="62" spans="1:9" x14ac:dyDescent="0.25">
      <c r="A62" s="11" t="s">
        <v>61</v>
      </c>
      <c r="B62" s="10" t="s">
        <v>0</v>
      </c>
      <c r="C62" s="11">
        <v>493</v>
      </c>
      <c r="D62" s="11">
        <v>877</v>
      </c>
      <c r="E62" s="11">
        <v>1020</v>
      </c>
      <c r="F62" s="11">
        <v>952</v>
      </c>
      <c r="G62" s="11">
        <v>1181</v>
      </c>
      <c r="H62" s="11">
        <v>1930</v>
      </c>
      <c r="I62" s="11">
        <v>1570</v>
      </c>
    </row>
    <row r="63" spans="1:9" x14ac:dyDescent="0.25">
      <c r="A63" s="11" t="s">
        <v>62</v>
      </c>
      <c r="B63" s="10" t="s">
        <v>0</v>
      </c>
      <c r="C63" s="11">
        <v>380</v>
      </c>
      <c r="D63" s="11">
        <v>649</v>
      </c>
      <c r="E63" s="11">
        <v>766</v>
      </c>
      <c r="F63" s="11">
        <v>712</v>
      </c>
      <c r="G63" s="11">
        <v>1055</v>
      </c>
      <c r="H63" s="11">
        <v>1475</v>
      </c>
      <c r="I63" s="11">
        <v>1313</v>
      </c>
    </row>
    <row r="64" spans="1:9" x14ac:dyDescent="0.25">
      <c r="A64" s="11" t="s">
        <v>63</v>
      </c>
      <c r="B64" s="10" t="s">
        <v>0</v>
      </c>
      <c r="C64" s="11">
        <v>3085</v>
      </c>
      <c r="D64" s="11">
        <v>5871</v>
      </c>
      <c r="E64" s="11">
        <v>7077</v>
      </c>
      <c r="F64" s="11">
        <v>6579</v>
      </c>
      <c r="G64" s="11">
        <v>8505</v>
      </c>
      <c r="H64" s="11">
        <v>11438</v>
      </c>
      <c r="I64" s="11">
        <v>10051</v>
      </c>
    </row>
    <row r="65" spans="1:9" x14ac:dyDescent="0.25">
      <c r="A65" s="11" t="s">
        <v>64</v>
      </c>
      <c r="B65" s="10" t="s">
        <v>0</v>
      </c>
      <c r="C65" s="11">
        <v>499</v>
      </c>
      <c r="D65" s="11">
        <v>1024</v>
      </c>
      <c r="E65" s="11">
        <v>1182</v>
      </c>
      <c r="F65" s="11">
        <v>1092</v>
      </c>
      <c r="G65" s="11">
        <v>1426</v>
      </c>
      <c r="H65" s="11">
        <v>1910</v>
      </c>
      <c r="I65" s="11">
        <v>1571</v>
      </c>
    </row>
    <row r="66" spans="1:9" x14ac:dyDescent="0.25">
      <c r="A66" s="11" t="s">
        <v>65</v>
      </c>
      <c r="B66" s="10" t="s">
        <v>0</v>
      </c>
      <c r="C66" s="11">
        <v>5225</v>
      </c>
      <c r="D66" s="11">
        <v>10033</v>
      </c>
      <c r="E66" s="11">
        <v>11268</v>
      </c>
      <c r="F66" s="11">
        <v>10563</v>
      </c>
      <c r="G66" s="11">
        <v>13578</v>
      </c>
      <c r="H66" s="11">
        <v>18827</v>
      </c>
      <c r="I66" s="11">
        <v>17260</v>
      </c>
    </row>
    <row r="67" spans="1:9" x14ac:dyDescent="0.25">
      <c r="A67" s="11" t="s">
        <v>66</v>
      </c>
      <c r="B67" s="10" t="s">
        <v>0</v>
      </c>
      <c r="C67" s="11">
        <v>326</v>
      </c>
      <c r="D67" s="11">
        <v>615</v>
      </c>
      <c r="E67" s="11">
        <v>658</v>
      </c>
      <c r="F67" s="11">
        <v>610</v>
      </c>
      <c r="G67" s="11">
        <v>761</v>
      </c>
      <c r="H67" s="11">
        <v>964</v>
      </c>
      <c r="I67" s="11">
        <v>745</v>
      </c>
    </row>
    <row r="68" spans="1:9" ht="13.8" thickBot="1" x14ac:dyDescent="0.3">
      <c r="A68" s="13" t="s">
        <v>67</v>
      </c>
      <c r="B68" s="12" t="s">
        <v>0</v>
      </c>
      <c r="C68" s="11">
        <v>8128</v>
      </c>
      <c r="D68" s="11">
        <v>15254</v>
      </c>
      <c r="E68" s="11">
        <v>15860</v>
      </c>
      <c r="F68" s="11">
        <v>14176</v>
      </c>
      <c r="G68" s="11">
        <v>14436</v>
      </c>
      <c r="H68" s="11">
        <v>15488</v>
      </c>
      <c r="I68" s="11">
        <v>13207</v>
      </c>
    </row>
    <row r="69" spans="1:9" x14ac:dyDescent="0.25">
      <c r="A69" s="32" t="s">
        <v>68</v>
      </c>
      <c r="C69" s="14">
        <f>SUM(C2:C68)</f>
        <v>315859</v>
      </c>
      <c r="D69" s="14">
        <f>SUM(D2:D68)</f>
        <v>660537</v>
      </c>
      <c r="E69" s="14">
        <f t="shared" ref="E69:I69" si="0">SUM(E2:E68)</f>
        <v>648694</v>
      </c>
      <c r="F69" s="14">
        <f t="shared" si="0"/>
        <v>522057</v>
      </c>
      <c r="G69" s="14">
        <f t="shared" si="0"/>
        <v>564969</v>
      </c>
      <c r="H69" s="14">
        <f t="shared" si="0"/>
        <v>623529</v>
      </c>
      <c r="I69" s="14">
        <f t="shared" si="0"/>
        <v>508648</v>
      </c>
    </row>
    <row r="70" spans="1:9" x14ac:dyDescent="0.25">
      <c r="C70" s="17">
        <f>C69/$C$73</f>
        <v>8.2163092147242683E-2</v>
      </c>
      <c r="D70" s="17">
        <f t="shared" ref="D70:I70" si="1">D69/$C$73</f>
        <v>0.171822751283526</v>
      </c>
      <c r="E70" s="17">
        <f t="shared" si="1"/>
        <v>0.16874208079352954</v>
      </c>
      <c r="F70" s="17">
        <f t="shared" si="1"/>
        <v>0.13580052300904225</v>
      </c>
      <c r="G70" s="17">
        <f t="shared" si="1"/>
        <v>0.14696304365978347</v>
      </c>
      <c r="H70" s="17">
        <f t="shared" si="1"/>
        <v>0.1621960136753364</v>
      </c>
      <c r="I70" s="17">
        <f t="shared" si="1"/>
        <v>0.1323124954315397</v>
      </c>
    </row>
    <row r="73" spans="1:9" x14ac:dyDescent="0.25">
      <c r="A73" s="32" t="s">
        <v>80</v>
      </c>
      <c r="C73" s="16">
        <f>SUM(C69:I69)</f>
        <v>3844293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5" sqref="K15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2759</v>
      </c>
      <c r="D2" s="52">
        <v>5208</v>
      </c>
      <c r="E2" s="52">
        <v>5998</v>
      </c>
      <c r="F2" s="52">
        <v>6006</v>
      </c>
      <c r="G2" s="52">
        <v>9157</v>
      </c>
      <c r="H2" s="52">
        <v>8562</v>
      </c>
      <c r="I2" s="52">
        <v>6313</v>
      </c>
      <c r="J2" s="10"/>
    </row>
    <row r="3" spans="1:10" x14ac:dyDescent="0.25">
      <c r="A3" s="11" t="s">
        <v>2</v>
      </c>
      <c r="B3" s="10" t="s">
        <v>70</v>
      </c>
      <c r="C3" s="52">
        <v>18584</v>
      </c>
      <c r="D3" s="52">
        <v>38748</v>
      </c>
      <c r="E3" s="52">
        <v>39013</v>
      </c>
      <c r="F3" s="52">
        <v>36678</v>
      </c>
      <c r="G3" s="52">
        <v>47898</v>
      </c>
      <c r="H3" s="52">
        <v>46666</v>
      </c>
      <c r="I3" s="52">
        <v>35467</v>
      </c>
    </row>
    <row r="4" spans="1:10" x14ac:dyDescent="0.25">
      <c r="A4" s="11" t="s">
        <v>3</v>
      </c>
      <c r="B4" s="10" t="s">
        <v>70</v>
      </c>
      <c r="C4" s="52">
        <v>1978</v>
      </c>
      <c r="D4" s="52">
        <v>3444</v>
      </c>
      <c r="E4" s="52">
        <v>3888</v>
      </c>
      <c r="F4" s="52">
        <v>4208</v>
      </c>
      <c r="G4" s="52">
        <v>5256</v>
      </c>
      <c r="H4" s="52">
        <v>5083</v>
      </c>
      <c r="I4" s="52">
        <v>3796</v>
      </c>
    </row>
    <row r="5" spans="1:10" x14ac:dyDescent="0.25">
      <c r="A5" s="11" t="s">
        <v>4</v>
      </c>
      <c r="B5" s="10" t="s">
        <v>70</v>
      </c>
      <c r="C5" s="52">
        <v>3399</v>
      </c>
      <c r="D5" s="52">
        <v>6726</v>
      </c>
      <c r="E5" s="52">
        <v>7906</v>
      </c>
      <c r="F5" s="52">
        <v>7699</v>
      </c>
      <c r="G5" s="52">
        <v>10012</v>
      </c>
      <c r="H5" s="52">
        <v>9474</v>
      </c>
      <c r="I5" s="52">
        <v>6681</v>
      </c>
    </row>
    <row r="6" spans="1:10" x14ac:dyDescent="0.25">
      <c r="A6" s="11" t="s">
        <v>5</v>
      </c>
      <c r="B6" s="10" t="s">
        <v>70</v>
      </c>
      <c r="C6" s="52">
        <v>1650</v>
      </c>
      <c r="D6" s="52">
        <v>3062</v>
      </c>
      <c r="E6" s="52">
        <v>3268</v>
      </c>
      <c r="F6" s="52">
        <v>3617</v>
      </c>
      <c r="G6" s="52">
        <v>4735</v>
      </c>
      <c r="H6" s="52">
        <v>4761</v>
      </c>
      <c r="I6" s="52">
        <v>3483</v>
      </c>
    </row>
    <row r="7" spans="1:10" x14ac:dyDescent="0.25">
      <c r="A7" s="11" t="s">
        <v>6</v>
      </c>
      <c r="B7" s="10" t="s">
        <v>70</v>
      </c>
      <c r="C7" s="52">
        <v>8061</v>
      </c>
      <c r="D7" s="52">
        <v>14600</v>
      </c>
      <c r="E7" s="52">
        <v>16821</v>
      </c>
      <c r="F7" s="52">
        <v>17451</v>
      </c>
      <c r="G7" s="52">
        <v>23818</v>
      </c>
      <c r="H7" s="52">
        <v>20821</v>
      </c>
      <c r="I7" s="52">
        <v>16397</v>
      </c>
    </row>
    <row r="8" spans="1:10" x14ac:dyDescent="0.25">
      <c r="A8" s="11" t="s">
        <v>7</v>
      </c>
      <c r="B8" s="10" t="s">
        <v>70</v>
      </c>
      <c r="C8" s="52">
        <v>3518</v>
      </c>
      <c r="D8" s="52">
        <v>5859</v>
      </c>
      <c r="E8" s="52">
        <v>6857</v>
      </c>
      <c r="F8" s="52">
        <v>7727</v>
      </c>
      <c r="G8" s="52">
        <v>9448</v>
      </c>
      <c r="H8" s="52">
        <v>9297</v>
      </c>
      <c r="I8" s="52">
        <v>7878</v>
      </c>
    </row>
    <row r="9" spans="1:10" x14ac:dyDescent="0.25">
      <c r="A9" s="11" t="s">
        <v>8</v>
      </c>
      <c r="B9" s="10" t="s">
        <v>70</v>
      </c>
      <c r="C9" s="52">
        <v>1833</v>
      </c>
      <c r="D9" s="52">
        <v>3155</v>
      </c>
      <c r="E9" s="52">
        <v>3614</v>
      </c>
      <c r="F9" s="52">
        <v>3634</v>
      </c>
      <c r="G9" s="52">
        <v>4988</v>
      </c>
      <c r="H9" s="52">
        <v>4625</v>
      </c>
      <c r="I9" s="52">
        <v>3782</v>
      </c>
    </row>
    <row r="10" spans="1:10" x14ac:dyDescent="0.25">
      <c r="A10" s="11" t="s">
        <v>9</v>
      </c>
      <c r="B10" s="10" t="s">
        <v>70</v>
      </c>
      <c r="C10" s="52">
        <v>13889</v>
      </c>
      <c r="D10" s="52">
        <v>24244</v>
      </c>
      <c r="E10" s="52">
        <v>26380</v>
      </c>
      <c r="F10" s="52">
        <v>28544</v>
      </c>
      <c r="G10" s="52">
        <v>41827</v>
      </c>
      <c r="H10" s="52">
        <v>37610</v>
      </c>
      <c r="I10" s="52">
        <v>29322</v>
      </c>
    </row>
    <row r="11" spans="1:10" x14ac:dyDescent="0.25">
      <c r="A11" s="11" t="s">
        <v>10</v>
      </c>
      <c r="B11" s="10" t="s">
        <v>70</v>
      </c>
      <c r="C11" s="52">
        <v>5772</v>
      </c>
      <c r="D11" s="52">
        <v>10935</v>
      </c>
      <c r="E11" s="52">
        <v>12152</v>
      </c>
      <c r="F11" s="52">
        <v>12296</v>
      </c>
      <c r="G11" s="52">
        <v>16336</v>
      </c>
      <c r="H11" s="52">
        <v>14628</v>
      </c>
      <c r="I11" s="52">
        <v>10756</v>
      </c>
    </row>
    <row r="12" spans="1:10" x14ac:dyDescent="0.25">
      <c r="A12" s="11" t="s">
        <v>11</v>
      </c>
      <c r="B12" s="10" t="s">
        <v>70</v>
      </c>
      <c r="C12" s="52">
        <v>3506</v>
      </c>
      <c r="D12" s="52">
        <v>5805</v>
      </c>
      <c r="E12" s="52">
        <v>6352</v>
      </c>
      <c r="F12" s="52">
        <v>7190</v>
      </c>
      <c r="G12" s="52">
        <v>8574</v>
      </c>
      <c r="H12" s="52">
        <v>8551</v>
      </c>
      <c r="I12" s="52">
        <v>6513</v>
      </c>
    </row>
    <row r="13" spans="1:10" x14ac:dyDescent="0.25">
      <c r="A13" s="11" t="s">
        <v>12</v>
      </c>
      <c r="B13" s="10" t="s">
        <v>70</v>
      </c>
      <c r="C13" s="52">
        <v>85</v>
      </c>
      <c r="D13" s="52">
        <v>165</v>
      </c>
      <c r="E13" s="52">
        <v>210</v>
      </c>
      <c r="F13" s="52">
        <v>232</v>
      </c>
      <c r="G13" s="52">
        <v>383</v>
      </c>
      <c r="H13" s="52">
        <v>416</v>
      </c>
      <c r="I13" s="52">
        <v>350</v>
      </c>
    </row>
    <row r="14" spans="1:10" x14ac:dyDescent="0.25">
      <c r="A14" s="11" t="s">
        <v>13</v>
      </c>
      <c r="B14" s="10" t="s">
        <v>70</v>
      </c>
      <c r="C14" s="52">
        <v>1519</v>
      </c>
      <c r="D14" s="52">
        <v>2841</v>
      </c>
      <c r="E14" s="52">
        <v>3315</v>
      </c>
      <c r="F14" s="52">
        <v>3653</v>
      </c>
      <c r="G14" s="52">
        <v>5026</v>
      </c>
      <c r="H14" s="52">
        <v>4461</v>
      </c>
      <c r="I14" s="52">
        <v>3089</v>
      </c>
    </row>
    <row r="15" spans="1:10" x14ac:dyDescent="0.25">
      <c r="A15" s="11" t="s">
        <v>14</v>
      </c>
      <c r="B15" s="10" t="s">
        <v>70</v>
      </c>
      <c r="C15" s="52">
        <v>5396</v>
      </c>
      <c r="D15" s="52">
        <v>5859</v>
      </c>
      <c r="E15" s="52">
        <v>5210</v>
      </c>
      <c r="F15" s="52">
        <v>5293</v>
      </c>
      <c r="G15" s="52">
        <v>7382</v>
      </c>
      <c r="H15" s="52">
        <v>6878</v>
      </c>
      <c r="I15" s="52">
        <v>5741</v>
      </c>
    </row>
    <row r="16" spans="1:10" x14ac:dyDescent="0.25">
      <c r="A16" s="11" t="s">
        <v>15</v>
      </c>
      <c r="B16" s="10" t="s">
        <v>70</v>
      </c>
      <c r="C16" s="52">
        <v>10793</v>
      </c>
      <c r="D16" s="52">
        <v>19027</v>
      </c>
      <c r="E16" s="52">
        <v>19549</v>
      </c>
      <c r="F16" s="52">
        <v>21698</v>
      </c>
      <c r="G16" s="52">
        <v>31155</v>
      </c>
      <c r="H16" s="52">
        <v>27241</v>
      </c>
      <c r="I16" s="52">
        <v>22255</v>
      </c>
    </row>
    <row r="17" spans="1:9" x14ac:dyDescent="0.25">
      <c r="A17" s="11" t="s">
        <v>16</v>
      </c>
      <c r="B17" s="10" t="s">
        <v>70</v>
      </c>
      <c r="C17" s="52">
        <v>1080</v>
      </c>
      <c r="D17" s="52">
        <v>1897</v>
      </c>
      <c r="E17" s="52">
        <v>2134</v>
      </c>
      <c r="F17" s="52">
        <v>2351</v>
      </c>
      <c r="G17" s="52">
        <v>3111</v>
      </c>
      <c r="H17" s="52">
        <v>2792</v>
      </c>
      <c r="I17" s="52">
        <v>2195</v>
      </c>
    </row>
    <row r="18" spans="1:9" x14ac:dyDescent="0.25">
      <c r="A18" s="11" t="s">
        <v>17</v>
      </c>
      <c r="B18" s="10" t="s">
        <v>70</v>
      </c>
      <c r="C18" s="52">
        <v>2025</v>
      </c>
      <c r="D18" s="52">
        <v>3888</v>
      </c>
      <c r="E18" s="52">
        <v>4387</v>
      </c>
      <c r="F18" s="52">
        <v>4930</v>
      </c>
      <c r="G18" s="52">
        <v>6271</v>
      </c>
      <c r="H18" s="52">
        <v>5729</v>
      </c>
      <c r="I18" s="52">
        <v>4209</v>
      </c>
    </row>
    <row r="19" spans="1:9" x14ac:dyDescent="0.25">
      <c r="A19" s="11" t="s">
        <v>18</v>
      </c>
      <c r="B19" s="10" t="s">
        <v>70</v>
      </c>
      <c r="C19" s="52">
        <v>959</v>
      </c>
      <c r="D19" s="52">
        <v>1733</v>
      </c>
      <c r="E19" s="52">
        <v>1852</v>
      </c>
      <c r="F19" s="52">
        <v>2083</v>
      </c>
      <c r="G19" s="52">
        <v>2537</v>
      </c>
      <c r="H19" s="52">
        <v>2338</v>
      </c>
      <c r="I19" s="52">
        <v>1778</v>
      </c>
    </row>
    <row r="20" spans="1:9" x14ac:dyDescent="0.25">
      <c r="A20" s="11" t="s">
        <v>19</v>
      </c>
      <c r="B20" s="10" t="s">
        <v>70</v>
      </c>
      <c r="C20" s="52">
        <v>1694</v>
      </c>
      <c r="D20" s="52">
        <v>2857</v>
      </c>
      <c r="E20" s="52">
        <v>3016</v>
      </c>
      <c r="F20" s="52">
        <v>3337</v>
      </c>
      <c r="G20" s="52">
        <v>4256</v>
      </c>
      <c r="H20" s="52">
        <v>4103</v>
      </c>
      <c r="I20" s="52">
        <v>3188</v>
      </c>
    </row>
    <row r="21" spans="1:9" x14ac:dyDescent="0.25">
      <c r="A21" s="11" t="s">
        <v>20</v>
      </c>
      <c r="B21" s="10" t="s">
        <v>70</v>
      </c>
      <c r="C21" s="52">
        <v>2119</v>
      </c>
      <c r="D21" s="52">
        <v>3757</v>
      </c>
      <c r="E21" s="52">
        <v>4325</v>
      </c>
      <c r="F21" s="52">
        <v>4599</v>
      </c>
      <c r="G21" s="52">
        <v>6176</v>
      </c>
      <c r="H21" s="52">
        <v>5988</v>
      </c>
      <c r="I21" s="52">
        <v>4790</v>
      </c>
    </row>
    <row r="22" spans="1:9" x14ac:dyDescent="0.25">
      <c r="A22" s="11" t="s">
        <v>21</v>
      </c>
      <c r="B22" s="10" t="s">
        <v>70</v>
      </c>
      <c r="C22" s="52">
        <v>5780</v>
      </c>
      <c r="D22" s="52">
        <v>10911</v>
      </c>
      <c r="E22" s="52">
        <v>12421</v>
      </c>
      <c r="F22" s="52">
        <v>12798</v>
      </c>
      <c r="G22" s="52">
        <v>16791</v>
      </c>
      <c r="H22" s="52">
        <v>15704</v>
      </c>
      <c r="I22" s="52">
        <v>13864</v>
      </c>
    </row>
    <row r="23" spans="1:9" x14ac:dyDescent="0.25">
      <c r="A23" s="11" t="s">
        <v>22</v>
      </c>
      <c r="B23" s="10" t="s">
        <v>70</v>
      </c>
      <c r="C23" s="52">
        <v>4807</v>
      </c>
      <c r="D23" s="52">
        <v>9763</v>
      </c>
      <c r="E23" s="52">
        <v>10853</v>
      </c>
      <c r="F23" s="52">
        <v>11000</v>
      </c>
      <c r="G23" s="52">
        <v>14768</v>
      </c>
      <c r="H23" s="52">
        <v>14013</v>
      </c>
      <c r="I23" s="52">
        <v>10792</v>
      </c>
    </row>
    <row r="24" spans="1:9" x14ac:dyDescent="0.25">
      <c r="A24" s="11" t="s">
        <v>23</v>
      </c>
      <c r="B24" s="10" t="s">
        <v>70</v>
      </c>
      <c r="C24" s="52">
        <v>9464</v>
      </c>
      <c r="D24" s="52">
        <v>17592</v>
      </c>
      <c r="E24" s="52">
        <v>19786</v>
      </c>
      <c r="F24" s="52">
        <v>19615</v>
      </c>
      <c r="G24" s="52">
        <v>27915</v>
      </c>
      <c r="H24" s="52">
        <v>27065</v>
      </c>
      <c r="I24" s="52">
        <v>21316</v>
      </c>
    </row>
    <row r="25" spans="1:9" x14ac:dyDescent="0.25">
      <c r="A25" s="11" t="s">
        <v>24</v>
      </c>
      <c r="B25" s="10" t="s">
        <v>70</v>
      </c>
      <c r="C25" s="52">
        <v>821</v>
      </c>
      <c r="D25" s="52">
        <v>1483</v>
      </c>
      <c r="E25" s="52">
        <v>1645</v>
      </c>
      <c r="F25" s="52">
        <v>1750</v>
      </c>
      <c r="G25" s="52">
        <v>2516</v>
      </c>
      <c r="H25" s="52">
        <v>2301</v>
      </c>
      <c r="I25" s="52">
        <v>1602</v>
      </c>
    </row>
    <row r="26" spans="1:9" x14ac:dyDescent="0.25">
      <c r="A26" s="11" t="s">
        <v>25</v>
      </c>
      <c r="B26" s="10" t="s">
        <v>70</v>
      </c>
      <c r="C26" s="52">
        <v>5331</v>
      </c>
      <c r="D26" s="52">
        <v>9437</v>
      </c>
      <c r="E26" s="52">
        <v>10263</v>
      </c>
      <c r="F26" s="52">
        <v>10792</v>
      </c>
      <c r="G26" s="52">
        <v>13732</v>
      </c>
      <c r="H26" s="52">
        <v>12103</v>
      </c>
      <c r="I26" s="52">
        <v>9152</v>
      </c>
    </row>
    <row r="27" spans="1:9" x14ac:dyDescent="0.25">
      <c r="A27" s="11" t="s">
        <v>26</v>
      </c>
      <c r="B27" s="10" t="s">
        <v>70</v>
      </c>
      <c r="C27" s="52">
        <v>2785</v>
      </c>
      <c r="D27" s="52">
        <v>5812</v>
      </c>
      <c r="E27" s="52">
        <v>6222</v>
      </c>
      <c r="F27" s="52">
        <v>6759</v>
      </c>
      <c r="G27" s="52">
        <v>7926</v>
      </c>
      <c r="H27" s="52">
        <v>6952</v>
      </c>
      <c r="I27" s="52">
        <v>4851</v>
      </c>
    </row>
    <row r="28" spans="1:9" x14ac:dyDescent="0.25">
      <c r="A28" s="11" t="s">
        <v>27</v>
      </c>
      <c r="B28" s="10" t="s">
        <v>70</v>
      </c>
      <c r="C28" s="52">
        <v>107</v>
      </c>
      <c r="D28" s="52">
        <v>140</v>
      </c>
      <c r="E28" s="52">
        <v>197</v>
      </c>
      <c r="F28" s="52">
        <v>277</v>
      </c>
      <c r="G28" s="52">
        <v>444</v>
      </c>
      <c r="H28" s="52">
        <v>496</v>
      </c>
      <c r="I28" s="52">
        <v>394</v>
      </c>
    </row>
    <row r="29" spans="1:9" x14ac:dyDescent="0.25">
      <c r="A29" s="11" t="s">
        <v>28</v>
      </c>
      <c r="B29" s="10" t="s">
        <v>70</v>
      </c>
      <c r="C29" s="52">
        <v>4210</v>
      </c>
      <c r="D29" s="52">
        <v>8063</v>
      </c>
      <c r="E29" s="52">
        <v>9117</v>
      </c>
      <c r="F29" s="52">
        <v>9762</v>
      </c>
      <c r="G29" s="52">
        <v>12485</v>
      </c>
      <c r="H29" s="52">
        <v>11203</v>
      </c>
      <c r="I29" s="52">
        <v>9524</v>
      </c>
    </row>
    <row r="30" spans="1:9" x14ac:dyDescent="0.25">
      <c r="A30" s="11" t="s">
        <v>29</v>
      </c>
      <c r="B30" s="10" t="s">
        <v>70</v>
      </c>
      <c r="C30" s="52">
        <v>526</v>
      </c>
      <c r="D30" s="52">
        <v>995</v>
      </c>
      <c r="E30" s="52">
        <v>1004</v>
      </c>
      <c r="F30" s="52">
        <v>1151</v>
      </c>
      <c r="G30" s="52">
        <v>1461</v>
      </c>
      <c r="H30" s="52">
        <v>1340</v>
      </c>
      <c r="I30" s="52">
        <v>984</v>
      </c>
    </row>
    <row r="31" spans="1:9" x14ac:dyDescent="0.25">
      <c r="A31" s="11" t="s">
        <v>30</v>
      </c>
      <c r="B31" s="10" t="s">
        <v>70</v>
      </c>
      <c r="C31" s="52">
        <v>983</v>
      </c>
      <c r="D31" s="52">
        <v>1768</v>
      </c>
      <c r="E31" s="52">
        <v>1770</v>
      </c>
      <c r="F31" s="52">
        <v>2075</v>
      </c>
      <c r="G31" s="52">
        <v>2248</v>
      </c>
      <c r="H31" s="52">
        <v>1948</v>
      </c>
      <c r="I31" s="52">
        <v>1379</v>
      </c>
    </row>
    <row r="32" spans="1:9" x14ac:dyDescent="0.25">
      <c r="A32" s="11" t="s">
        <v>31</v>
      </c>
      <c r="B32" s="10" t="s">
        <v>70</v>
      </c>
      <c r="C32" s="52">
        <v>1372</v>
      </c>
      <c r="D32" s="52">
        <v>2301</v>
      </c>
      <c r="E32" s="52">
        <v>2469</v>
      </c>
      <c r="F32" s="52">
        <v>2777</v>
      </c>
      <c r="G32" s="52">
        <v>3674</v>
      </c>
      <c r="H32" s="52">
        <v>3500</v>
      </c>
      <c r="I32" s="52">
        <v>2819</v>
      </c>
    </row>
    <row r="33" spans="1:9" x14ac:dyDescent="0.25">
      <c r="A33" s="11" t="s">
        <v>32</v>
      </c>
      <c r="B33" s="10" t="s">
        <v>70</v>
      </c>
      <c r="C33" s="52">
        <v>2403</v>
      </c>
      <c r="D33" s="52">
        <v>3561</v>
      </c>
      <c r="E33" s="52">
        <v>3975</v>
      </c>
      <c r="F33" s="52">
        <v>4405</v>
      </c>
      <c r="G33" s="52">
        <v>5374</v>
      </c>
      <c r="H33" s="52">
        <v>5203</v>
      </c>
      <c r="I33" s="52">
        <v>3950</v>
      </c>
    </row>
    <row r="34" spans="1:9" x14ac:dyDescent="0.25">
      <c r="A34" s="11" t="s">
        <v>33</v>
      </c>
      <c r="B34" s="10" t="s">
        <v>70</v>
      </c>
      <c r="C34" s="52">
        <v>1340</v>
      </c>
      <c r="D34" s="52">
        <v>2370</v>
      </c>
      <c r="E34" s="52">
        <v>2834</v>
      </c>
      <c r="F34" s="52">
        <v>2854</v>
      </c>
      <c r="G34" s="52">
        <v>3688</v>
      </c>
      <c r="H34" s="52">
        <v>3628</v>
      </c>
      <c r="I34" s="52">
        <v>2715</v>
      </c>
    </row>
    <row r="35" spans="1:9" x14ac:dyDescent="0.25">
      <c r="A35" s="11" t="s">
        <v>34</v>
      </c>
      <c r="B35" s="10" t="s">
        <v>70</v>
      </c>
      <c r="C35" s="52">
        <v>661</v>
      </c>
      <c r="D35" s="52">
        <v>1278</v>
      </c>
      <c r="E35" s="52">
        <v>1369</v>
      </c>
      <c r="F35" s="52">
        <v>1506</v>
      </c>
      <c r="G35" s="52">
        <v>1968</v>
      </c>
      <c r="H35" s="52">
        <v>1806</v>
      </c>
      <c r="I35" s="52">
        <v>1436</v>
      </c>
    </row>
    <row r="36" spans="1:9" x14ac:dyDescent="0.25">
      <c r="A36" s="11" t="s">
        <v>35</v>
      </c>
      <c r="B36" s="10" t="s">
        <v>70</v>
      </c>
      <c r="C36" s="52">
        <v>4188</v>
      </c>
      <c r="D36" s="52">
        <v>7247</v>
      </c>
      <c r="E36" s="52">
        <v>7846</v>
      </c>
      <c r="F36" s="52">
        <v>8186</v>
      </c>
      <c r="G36" s="52">
        <v>10025</v>
      </c>
      <c r="H36" s="52">
        <v>8285</v>
      </c>
      <c r="I36" s="52">
        <v>6522</v>
      </c>
    </row>
    <row r="37" spans="1:9" x14ac:dyDescent="0.25">
      <c r="A37" s="11" t="s">
        <v>36</v>
      </c>
      <c r="B37" s="10" t="s">
        <v>70</v>
      </c>
      <c r="C37" s="52">
        <v>12910</v>
      </c>
      <c r="D37" s="52">
        <v>24433</v>
      </c>
      <c r="E37" s="52">
        <v>26250</v>
      </c>
      <c r="F37" s="52">
        <v>25295</v>
      </c>
      <c r="G37" s="52">
        <v>32804</v>
      </c>
      <c r="H37" s="52">
        <v>32796</v>
      </c>
      <c r="I37" s="52">
        <v>29355</v>
      </c>
    </row>
    <row r="38" spans="1:9" x14ac:dyDescent="0.25">
      <c r="A38" s="11" t="s">
        <v>37</v>
      </c>
      <c r="B38" s="10" t="s">
        <v>70</v>
      </c>
      <c r="C38" s="52">
        <v>2343</v>
      </c>
      <c r="D38" s="52">
        <v>3846</v>
      </c>
      <c r="E38" s="52">
        <v>4264</v>
      </c>
      <c r="F38" s="52">
        <v>4598</v>
      </c>
      <c r="G38" s="52">
        <v>5544</v>
      </c>
      <c r="H38" s="52">
        <v>5368</v>
      </c>
      <c r="I38" s="52">
        <v>4160</v>
      </c>
    </row>
    <row r="39" spans="1:9" x14ac:dyDescent="0.25">
      <c r="A39" s="11" t="s">
        <v>38</v>
      </c>
      <c r="B39" s="10" t="s">
        <v>70</v>
      </c>
      <c r="C39" s="52">
        <v>3387</v>
      </c>
      <c r="D39" s="52">
        <v>6229</v>
      </c>
      <c r="E39" s="52">
        <v>7130</v>
      </c>
      <c r="F39" s="52">
        <v>7756</v>
      </c>
      <c r="G39" s="52">
        <v>9846</v>
      </c>
      <c r="H39" s="52">
        <v>9736</v>
      </c>
      <c r="I39" s="52">
        <v>8543</v>
      </c>
    </row>
    <row r="40" spans="1:9" x14ac:dyDescent="0.25">
      <c r="A40" s="11" t="s">
        <v>39</v>
      </c>
      <c r="B40" s="10" t="s">
        <v>70</v>
      </c>
      <c r="C40" s="52">
        <v>5857</v>
      </c>
      <c r="D40" s="52">
        <v>11527</v>
      </c>
      <c r="E40" s="52">
        <v>12592</v>
      </c>
      <c r="F40" s="52">
        <v>13177</v>
      </c>
      <c r="G40" s="52">
        <v>17338</v>
      </c>
      <c r="H40" s="52">
        <v>15981</v>
      </c>
      <c r="I40" s="52">
        <v>12995</v>
      </c>
    </row>
    <row r="41" spans="1:9" x14ac:dyDescent="0.25">
      <c r="A41" s="11" t="s">
        <v>40</v>
      </c>
      <c r="B41" s="10" t="s">
        <v>70</v>
      </c>
      <c r="C41" s="52">
        <v>5835</v>
      </c>
      <c r="D41" s="52">
        <v>11205</v>
      </c>
      <c r="E41" s="52">
        <v>13156</v>
      </c>
      <c r="F41" s="52">
        <v>13859</v>
      </c>
      <c r="G41" s="52">
        <v>18351</v>
      </c>
      <c r="H41" s="52">
        <v>15672</v>
      </c>
      <c r="I41" s="52">
        <v>12840</v>
      </c>
    </row>
    <row r="42" spans="1:9" x14ac:dyDescent="0.25">
      <c r="A42" s="11" t="s">
        <v>41</v>
      </c>
      <c r="B42" s="10" t="s">
        <v>70</v>
      </c>
      <c r="C42" s="52">
        <v>2829</v>
      </c>
      <c r="D42" s="52">
        <v>4951</v>
      </c>
      <c r="E42" s="52">
        <v>6291</v>
      </c>
      <c r="F42" s="52">
        <v>6350</v>
      </c>
      <c r="G42" s="52">
        <v>8203</v>
      </c>
      <c r="H42" s="52">
        <v>8488</v>
      </c>
      <c r="I42" s="52">
        <v>6640</v>
      </c>
    </row>
    <row r="43" spans="1:9" x14ac:dyDescent="0.25">
      <c r="A43" s="11" t="s">
        <v>42</v>
      </c>
      <c r="B43" s="10" t="s">
        <v>70</v>
      </c>
      <c r="C43" s="52">
        <v>1024</v>
      </c>
      <c r="D43" s="52">
        <v>1846</v>
      </c>
      <c r="E43" s="52">
        <v>2190</v>
      </c>
      <c r="F43" s="52">
        <v>2412</v>
      </c>
      <c r="G43" s="52">
        <v>3211</v>
      </c>
      <c r="H43" s="52">
        <v>3100</v>
      </c>
      <c r="I43" s="52">
        <v>2386</v>
      </c>
    </row>
    <row r="44" spans="1:9" x14ac:dyDescent="0.25">
      <c r="A44" s="11" t="s">
        <v>43</v>
      </c>
      <c r="B44" s="10" t="s">
        <v>70</v>
      </c>
      <c r="C44" s="52">
        <v>2923</v>
      </c>
      <c r="D44" s="52">
        <v>4979</v>
      </c>
      <c r="E44" s="52">
        <v>5009</v>
      </c>
      <c r="F44" s="52">
        <v>5499</v>
      </c>
      <c r="G44" s="52">
        <v>7206</v>
      </c>
      <c r="H44" s="52">
        <v>6984</v>
      </c>
      <c r="I44" s="52">
        <v>5697</v>
      </c>
    </row>
    <row r="45" spans="1:9" x14ac:dyDescent="0.25">
      <c r="A45" s="11" t="s">
        <v>44</v>
      </c>
      <c r="B45" s="10" t="s">
        <v>70</v>
      </c>
      <c r="C45" s="52">
        <v>1134</v>
      </c>
      <c r="D45" s="52">
        <v>2333</v>
      </c>
      <c r="E45" s="52">
        <v>2492</v>
      </c>
      <c r="F45" s="52">
        <v>2686</v>
      </c>
      <c r="G45" s="52">
        <v>3725</v>
      </c>
      <c r="H45" s="52">
        <v>3404</v>
      </c>
      <c r="I45" s="52">
        <v>2859</v>
      </c>
    </row>
    <row r="46" spans="1:9" x14ac:dyDescent="0.25">
      <c r="A46" s="11" t="s">
        <v>45</v>
      </c>
      <c r="B46" s="10" t="s">
        <v>70</v>
      </c>
      <c r="C46" s="52">
        <v>2517</v>
      </c>
      <c r="D46" s="52">
        <v>5191</v>
      </c>
      <c r="E46" s="52">
        <v>6169</v>
      </c>
      <c r="F46" s="52">
        <v>6484</v>
      </c>
      <c r="G46" s="52">
        <v>9330</v>
      </c>
      <c r="H46" s="52">
        <v>8402</v>
      </c>
      <c r="I46" s="52">
        <v>5200</v>
      </c>
    </row>
    <row r="47" spans="1:9" x14ac:dyDescent="0.25">
      <c r="A47" s="11" t="s">
        <v>46</v>
      </c>
      <c r="B47" s="10" t="s">
        <v>70</v>
      </c>
      <c r="C47" s="52">
        <v>14001</v>
      </c>
      <c r="D47" s="52">
        <v>26037</v>
      </c>
      <c r="E47" s="52">
        <v>28103</v>
      </c>
      <c r="F47" s="52">
        <v>29137</v>
      </c>
      <c r="G47" s="52">
        <v>41115</v>
      </c>
      <c r="H47" s="52">
        <v>37730</v>
      </c>
      <c r="I47" s="52">
        <v>31619</v>
      </c>
    </row>
    <row r="48" spans="1:9" x14ac:dyDescent="0.25">
      <c r="A48" s="11" t="s">
        <v>47</v>
      </c>
      <c r="B48" s="10" t="s">
        <v>70</v>
      </c>
      <c r="C48" s="52">
        <v>398</v>
      </c>
      <c r="D48" s="52">
        <v>820</v>
      </c>
      <c r="E48" s="52">
        <v>934</v>
      </c>
      <c r="F48" s="52">
        <v>876</v>
      </c>
      <c r="G48" s="52">
        <v>1215</v>
      </c>
      <c r="H48" s="52">
        <v>1241</v>
      </c>
      <c r="I48" s="52">
        <v>1072</v>
      </c>
    </row>
    <row r="49" spans="1:9" x14ac:dyDescent="0.25">
      <c r="A49" s="11" t="s">
        <v>48</v>
      </c>
      <c r="B49" s="10" t="s">
        <v>70</v>
      </c>
      <c r="C49" s="52">
        <v>6078</v>
      </c>
      <c r="D49" s="52">
        <v>11235</v>
      </c>
      <c r="E49" s="52">
        <v>11866</v>
      </c>
      <c r="F49" s="52">
        <v>12469</v>
      </c>
      <c r="G49" s="52">
        <v>17407</v>
      </c>
      <c r="H49" s="52">
        <v>15483</v>
      </c>
      <c r="I49" s="52">
        <v>12271</v>
      </c>
    </row>
    <row r="50" spans="1:9" x14ac:dyDescent="0.25">
      <c r="A50" s="11" t="s">
        <v>49</v>
      </c>
      <c r="B50" s="10" t="s">
        <v>70</v>
      </c>
      <c r="C50" s="52">
        <v>2013</v>
      </c>
      <c r="D50" s="52">
        <v>3647</v>
      </c>
      <c r="E50" s="52">
        <v>4596</v>
      </c>
      <c r="F50" s="52">
        <v>4821</v>
      </c>
      <c r="G50" s="52">
        <v>6186</v>
      </c>
      <c r="H50" s="52">
        <v>5962</v>
      </c>
      <c r="I50" s="52">
        <v>4700</v>
      </c>
    </row>
    <row r="51" spans="1:9" x14ac:dyDescent="0.25">
      <c r="A51" s="11" t="s">
        <v>50</v>
      </c>
      <c r="B51" s="10" t="s">
        <v>70</v>
      </c>
      <c r="C51" s="52">
        <v>1418</v>
      </c>
      <c r="D51" s="52">
        <v>2640</v>
      </c>
      <c r="E51" s="52">
        <v>3054</v>
      </c>
      <c r="F51" s="52">
        <v>3192</v>
      </c>
      <c r="G51" s="52">
        <v>4260</v>
      </c>
      <c r="H51" s="52">
        <v>3801</v>
      </c>
      <c r="I51" s="52">
        <v>2569</v>
      </c>
    </row>
    <row r="52" spans="1:9" x14ac:dyDescent="0.25">
      <c r="A52" s="11" t="s">
        <v>51</v>
      </c>
      <c r="B52" s="10" t="s">
        <v>70</v>
      </c>
      <c r="C52" s="52">
        <v>9864</v>
      </c>
      <c r="D52" s="52">
        <v>25705</v>
      </c>
      <c r="E52" s="52">
        <v>23645</v>
      </c>
      <c r="F52" s="52">
        <v>18675</v>
      </c>
      <c r="G52" s="52">
        <v>20763</v>
      </c>
      <c r="H52" s="52">
        <v>18114</v>
      </c>
      <c r="I52" s="52">
        <v>14348</v>
      </c>
    </row>
    <row r="53" spans="1:9" x14ac:dyDescent="0.25">
      <c r="A53" s="11" t="s">
        <v>52</v>
      </c>
      <c r="B53" s="10" t="s">
        <v>70</v>
      </c>
      <c r="C53" s="52">
        <v>1233</v>
      </c>
      <c r="D53" s="52">
        <v>2428</v>
      </c>
      <c r="E53" s="52">
        <v>2987</v>
      </c>
      <c r="F53" s="52">
        <v>3242</v>
      </c>
      <c r="G53" s="52">
        <v>5217</v>
      </c>
      <c r="H53" s="52">
        <v>4718</v>
      </c>
      <c r="I53" s="52">
        <v>3256</v>
      </c>
    </row>
    <row r="54" spans="1:9" x14ac:dyDescent="0.25">
      <c r="A54" s="11" t="s">
        <v>53</v>
      </c>
      <c r="B54" s="10" t="s">
        <v>70</v>
      </c>
      <c r="C54" s="52">
        <v>501</v>
      </c>
      <c r="D54" s="52">
        <v>912</v>
      </c>
      <c r="E54" s="52">
        <v>1054</v>
      </c>
      <c r="F54" s="52">
        <v>1066</v>
      </c>
      <c r="G54" s="52">
        <v>1564</v>
      </c>
      <c r="H54" s="52">
        <v>1621</v>
      </c>
      <c r="I54" s="52">
        <v>1292</v>
      </c>
    </row>
    <row r="55" spans="1:9" x14ac:dyDescent="0.25">
      <c r="A55" s="11" t="s">
        <v>54</v>
      </c>
      <c r="B55" s="10" t="s">
        <v>70</v>
      </c>
      <c r="C55" s="52">
        <v>3658</v>
      </c>
      <c r="D55" s="52">
        <v>6304</v>
      </c>
      <c r="E55" s="52">
        <v>7358</v>
      </c>
      <c r="F55" s="52">
        <v>8351</v>
      </c>
      <c r="G55" s="52">
        <v>10532</v>
      </c>
      <c r="H55" s="52">
        <v>9652</v>
      </c>
      <c r="I55" s="52">
        <v>7331</v>
      </c>
    </row>
    <row r="56" spans="1:9" x14ac:dyDescent="0.25">
      <c r="A56" s="11" t="s">
        <v>55</v>
      </c>
      <c r="B56" s="10" t="s">
        <v>70</v>
      </c>
      <c r="C56" s="52">
        <v>1224</v>
      </c>
      <c r="D56" s="52">
        <v>1864</v>
      </c>
      <c r="E56" s="52">
        <v>2244</v>
      </c>
      <c r="F56" s="52">
        <v>2363</v>
      </c>
      <c r="G56" s="52">
        <v>3044</v>
      </c>
      <c r="H56" s="52">
        <v>2818</v>
      </c>
      <c r="I56" s="52">
        <v>2394</v>
      </c>
    </row>
    <row r="57" spans="1:9" x14ac:dyDescent="0.25">
      <c r="A57" s="11" t="s">
        <v>56</v>
      </c>
      <c r="B57" s="10" t="s">
        <v>70</v>
      </c>
      <c r="C57" s="52">
        <v>2245</v>
      </c>
      <c r="D57" s="52">
        <v>3942</v>
      </c>
      <c r="E57" s="52">
        <v>4378</v>
      </c>
      <c r="F57" s="52">
        <v>4916</v>
      </c>
      <c r="G57" s="52">
        <v>6240</v>
      </c>
      <c r="H57" s="52">
        <v>6334</v>
      </c>
      <c r="I57" s="52">
        <v>4755</v>
      </c>
    </row>
    <row r="58" spans="1:9" x14ac:dyDescent="0.25">
      <c r="A58" s="11" t="s">
        <v>57</v>
      </c>
      <c r="B58" s="10" t="s">
        <v>70</v>
      </c>
      <c r="C58" s="52">
        <v>164</v>
      </c>
      <c r="D58" s="52">
        <v>260</v>
      </c>
      <c r="E58" s="52">
        <v>352</v>
      </c>
      <c r="F58" s="52">
        <v>376</v>
      </c>
      <c r="G58" s="52">
        <v>564</v>
      </c>
      <c r="H58" s="52">
        <v>663</v>
      </c>
      <c r="I58" s="52">
        <v>473</v>
      </c>
    </row>
    <row r="59" spans="1:9" x14ac:dyDescent="0.25">
      <c r="A59" s="11" t="s">
        <v>58</v>
      </c>
      <c r="B59" s="10" t="s">
        <v>70</v>
      </c>
      <c r="C59" s="52">
        <v>1128</v>
      </c>
      <c r="D59" s="52">
        <v>2150</v>
      </c>
      <c r="E59" s="52">
        <v>2400</v>
      </c>
      <c r="F59" s="52">
        <v>2374</v>
      </c>
      <c r="G59" s="52">
        <v>3433</v>
      </c>
      <c r="H59" s="52">
        <v>3353</v>
      </c>
      <c r="I59" s="52">
        <v>2615</v>
      </c>
    </row>
    <row r="60" spans="1:9" x14ac:dyDescent="0.25">
      <c r="A60" s="11" t="s">
        <v>59</v>
      </c>
      <c r="B60" s="10" t="s">
        <v>70</v>
      </c>
      <c r="C60" s="52">
        <v>1078</v>
      </c>
      <c r="D60" s="52">
        <v>1985</v>
      </c>
      <c r="E60" s="52">
        <v>2470</v>
      </c>
      <c r="F60" s="52">
        <v>2552</v>
      </c>
      <c r="G60" s="52">
        <v>3475</v>
      </c>
      <c r="H60" s="52">
        <v>3578</v>
      </c>
      <c r="I60" s="52">
        <v>2971</v>
      </c>
    </row>
    <row r="61" spans="1:9" x14ac:dyDescent="0.25">
      <c r="A61" s="11" t="s">
        <v>60</v>
      </c>
      <c r="B61" s="10" t="s">
        <v>70</v>
      </c>
      <c r="C61" s="52">
        <v>1337</v>
      </c>
      <c r="D61" s="52">
        <v>1770</v>
      </c>
      <c r="E61" s="52">
        <v>1917</v>
      </c>
      <c r="F61" s="52">
        <v>1956</v>
      </c>
      <c r="G61" s="52">
        <v>2638</v>
      </c>
      <c r="H61" s="52">
        <v>2409</v>
      </c>
      <c r="I61" s="52">
        <v>2375</v>
      </c>
    </row>
    <row r="62" spans="1:9" x14ac:dyDescent="0.25">
      <c r="A62" s="11" t="s">
        <v>61</v>
      </c>
      <c r="B62" s="10" t="s">
        <v>70</v>
      </c>
      <c r="C62" s="52">
        <v>1229</v>
      </c>
      <c r="D62" s="52">
        <v>2215</v>
      </c>
      <c r="E62" s="52">
        <v>2711</v>
      </c>
      <c r="F62" s="52">
        <v>3033</v>
      </c>
      <c r="G62" s="52">
        <v>3872</v>
      </c>
      <c r="H62" s="52">
        <v>4041</v>
      </c>
      <c r="I62" s="52">
        <v>3033</v>
      </c>
    </row>
    <row r="63" spans="1:9" x14ac:dyDescent="0.25">
      <c r="A63" s="11" t="s">
        <v>62</v>
      </c>
      <c r="B63" s="10" t="s">
        <v>70</v>
      </c>
      <c r="C63" s="52">
        <v>963</v>
      </c>
      <c r="D63" s="52">
        <v>1736</v>
      </c>
      <c r="E63" s="52">
        <v>2067</v>
      </c>
      <c r="F63" s="52">
        <v>2166</v>
      </c>
      <c r="G63" s="52">
        <v>3069</v>
      </c>
      <c r="H63" s="52">
        <v>3036</v>
      </c>
      <c r="I63" s="52">
        <v>2203</v>
      </c>
    </row>
    <row r="64" spans="1:9" x14ac:dyDescent="0.25">
      <c r="A64" s="11" t="s">
        <v>63</v>
      </c>
      <c r="B64" s="10" t="s">
        <v>70</v>
      </c>
      <c r="C64" s="52">
        <v>5235</v>
      </c>
      <c r="D64" s="52">
        <v>9685</v>
      </c>
      <c r="E64" s="52">
        <v>11105</v>
      </c>
      <c r="F64" s="52">
        <v>11462</v>
      </c>
      <c r="G64" s="52">
        <v>13838</v>
      </c>
      <c r="H64" s="52">
        <v>12566</v>
      </c>
      <c r="I64" s="52">
        <v>8788</v>
      </c>
    </row>
    <row r="65" spans="1:9" x14ac:dyDescent="0.25">
      <c r="A65" s="11" t="s">
        <v>64</v>
      </c>
      <c r="B65" s="10" t="s">
        <v>70</v>
      </c>
      <c r="C65" s="52">
        <v>1258</v>
      </c>
      <c r="D65" s="52">
        <v>2510</v>
      </c>
      <c r="E65" s="52">
        <v>2779</v>
      </c>
      <c r="F65" s="52">
        <v>2893</v>
      </c>
      <c r="G65" s="52">
        <v>4514</v>
      </c>
      <c r="H65" s="52">
        <v>4428</v>
      </c>
      <c r="I65" s="52">
        <v>3359</v>
      </c>
    </row>
    <row r="66" spans="1:9" x14ac:dyDescent="0.25">
      <c r="A66" s="11" t="s">
        <v>65</v>
      </c>
      <c r="B66" s="10" t="s">
        <v>70</v>
      </c>
      <c r="C66" s="52">
        <v>8782</v>
      </c>
      <c r="D66" s="52">
        <v>16496</v>
      </c>
      <c r="E66" s="52">
        <v>18366</v>
      </c>
      <c r="F66" s="52">
        <v>19197</v>
      </c>
      <c r="G66" s="52">
        <v>25886</v>
      </c>
      <c r="H66" s="52">
        <v>23853</v>
      </c>
      <c r="I66" s="52">
        <v>18241</v>
      </c>
    </row>
    <row r="67" spans="1:9" x14ac:dyDescent="0.25">
      <c r="A67" s="11" t="s">
        <v>66</v>
      </c>
      <c r="B67" s="10" t="s">
        <v>70</v>
      </c>
      <c r="C67" s="52">
        <v>728</v>
      </c>
      <c r="D67" s="52">
        <v>1370</v>
      </c>
      <c r="E67" s="52">
        <v>1533</v>
      </c>
      <c r="F67" s="52">
        <v>1740</v>
      </c>
      <c r="G67" s="52">
        <v>2147</v>
      </c>
      <c r="H67" s="52">
        <v>2073</v>
      </c>
      <c r="I67" s="52">
        <v>1734</v>
      </c>
    </row>
    <row r="68" spans="1:9" ht="13.8" thickBot="1" x14ac:dyDescent="0.3">
      <c r="A68" s="13" t="s">
        <v>67</v>
      </c>
      <c r="B68" s="12" t="s">
        <v>70</v>
      </c>
      <c r="C68" s="52">
        <v>11042</v>
      </c>
      <c r="D68" s="52">
        <v>21522</v>
      </c>
      <c r="E68" s="52">
        <v>25219</v>
      </c>
      <c r="F68" s="52">
        <v>25410</v>
      </c>
      <c r="G68" s="52">
        <v>34292</v>
      </c>
      <c r="H68" s="52">
        <v>29060</v>
      </c>
      <c r="I68" s="52">
        <v>21723</v>
      </c>
    </row>
    <row r="69" spans="1:9" x14ac:dyDescent="0.25">
      <c r="A69" s="32" t="s">
        <v>68</v>
      </c>
      <c r="C69" s="14">
        <f>SUM(C2:C68)</f>
        <v>251733</v>
      </c>
      <c r="D69" s="14">
        <f t="shared" ref="D69:I69" si="0">SUM(D2:D68)</f>
        <v>470304</v>
      </c>
      <c r="E69" s="14">
        <f t="shared" si="0"/>
        <v>514699</v>
      </c>
      <c r="F69" s="14">
        <f t="shared" si="0"/>
        <v>529316</v>
      </c>
      <c r="G69" s="14">
        <f t="shared" si="0"/>
        <v>704190</v>
      </c>
      <c r="H69" s="14">
        <f t="shared" si="0"/>
        <v>652036</v>
      </c>
      <c r="I69" s="14">
        <f t="shared" si="0"/>
        <v>513080</v>
      </c>
    </row>
    <row r="70" spans="1:9" x14ac:dyDescent="0.25">
      <c r="C70" s="17">
        <f>C69/$C$72</f>
        <v>6.9245724905222544E-2</v>
      </c>
      <c r="D70" s="17">
        <f t="shared" ref="D70:I70" si="1">D69/$C$72</f>
        <v>0.12936937710123736</v>
      </c>
      <c r="E70" s="17">
        <f t="shared" si="1"/>
        <v>0.14158137933045384</v>
      </c>
      <c r="F70" s="17">
        <f t="shared" si="1"/>
        <v>0.14560216627908448</v>
      </c>
      <c r="G70" s="17">
        <f t="shared" si="1"/>
        <v>0.19370581934433967</v>
      </c>
      <c r="H70" s="17">
        <f t="shared" si="1"/>
        <v>0.17935950187024222</v>
      </c>
      <c r="I70" s="17">
        <f t="shared" si="1"/>
        <v>0.14113603116941989</v>
      </c>
    </row>
    <row r="72" spans="1:9" x14ac:dyDescent="0.25">
      <c r="A72" s="32" t="s">
        <v>80</v>
      </c>
      <c r="C72" s="16">
        <f>SUM(C69:I69)</f>
        <v>3635358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G75" sqref="G75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17090</v>
      </c>
      <c r="C3" s="70">
        <v>2085</v>
      </c>
      <c r="D3" s="69">
        <v>40915</v>
      </c>
      <c r="E3" s="70">
        <v>3088</v>
      </c>
      <c r="F3" s="72">
        <v>11576</v>
      </c>
      <c r="G3" s="74">
        <v>1888</v>
      </c>
    </row>
    <row r="4" spans="1:7" x14ac:dyDescent="0.25">
      <c r="A4" s="11" t="s">
        <v>2</v>
      </c>
      <c r="B4" s="69">
        <v>447547</v>
      </c>
      <c r="C4" s="70">
        <v>55725</v>
      </c>
      <c r="D4" s="69">
        <v>241867</v>
      </c>
      <c r="E4" s="70">
        <v>21187</v>
      </c>
      <c r="F4" s="72">
        <v>127584</v>
      </c>
      <c r="G4" s="75">
        <v>23221</v>
      </c>
    </row>
    <row r="5" spans="1:7" x14ac:dyDescent="0.25">
      <c r="A5" s="11" t="s">
        <v>3</v>
      </c>
      <c r="B5" s="69">
        <v>9888</v>
      </c>
      <c r="C5" s="70">
        <v>769</v>
      </c>
      <c r="D5" s="69">
        <v>26282</v>
      </c>
      <c r="E5" s="70">
        <v>1371</v>
      </c>
      <c r="F5" s="72">
        <v>4776</v>
      </c>
      <c r="G5" s="75">
        <v>529</v>
      </c>
    </row>
    <row r="6" spans="1:7" x14ac:dyDescent="0.25">
      <c r="A6" s="11" t="s">
        <v>4</v>
      </c>
      <c r="B6" s="69">
        <v>42158</v>
      </c>
      <c r="C6" s="70">
        <v>3558</v>
      </c>
      <c r="D6" s="69">
        <v>48953</v>
      </c>
      <c r="E6" s="70">
        <v>2944</v>
      </c>
      <c r="F6" s="72">
        <v>14537</v>
      </c>
      <c r="G6" s="75">
        <v>1971</v>
      </c>
    </row>
    <row r="7" spans="1:7" x14ac:dyDescent="0.25">
      <c r="A7" s="11" t="s">
        <v>5</v>
      </c>
      <c r="B7" s="69">
        <v>4872</v>
      </c>
      <c r="C7" s="70">
        <v>392</v>
      </c>
      <c r="D7" s="69">
        <v>23512</v>
      </c>
      <c r="E7" s="70">
        <v>1064</v>
      </c>
      <c r="F7" s="72">
        <v>2872</v>
      </c>
      <c r="G7" s="75">
        <v>332</v>
      </c>
    </row>
    <row r="8" spans="1:7" x14ac:dyDescent="0.25">
      <c r="A8" s="11" t="s">
        <v>6</v>
      </c>
      <c r="B8" s="69">
        <v>93720</v>
      </c>
      <c r="C8" s="70">
        <v>10577</v>
      </c>
      <c r="D8" s="69">
        <v>111083</v>
      </c>
      <c r="E8" s="70">
        <v>6886</v>
      </c>
      <c r="F8" s="72">
        <v>45725</v>
      </c>
      <c r="G8" s="75">
        <v>6235</v>
      </c>
    </row>
    <row r="9" spans="1:7" x14ac:dyDescent="0.25">
      <c r="A9" s="11" t="s">
        <v>7</v>
      </c>
      <c r="B9" s="69">
        <v>17601</v>
      </c>
      <c r="C9" s="70">
        <v>2188</v>
      </c>
      <c r="D9" s="69">
        <v>47177</v>
      </c>
      <c r="E9" s="70">
        <v>3407</v>
      </c>
      <c r="F9" s="72">
        <v>9505</v>
      </c>
      <c r="G9" s="75">
        <v>1673</v>
      </c>
    </row>
    <row r="10" spans="1:7" x14ac:dyDescent="0.25">
      <c r="A10" s="11" t="s">
        <v>8</v>
      </c>
      <c r="B10" s="69">
        <v>7035</v>
      </c>
      <c r="C10" s="70">
        <v>777</v>
      </c>
      <c r="D10" s="69">
        <v>23943</v>
      </c>
      <c r="E10" s="70">
        <v>1688</v>
      </c>
      <c r="F10" s="72">
        <v>4746</v>
      </c>
      <c r="G10" s="75">
        <v>668</v>
      </c>
    </row>
    <row r="11" spans="1:7" x14ac:dyDescent="0.25">
      <c r="A11" s="11" t="s">
        <v>9</v>
      </c>
      <c r="B11" s="69">
        <v>178327</v>
      </c>
      <c r="C11" s="70">
        <v>15564</v>
      </c>
      <c r="D11" s="69">
        <v>190152</v>
      </c>
      <c r="E11" s="70">
        <v>11664</v>
      </c>
      <c r="F11" s="72">
        <v>79823</v>
      </c>
      <c r="G11" s="75">
        <v>8817</v>
      </c>
    </row>
    <row r="12" spans="1:7" x14ac:dyDescent="0.25">
      <c r="A12" s="11" t="s">
        <v>10</v>
      </c>
      <c r="B12" s="69">
        <v>36141</v>
      </c>
      <c r="C12" s="70">
        <v>3039</v>
      </c>
      <c r="D12" s="69">
        <v>78126</v>
      </c>
      <c r="E12" s="70">
        <v>4749</v>
      </c>
      <c r="F12" s="72">
        <v>19011</v>
      </c>
      <c r="G12" s="75">
        <v>2446</v>
      </c>
    </row>
    <row r="13" spans="1:7" x14ac:dyDescent="0.25">
      <c r="A13" s="11" t="s">
        <v>11</v>
      </c>
      <c r="B13" s="69">
        <v>27097</v>
      </c>
      <c r="C13" s="70">
        <v>2272</v>
      </c>
      <c r="D13" s="69">
        <v>44263</v>
      </c>
      <c r="E13" s="70">
        <v>2228</v>
      </c>
      <c r="F13" s="72">
        <v>8827</v>
      </c>
      <c r="G13" s="75">
        <v>1165</v>
      </c>
    </row>
    <row r="14" spans="1:7" x14ac:dyDescent="0.25">
      <c r="A14" s="11" t="s">
        <v>12</v>
      </c>
      <c r="B14" s="69">
        <v>606</v>
      </c>
      <c r="C14" s="70">
        <v>58</v>
      </c>
      <c r="D14" s="69">
        <v>1726</v>
      </c>
      <c r="E14" s="70">
        <v>115</v>
      </c>
      <c r="F14" s="72">
        <v>338</v>
      </c>
      <c r="G14" s="75">
        <v>40</v>
      </c>
    </row>
    <row r="15" spans="1:7" x14ac:dyDescent="0.25">
      <c r="A15" s="11" t="s">
        <v>13</v>
      </c>
      <c r="B15" s="69">
        <v>12745</v>
      </c>
      <c r="C15" s="70">
        <v>1347</v>
      </c>
      <c r="D15" s="69">
        <v>22249</v>
      </c>
      <c r="E15" s="70">
        <v>1655</v>
      </c>
      <c r="F15" s="72">
        <v>6717</v>
      </c>
      <c r="G15" s="75">
        <v>1044</v>
      </c>
    </row>
    <row r="16" spans="1:7" x14ac:dyDescent="0.25">
      <c r="A16" s="11" t="s">
        <v>14</v>
      </c>
      <c r="B16" s="69">
        <v>33961</v>
      </c>
      <c r="C16" s="70">
        <v>7371</v>
      </c>
      <c r="D16" s="69">
        <v>37494</v>
      </c>
      <c r="E16" s="70">
        <v>4265</v>
      </c>
      <c r="F16" s="72">
        <v>14848</v>
      </c>
      <c r="G16" s="75">
        <v>3904</v>
      </c>
    </row>
    <row r="17" spans="1:7" x14ac:dyDescent="0.25">
      <c r="A17" s="11" t="s">
        <v>15</v>
      </c>
      <c r="B17" s="69">
        <v>146521</v>
      </c>
      <c r="C17" s="70">
        <v>14207</v>
      </c>
      <c r="D17" s="69">
        <v>141247</v>
      </c>
      <c r="E17" s="70">
        <v>10471</v>
      </c>
      <c r="F17" s="72">
        <v>68126</v>
      </c>
      <c r="G17" s="75">
        <v>8394</v>
      </c>
    </row>
    <row r="18" spans="1:7" x14ac:dyDescent="0.25">
      <c r="A18" s="11" t="s">
        <v>16</v>
      </c>
      <c r="B18" s="69">
        <v>4653</v>
      </c>
      <c r="C18" s="70">
        <v>404</v>
      </c>
      <c r="D18" s="69">
        <v>14781</v>
      </c>
      <c r="E18" s="70">
        <v>779</v>
      </c>
      <c r="F18" s="72">
        <v>2437</v>
      </c>
      <c r="G18" s="75">
        <v>290</v>
      </c>
    </row>
    <row r="19" spans="1:7" x14ac:dyDescent="0.25">
      <c r="A19" s="11" t="s">
        <v>17</v>
      </c>
      <c r="B19" s="69">
        <v>10810</v>
      </c>
      <c r="C19" s="70">
        <v>1214</v>
      </c>
      <c r="D19" s="69">
        <v>29256</v>
      </c>
      <c r="E19" s="70">
        <v>2183</v>
      </c>
      <c r="F19" s="72">
        <v>5212</v>
      </c>
      <c r="G19" s="75">
        <v>883</v>
      </c>
    </row>
    <row r="20" spans="1:7" x14ac:dyDescent="0.25">
      <c r="A20" s="11" t="s">
        <v>18</v>
      </c>
      <c r="B20" s="69">
        <v>5593</v>
      </c>
      <c r="C20" s="70">
        <v>474</v>
      </c>
      <c r="D20" s="69">
        <v>12540</v>
      </c>
      <c r="E20" s="70">
        <v>740</v>
      </c>
      <c r="F20" s="72">
        <v>2802</v>
      </c>
      <c r="G20" s="75">
        <v>364</v>
      </c>
    </row>
    <row r="21" spans="1:7" x14ac:dyDescent="0.25">
      <c r="A21" s="11" t="s">
        <v>19</v>
      </c>
      <c r="B21" s="69">
        <v>10557</v>
      </c>
      <c r="C21" s="70">
        <v>1193</v>
      </c>
      <c r="D21" s="69">
        <v>21071</v>
      </c>
      <c r="E21" s="70">
        <v>1380</v>
      </c>
      <c r="F21" s="72">
        <v>5495</v>
      </c>
      <c r="G21" s="75">
        <v>855</v>
      </c>
    </row>
    <row r="22" spans="1:7" x14ac:dyDescent="0.25">
      <c r="A22" s="11" t="s">
        <v>20</v>
      </c>
      <c r="B22" s="69">
        <v>12783</v>
      </c>
      <c r="C22" s="70">
        <v>1612</v>
      </c>
      <c r="D22" s="69">
        <v>29737</v>
      </c>
      <c r="E22" s="70">
        <v>2017</v>
      </c>
      <c r="F22" s="72">
        <v>5840</v>
      </c>
      <c r="G22" s="75">
        <v>939</v>
      </c>
    </row>
    <row r="23" spans="1:7" x14ac:dyDescent="0.25">
      <c r="A23" s="11" t="s">
        <v>21</v>
      </c>
      <c r="B23" s="69">
        <v>56568</v>
      </c>
      <c r="C23" s="70">
        <v>5113</v>
      </c>
      <c r="D23" s="69">
        <v>83107</v>
      </c>
      <c r="E23" s="70">
        <v>5162</v>
      </c>
      <c r="F23" s="72">
        <v>30036</v>
      </c>
      <c r="G23" s="75">
        <v>3670</v>
      </c>
    </row>
    <row r="24" spans="1:7" x14ac:dyDescent="0.25">
      <c r="A24" s="11" t="s">
        <v>22</v>
      </c>
      <c r="B24" s="69">
        <v>77196</v>
      </c>
      <c r="C24" s="70">
        <v>9367</v>
      </c>
      <c r="D24" s="69">
        <v>70646</v>
      </c>
      <c r="E24" s="70">
        <v>5350</v>
      </c>
      <c r="F24" s="72">
        <v>33148</v>
      </c>
      <c r="G24" s="75">
        <v>5336</v>
      </c>
    </row>
    <row r="25" spans="1:7" x14ac:dyDescent="0.25">
      <c r="A25" s="11" t="s">
        <v>23</v>
      </c>
      <c r="B25" s="69">
        <v>179500</v>
      </c>
      <c r="C25" s="70">
        <v>23270</v>
      </c>
      <c r="D25" s="69">
        <v>131528</v>
      </c>
      <c r="E25" s="70">
        <v>11225</v>
      </c>
      <c r="F25" s="72">
        <v>55907</v>
      </c>
      <c r="G25" s="75">
        <v>9082</v>
      </c>
    </row>
    <row r="26" spans="1:7" x14ac:dyDescent="0.25">
      <c r="A26" s="11" t="s">
        <v>24</v>
      </c>
      <c r="B26" s="69">
        <v>5377</v>
      </c>
      <c r="C26" s="70">
        <v>398</v>
      </c>
      <c r="D26" s="69">
        <v>11569</v>
      </c>
      <c r="E26" s="70">
        <v>549</v>
      </c>
      <c r="F26" s="72">
        <v>2256</v>
      </c>
      <c r="G26" s="75">
        <v>300</v>
      </c>
    </row>
    <row r="27" spans="1:7" x14ac:dyDescent="0.25">
      <c r="A27" s="11" t="s">
        <v>25</v>
      </c>
      <c r="B27" s="69">
        <v>68873</v>
      </c>
      <c r="C27" s="70">
        <v>7583</v>
      </c>
      <c r="D27" s="69">
        <v>65507</v>
      </c>
      <c r="E27" s="70">
        <v>5303</v>
      </c>
      <c r="F27" s="72">
        <v>23270</v>
      </c>
      <c r="G27" s="75">
        <v>4216</v>
      </c>
    </row>
    <row r="28" spans="1:7" x14ac:dyDescent="0.25">
      <c r="A28" s="11" t="s">
        <v>26</v>
      </c>
      <c r="B28" s="69">
        <v>26672</v>
      </c>
      <c r="C28" s="70">
        <v>2792</v>
      </c>
      <c r="D28" s="69">
        <v>38773</v>
      </c>
      <c r="E28" s="70">
        <v>2534</v>
      </c>
      <c r="F28" s="72">
        <v>7570</v>
      </c>
      <c r="G28" s="75">
        <v>1187</v>
      </c>
    </row>
    <row r="29" spans="1:7" x14ac:dyDescent="0.25">
      <c r="A29" s="11" t="s">
        <v>27</v>
      </c>
      <c r="B29" s="69">
        <v>703</v>
      </c>
      <c r="C29" s="70">
        <v>80</v>
      </c>
      <c r="D29" s="69">
        <v>1916</v>
      </c>
      <c r="E29" s="70">
        <v>139</v>
      </c>
      <c r="F29" s="72">
        <v>348</v>
      </c>
      <c r="G29" s="75">
        <v>53</v>
      </c>
    </row>
    <row r="30" spans="1:7" x14ac:dyDescent="0.25">
      <c r="A30" s="11" t="s">
        <v>28</v>
      </c>
      <c r="B30" s="69">
        <v>21287</v>
      </c>
      <c r="C30" s="70">
        <v>2208</v>
      </c>
      <c r="D30" s="69">
        <v>60860</v>
      </c>
      <c r="E30" s="70">
        <v>3504</v>
      </c>
      <c r="F30" s="72">
        <v>15653</v>
      </c>
      <c r="G30" s="75">
        <v>1896</v>
      </c>
    </row>
    <row r="31" spans="1:7" x14ac:dyDescent="0.25">
      <c r="A31" s="11" t="s">
        <v>29</v>
      </c>
      <c r="B31" s="69">
        <v>1297</v>
      </c>
      <c r="C31" s="70">
        <v>175</v>
      </c>
      <c r="D31" s="69">
        <v>6955</v>
      </c>
      <c r="E31" s="70">
        <v>506</v>
      </c>
      <c r="F31" s="72">
        <v>970</v>
      </c>
      <c r="G31" s="75">
        <v>201</v>
      </c>
    </row>
    <row r="32" spans="1:7" x14ac:dyDescent="0.25">
      <c r="A32" s="11" t="s">
        <v>30</v>
      </c>
      <c r="B32" s="69">
        <v>6658</v>
      </c>
      <c r="C32" s="70">
        <v>705</v>
      </c>
      <c r="D32" s="69">
        <v>11319</v>
      </c>
      <c r="E32" s="70">
        <v>852</v>
      </c>
      <c r="F32" s="72">
        <v>1885</v>
      </c>
      <c r="G32" s="75">
        <v>370</v>
      </c>
    </row>
    <row r="33" spans="1:7" x14ac:dyDescent="0.25">
      <c r="A33" s="11" t="s">
        <v>31</v>
      </c>
      <c r="B33" s="69">
        <v>5164</v>
      </c>
      <c r="C33" s="70">
        <v>846</v>
      </c>
      <c r="D33" s="69">
        <v>17687</v>
      </c>
      <c r="E33" s="70">
        <v>1225</v>
      </c>
      <c r="F33" s="72">
        <v>2518</v>
      </c>
      <c r="G33" s="75">
        <v>459</v>
      </c>
    </row>
    <row r="34" spans="1:7" x14ac:dyDescent="0.25">
      <c r="A34" s="11" t="s">
        <v>32</v>
      </c>
      <c r="B34" s="69">
        <v>12951</v>
      </c>
      <c r="C34" s="70">
        <v>942</v>
      </c>
      <c r="D34" s="69">
        <v>27775</v>
      </c>
      <c r="E34" s="70">
        <v>1096</v>
      </c>
      <c r="F34" s="72">
        <v>5871</v>
      </c>
      <c r="G34" s="75">
        <v>497</v>
      </c>
    </row>
    <row r="35" spans="1:7" x14ac:dyDescent="0.25">
      <c r="A35" s="11" t="s">
        <v>33</v>
      </c>
      <c r="B35" s="69">
        <v>4958</v>
      </c>
      <c r="C35" s="70">
        <v>483</v>
      </c>
      <c r="D35" s="69">
        <v>18152</v>
      </c>
      <c r="E35" s="70">
        <v>1277</v>
      </c>
      <c r="F35" s="72">
        <v>2860</v>
      </c>
      <c r="G35" s="75">
        <v>365</v>
      </c>
    </row>
    <row r="36" spans="1:7" x14ac:dyDescent="0.25">
      <c r="A36" s="11" t="s">
        <v>34</v>
      </c>
      <c r="B36" s="69">
        <v>2318</v>
      </c>
      <c r="C36" s="70">
        <v>222</v>
      </c>
      <c r="D36" s="69">
        <v>9569</v>
      </c>
      <c r="E36" s="70">
        <v>455</v>
      </c>
      <c r="F36" s="72">
        <v>1349</v>
      </c>
      <c r="G36" s="75">
        <v>163</v>
      </c>
    </row>
    <row r="37" spans="1:7" x14ac:dyDescent="0.25">
      <c r="A37" s="11" t="s">
        <v>35</v>
      </c>
      <c r="B37" s="69">
        <v>70338</v>
      </c>
      <c r="C37" s="70">
        <v>6370</v>
      </c>
      <c r="D37" s="69">
        <v>48136</v>
      </c>
      <c r="E37" s="70">
        <v>4163</v>
      </c>
      <c r="F37" s="72">
        <v>17847</v>
      </c>
      <c r="G37" s="75">
        <v>2990</v>
      </c>
    </row>
    <row r="38" spans="1:7" x14ac:dyDescent="0.25">
      <c r="A38" s="11" t="s">
        <v>36</v>
      </c>
      <c r="B38" s="69">
        <v>101663</v>
      </c>
      <c r="C38" s="70">
        <v>11346</v>
      </c>
      <c r="D38" s="69">
        <v>171586</v>
      </c>
      <c r="E38" s="70">
        <v>12257</v>
      </c>
      <c r="F38" s="72">
        <v>59312</v>
      </c>
      <c r="G38" s="75">
        <v>8368</v>
      </c>
    </row>
    <row r="39" spans="1:7" x14ac:dyDescent="0.25">
      <c r="A39" s="11" t="s">
        <v>37</v>
      </c>
      <c r="B39" s="69">
        <v>17950</v>
      </c>
      <c r="C39" s="70">
        <v>1730</v>
      </c>
      <c r="D39" s="69">
        <v>28405</v>
      </c>
      <c r="E39" s="70">
        <v>1718</v>
      </c>
      <c r="F39" s="72">
        <v>6577</v>
      </c>
      <c r="G39" s="75">
        <v>952</v>
      </c>
    </row>
    <row r="40" spans="1:7" x14ac:dyDescent="0.25">
      <c r="A40" s="11" t="s">
        <v>38</v>
      </c>
      <c r="B40" s="69">
        <v>22693</v>
      </c>
      <c r="C40" s="70">
        <v>2755</v>
      </c>
      <c r="D40" s="69">
        <v>49473</v>
      </c>
      <c r="E40" s="70">
        <v>3154</v>
      </c>
      <c r="F40" s="72">
        <v>13828</v>
      </c>
      <c r="G40" s="75">
        <v>2154</v>
      </c>
    </row>
    <row r="41" spans="1:7" x14ac:dyDescent="0.25">
      <c r="A41" s="11" t="s">
        <v>39</v>
      </c>
      <c r="B41" s="69">
        <v>98426</v>
      </c>
      <c r="C41" s="70">
        <v>13167</v>
      </c>
      <c r="D41" s="69">
        <v>82690</v>
      </c>
      <c r="E41" s="70">
        <v>6777</v>
      </c>
      <c r="F41" s="72">
        <v>45207</v>
      </c>
      <c r="G41" s="75">
        <v>7847</v>
      </c>
    </row>
    <row r="42" spans="1:7" x14ac:dyDescent="0.25">
      <c r="A42" s="11" t="s">
        <v>40</v>
      </c>
      <c r="B42" s="69">
        <v>76236</v>
      </c>
      <c r="C42" s="70">
        <v>8945</v>
      </c>
      <c r="D42" s="69">
        <v>84146</v>
      </c>
      <c r="E42" s="70">
        <v>6773</v>
      </c>
      <c r="F42" s="72">
        <v>26729</v>
      </c>
      <c r="G42" s="75">
        <v>4759</v>
      </c>
    </row>
    <row r="43" spans="1:7" x14ac:dyDescent="0.25">
      <c r="A43" s="11" t="s">
        <v>41</v>
      </c>
      <c r="B43" s="69">
        <v>16503</v>
      </c>
      <c r="C43" s="70">
        <v>1696</v>
      </c>
      <c r="D43" s="69">
        <v>41612</v>
      </c>
      <c r="E43" s="70">
        <v>2140</v>
      </c>
      <c r="F43" s="72">
        <v>9491</v>
      </c>
      <c r="G43" s="75">
        <v>1219</v>
      </c>
    </row>
    <row r="44" spans="1:7" x14ac:dyDescent="0.25">
      <c r="A44" s="11" t="s">
        <v>42</v>
      </c>
      <c r="B44" s="69">
        <v>4654</v>
      </c>
      <c r="C44" s="70">
        <v>633</v>
      </c>
      <c r="D44" s="69">
        <v>14831</v>
      </c>
      <c r="E44" s="70">
        <v>1338</v>
      </c>
      <c r="F44" s="72">
        <v>3117</v>
      </c>
      <c r="G44" s="75">
        <v>613</v>
      </c>
    </row>
    <row r="45" spans="1:7" x14ac:dyDescent="0.25">
      <c r="A45" s="11" t="s">
        <v>43</v>
      </c>
      <c r="B45" s="69">
        <v>20937</v>
      </c>
      <c r="C45" s="70">
        <v>2183</v>
      </c>
      <c r="D45" s="69">
        <v>35805</v>
      </c>
      <c r="E45" s="70">
        <v>2492</v>
      </c>
      <c r="F45" s="72">
        <v>9080</v>
      </c>
      <c r="G45" s="75">
        <v>1377</v>
      </c>
    </row>
    <row r="46" spans="1:7" x14ac:dyDescent="0.25">
      <c r="A46" s="11" t="s">
        <v>44</v>
      </c>
      <c r="B46" s="69">
        <v>4822</v>
      </c>
      <c r="C46" s="70">
        <v>552</v>
      </c>
      <c r="D46" s="69">
        <v>17456</v>
      </c>
      <c r="E46" s="70">
        <v>1177</v>
      </c>
      <c r="F46" s="72">
        <v>2695</v>
      </c>
      <c r="G46" s="75">
        <v>436</v>
      </c>
    </row>
    <row r="47" spans="1:7" x14ac:dyDescent="0.25">
      <c r="A47" s="11" t="s">
        <v>45</v>
      </c>
      <c r="B47" s="69">
        <v>42105</v>
      </c>
      <c r="C47" s="70">
        <v>6427</v>
      </c>
      <c r="D47" s="69">
        <v>39470</v>
      </c>
      <c r="E47" s="70">
        <v>3823</v>
      </c>
      <c r="F47" s="72">
        <v>22049</v>
      </c>
      <c r="G47" s="75">
        <v>3597</v>
      </c>
    </row>
    <row r="48" spans="1:7" x14ac:dyDescent="0.25">
      <c r="A48" s="11" t="s">
        <v>46</v>
      </c>
      <c r="B48" s="69">
        <v>283123</v>
      </c>
      <c r="C48" s="70">
        <v>22301</v>
      </c>
      <c r="D48" s="69">
        <v>195657</v>
      </c>
      <c r="E48" s="70">
        <v>12085</v>
      </c>
      <c r="F48" s="72">
        <v>99829</v>
      </c>
      <c r="G48" s="75">
        <v>10730</v>
      </c>
    </row>
    <row r="49" spans="1:7" x14ac:dyDescent="0.25">
      <c r="A49" s="11" t="s">
        <v>47</v>
      </c>
      <c r="B49" s="69">
        <v>3419</v>
      </c>
      <c r="C49" s="70">
        <v>360</v>
      </c>
      <c r="D49" s="69">
        <v>6100</v>
      </c>
      <c r="E49" s="70">
        <v>456</v>
      </c>
      <c r="F49" s="72">
        <v>1769</v>
      </c>
      <c r="G49" s="75">
        <v>265</v>
      </c>
    </row>
    <row r="50" spans="1:7" x14ac:dyDescent="0.25">
      <c r="A50" s="11" t="s">
        <v>48</v>
      </c>
      <c r="B50" s="69">
        <v>85085</v>
      </c>
      <c r="C50" s="70">
        <v>10918</v>
      </c>
      <c r="D50" s="69">
        <v>80228</v>
      </c>
      <c r="E50" s="70">
        <v>6581</v>
      </c>
      <c r="F50" s="72">
        <v>42541</v>
      </c>
      <c r="G50" s="75">
        <v>6813</v>
      </c>
    </row>
    <row r="51" spans="1:7" x14ac:dyDescent="0.25">
      <c r="A51" s="11" t="s">
        <v>49</v>
      </c>
      <c r="B51" s="69">
        <v>12126</v>
      </c>
      <c r="C51" s="70">
        <v>3225</v>
      </c>
      <c r="D51" s="69">
        <v>27080</v>
      </c>
      <c r="E51" s="70">
        <v>4847</v>
      </c>
      <c r="F51" s="72">
        <v>4987</v>
      </c>
      <c r="G51" s="75">
        <v>3082</v>
      </c>
    </row>
    <row r="52" spans="1:7" x14ac:dyDescent="0.25">
      <c r="A52" s="11" t="s">
        <v>50</v>
      </c>
      <c r="B52" s="69">
        <v>5640</v>
      </c>
      <c r="C52" s="70">
        <v>384</v>
      </c>
      <c r="D52" s="69">
        <v>19954</v>
      </c>
      <c r="E52" s="70">
        <v>980</v>
      </c>
      <c r="F52" s="72">
        <v>3844</v>
      </c>
      <c r="G52" s="75">
        <v>446</v>
      </c>
    </row>
    <row r="53" spans="1:7" x14ac:dyDescent="0.25">
      <c r="A53" s="11" t="s">
        <v>51</v>
      </c>
      <c r="B53" s="69">
        <v>647531</v>
      </c>
      <c r="C53" s="70">
        <v>130061</v>
      </c>
      <c r="D53" s="69">
        <v>110516</v>
      </c>
      <c r="E53" s="70">
        <v>20598</v>
      </c>
      <c r="F53" s="72">
        <v>143393</v>
      </c>
      <c r="G53" s="75">
        <v>35113</v>
      </c>
    </row>
    <row r="54" spans="1:7" x14ac:dyDescent="0.25">
      <c r="A54" s="11" t="s">
        <v>52</v>
      </c>
      <c r="B54" s="69">
        <v>11777</v>
      </c>
      <c r="C54" s="70">
        <v>1831</v>
      </c>
      <c r="D54" s="69">
        <v>20867</v>
      </c>
      <c r="E54" s="70">
        <v>2214</v>
      </c>
      <c r="F54" s="72">
        <v>9098</v>
      </c>
      <c r="G54" s="75">
        <v>1540</v>
      </c>
    </row>
    <row r="55" spans="1:7" x14ac:dyDescent="0.25">
      <c r="A55" s="11" t="s">
        <v>53</v>
      </c>
      <c r="B55" s="69">
        <v>1599</v>
      </c>
      <c r="C55" s="70">
        <v>140</v>
      </c>
      <c r="D55" s="69">
        <v>7486</v>
      </c>
      <c r="E55" s="70">
        <v>524</v>
      </c>
      <c r="F55" s="72">
        <v>1092</v>
      </c>
      <c r="G55" s="75">
        <v>172</v>
      </c>
    </row>
    <row r="56" spans="1:7" x14ac:dyDescent="0.25">
      <c r="A56" s="11" t="s">
        <v>54</v>
      </c>
      <c r="B56" s="69">
        <v>23332</v>
      </c>
      <c r="C56" s="70">
        <v>2026</v>
      </c>
      <c r="D56" s="69">
        <v>50608</v>
      </c>
      <c r="E56" s="70">
        <v>2578</v>
      </c>
      <c r="F56" s="72">
        <v>12446</v>
      </c>
      <c r="G56" s="75">
        <v>1458</v>
      </c>
    </row>
    <row r="57" spans="1:7" x14ac:dyDescent="0.25">
      <c r="A57" s="11" t="s">
        <v>55</v>
      </c>
      <c r="B57" s="69">
        <v>4365</v>
      </c>
      <c r="C57" s="70">
        <v>518</v>
      </c>
      <c r="D57" s="69">
        <v>15044</v>
      </c>
      <c r="E57" s="70">
        <v>907</v>
      </c>
      <c r="F57" s="72">
        <v>2569</v>
      </c>
      <c r="G57" s="75">
        <v>457</v>
      </c>
    </row>
    <row r="58" spans="1:7" x14ac:dyDescent="0.25">
      <c r="A58" s="11" t="s">
        <v>56</v>
      </c>
      <c r="B58" s="69">
        <v>9653</v>
      </c>
      <c r="C58" s="70">
        <v>820</v>
      </c>
      <c r="D58" s="69">
        <v>31122</v>
      </c>
      <c r="E58" s="70">
        <v>1688</v>
      </c>
      <c r="F58" s="72">
        <v>4551</v>
      </c>
      <c r="G58" s="75">
        <v>604</v>
      </c>
    </row>
    <row r="59" spans="1:7" x14ac:dyDescent="0.25">
      <c r="A59" s="11" t="s">
        <v>57</v>
      </c>
      <c r="B59" s="69">
        <v>992</v>
      </c>
      <c r="C59" s="70">
        <v>76</v>
      </c>
      <c r="D59" s="69">
        <v>2705</v>
      </c>
      <c r="E59" s="70">
        <v>147</v>
      </c>
      <c r="F59" s="72">
        <v>487</v>
      </c>
      <c r="G59" s="75">
        <v>54</v>
      </c>
    </row>
    <row r="60" spans="1:7" x14ac:dyDescent="0.25">
      <c r="A60" s="11" t="s">
        <v>58</v>
      </c>
      <c r="B60" s="69">
        <v>5408</v>
      </c>
      <c r="C60" s="70">
        <v>824</v>
      </c>
      <c r="D60" s="69">
        <v>15947</v>
      </c>
      <c r="E60" s="70">
        <v>1506</v>
      </c>
      <c r="F60" s="72">
        <v>3401</v>
      </c>
      <c r="G60" s="75">
        <v>684</v>
      </c>
    </row>
    <row r="61" spans="1:7" x14ac:dyDescent="0.25">
      <c r="A61" s="11" t="s">
        <v>59</v>
      </c>
      <c r="B61" s="69">
        <v>4546</v>
      </c>
      <c r="C61" s="70">
        <v>382</v>
      </c>
      <c r="D61" s="69">
        <v>17044</v>
      </c>
      <c r="E61" s="70">
        <v>1065</v>
      </c>
      <c r="F61" s="72">
        <v>3297</v>
      </c>
      <c r="G61" s="75">
        <v>462</v>
      </c>
    </row>
    <row r="62" spans="1:7" x14ac:dyDescent="0.25">
      <c r="A62" s="11" t="s">
        <v>60</v>
      </c>
      <c r="B62" s="69">
        <v>6506</v>
      </c>
      <c r="C62" s="70">
        <v>1292</v>
      </c>
      <c r="D62" s="69">
        <v>13191</v>
      </c>
      <c r="E62" s="70">
        <v>1211</v>
      </c>
      <c r="F62" s="72">
        <v>3380</v>
      </c>
      <c r="G62" s="75">
        <v>840</v>
      </c>
    </row>
    <row r="63" spans="1:7" x14ac:dyDescent="0.25">
      <c r="A63" s="11" t="s">
        <v>61</v>
      </c>
      <c r="B63" s="69">
        <v>7346</v>
      </c>
      <c r="C63" s="70">
        <v>677</v>
      </c>
      <c r="D63" s="69">
        <v>18959</v>
      </c>
      <c r="E63" s="70">
        <v>1175</v>
      </c>
      <c r="F63" s="72">
        <v>4115</v>
      </c>
      <c r="G63" s="75">
        <v>535</v>
      </c>
    </row>
    <row r="64" spans="1:7" x14ac:dyDescent="0.25">
      <c r="A64" s="11" t="s">
        <v>62</v>
      </c>
      <c r="B64" s="69">
        <v>5897</v>
      </c>
      <c r="C64" s="70">
        <v>453</v>
      </c>
      <c r="D64" s="69">
        <v>14362</v>
      </c>
      <c r="E64" s="70">
        <v>878</v>
      </c>
      <c r="F64" s="72">
        <v>3470</v>
      </c>
      <c r="G64" s="75">
        <v>377</v>
      </c>
    </row>
    <row r="65" spans="1:7" x14ac:dyDescent="0.25">
      <c r="A65" s="11" t="s">
        <v>63</v>
      </c>
      <c r="B65" s="69">
        <v>48827</v>
      </c>
      <c r="C65" s="70">
        <v>3779</v>
      </c>
      <c r="D65" s="69">
        <v>68992</v>
      </c>
      <c r="E65" s="70">
        <v>3687</v>
      </c>
      <c r="F65" s="72">
        <v>17571</v>
      </c>
      <c r="G65" s="75">
        <v>2138</v>
      </c>
    </row>
    <row r="66" spans="1:7" x14ac:dyDescent="0.25">
      <c r="A66" s="11" t="s">
        <v>64</v>
      </c>
      <c r="B66" s="69">
        <v>7873</v>
      </c>
      <c r="C66" s="70">
        <v>831</v>
      </c>
      <c r="D66" s="69">
        <v>20339</v>
      </c>
      <c r="E66" s="70">
        <v>1402</v>
      </c>
      <c r="F66" s="72">
        <v>5462</v>
      </c>
      <c r="G66" s="75">
        <v>759</v>
      </c>
    </row>
    <row r="67" spans="1:7" x14ac:dyDescent="0.25">
      <c r="A67" s="11" t="s">
        <v>65</v>
      </c>
      <c r="B67" s="69">
        <v>80176</v>
      </c>
      <c r="C67" s="70">
        <v>6578</v>
      </c>
      <c r="D67" s="69">
        <v>123504</v>
      </c>
      <c r="E67" s="70">
        <v>7317</v>
      </c>
      <c r="F67" s="72">
        <v>29394</v>
      </c>
      <c r="G67" s="75">
        <v>3749</v>
      </c>
    </row>
    <row r="68" spans="1:7" x14ac:dyDescent="0.25">
      <c r="A68" s="11" t="s">
        <v>66</v>
      </c>
      <c r="B68" s="69">
        <v>4305</v>
      </c>
      <c r="C68" s="70">
        <v>374</v>
      </c>
      <c r="D68" s="69">
        <v>10681</v>
      </c>
      <c r="E68" s="70">
        <v>644</v>
      </c>
      <c r="F68" s="72">
        <v>2182</v>
      </c>
      <c r="G68" s="75">
        <v>300</v>
      </c>
    </row>
    <row r="69" spans="1:7" x14ac:dyDescent="0.25">
      <c r="A69" s="19" t="s">
        <v>67</v>
      </c>
      <c r="B69" s="68">
        <v>85638</v>
      </c>
      <c r="C69" s="71">
        <v>10911</v>
      </c>
      <c r="D69" s="68">
        <v>155883</v>
      </c>
      <c r="E69" s="71">
        <v>12385</v>
      </c>
      <c r="F69" s="73">
        <v>54525</v>
      </c>
      <c r="G69" s="76">
        <v>8306</v>
      </c>
    </row>
    <row r="70" spans="1:7" x14ac:dyDescent="0.25">
      <c r="A70" s="32" t="s">
        <v>68</v>
      </c>
      <c r="B70" s="14">
        <f>SUM(B3:B69)</f>
        <v>3410718</v>
      </c>
      <c r="C70" s="14">
        <f t="shared" ref="C70:G70" si="0">SUM(C3:C69)</f>
        <v>433575</v>
      </c>
      <c r="D70" s="14">
        <f t="shared" si="0"/>
        <v>3381616</v>
      </c>
      <c r="E70" s="14">
        <f t="shared" si="0"/>
        <v>253745</v>
      </c>
      <c r="F70" s="14">
        <f t="shared" si="0"/>
        <v>1293773</v>
      </c>
      <c r="G70" s="14">
        <f t="shared" si="0"/>
        <v>206649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8980076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2026-08-17T12:14:18Z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