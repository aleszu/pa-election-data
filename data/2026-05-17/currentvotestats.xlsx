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0" documentId="14_{DD808BB9-0D39-4795-8DE0-2BF1C1A520D6}" xr6:coauthVersionLast="47" xr6:coauthVersionMax="47" xr10:uidLastSave="{00000000-0000-0000-0000-000000000000}"/>
  <bookViews>
    <workbookView xWindow="28680" yWindow="-120" windowWidth="29040" windowHeight="15720" tabRatio="934" activeTab="7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5" l="1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0" i="8"/>
  <c r="C70" i="8"/>
  <c r="D70" i="8"/>
  <c r="E70" i="8"/>
  <c r="F70" i="8"/>
  <c r="G70" i="8"/>
  <c r="B69" i="7"/>
  <c r="C69" i="7"/>
  <c r="D69" i="7"/>
  <c r="E69" i="7"/>
  <c r="F69" i="7"/>
  <c r="G69" i="7"/>
  <c r="H69" i="7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<sst xmlns="http://schemas.openxmlformats.org/spreadsheetml/2006/main" count="1144" uniqueCount="134">
  <si>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</si>
  <si>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</si>
  <si>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</si>
  <si>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</si>
  <si>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</si>
  <si>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</si>
  <si>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</si>
  <si>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</si>
  <si>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</si>
  <si>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</si>
  <si>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</si>
  <si>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</si>
  <si>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</si>
  <si>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</si>
  <si>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</si>
  <si>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</si>
  <si>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</si>
  <si>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</si>
  <si>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</si>
  <si>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</si>
  <si>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</si>
  <si>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</si>
  <si>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</si>
  <si>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</si>
  <si>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</si>
  <si>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</si>
  <si>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</si>
  <si>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</si>
  <si>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</si>
  <si>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</si>
  <si>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</si>
  <si>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</si>
  <si>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</si>
  <si>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</si>
  <si>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</si>
  <si>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</si>
  <si>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</si>
  <si>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</si>
  <si>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</si>
  <si>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</si>
  <si>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</si>
  <si>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</si>
  <si>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</si>
  <si>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</si>
  <si>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</si>
  <si>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</si>
  <si>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</si>
  <si>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</si>
  <si>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</si>
  <si>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</si>
  <si>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</si>
  <si>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</si>
  <si>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</si>
  <si>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</si>
  <si>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</si>
  <si>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</si>
  <si>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</si>
  <si>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</si>
  <si>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</si>
  <si>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</si>
  <si>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</si>
  <si>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</si>
  <si>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</si>
  <si>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</si>
  <si>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</si>
  <si>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</si>
  <si>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</si>
  <si>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</si>
  <si>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</si>
  <si>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</si>
  <si>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</si>
  <si>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</si>
  <si>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</si>
  <si>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</si>
  <si>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</si>
  <si>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</si>
  <si>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</si>
  <si>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</si>
  <si>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</si>
  <si>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</si>
  <si>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</si>
  <si>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</si>
  <si>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</si>
  <si>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</si>
  <si>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</si>
  <si>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</si>
  <si>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</si>
  <si>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</si>
  <si>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</si>
  <si>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</si>
  <si>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</si>
  <si>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</si>
  <si>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</si>
  <si>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</si>
  <si>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</si>
  <si>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</si>
  <si>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</si>
  <si>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</si>
  <si>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</si>
  <si>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</si>
  <si>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</si>
  <si>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</si>
  <si>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</si>
  <si>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</si>
  <si>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</si>
  <si>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</si>
  <si>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</si>
  <si>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</si>
  <si>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</si>
  <si>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</si>
  <si>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</si>
  <si>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</si>
  <si>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</si>
  <si>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</si>
  <si>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</si>
  <si>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</si>
  <si>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</si>
  <si>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</si>
  <si>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</si>
  <si>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</si>
  <si>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</si>
  <si>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</si>
  <si>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</si>
  <si>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</si>
  <si>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</si>
  <si>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</si>
  <si>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</si>
  <si>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</si>
  <si>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</si>
  <si>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05/11/2026</t>
  </si>
  <si>
    <t>Week Of 05-04-2026 to 05-11-2026</t>
  </si>
  <si>
    <t xml:space="preserve">    </t>
  </si>
  <si>
    <t xml:space="preserve">ADAMS </t>
  </si>
  <si>
    <t xml:space="preserve">ADAMS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</si>
</sst>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zoomScaleNormal="100" workbookViewId="0">
      <selection activeCell="A2" sqref="A2"/>
    </sheetView>
  </sheetViews>
  <sheetFormatPr defaultRowHeight="12.75" x14ac:dyDescent="0.2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 x14ac:dyDescent="0.2">
      <c r="A1" s="18" t="s">
        <v>129</v>
      </c>
      <c r="C1" s="10"/>
      <c r="D1" s="10"/>
      <c r="E1" s="10" t="s">
        <v>131</v>
      </c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5.5" x14ac:dyDescent="0.2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">
      <c r="A3" t="s">
        <v>1</v>
      </c>
      <c r="B3" s="1">
        <v>2290</v>
      </c>
      <c r="C3">
        <v>19108</v>
      </c>
      <c r="D3"/>
      <c r="E3">
        <v>43957</v>
      </c>
      <c r="F3"/>
      <c r="G3">
        <v>10368</v>
      </c>
      <c r="H3"/>
      <c r="I3">
        <v>2797</v>
      </c>
      <c r="K3" s="10">
        <f t="shared" ref="K3:K34" si="0">SUM(C3+E3+G3+I3)</f>
        <v>76230</v>
      </c>
    </row>
    <row r="4" spans="1:12" x14ac:dyDescent="0.2">
      <c r="A4" t="s">
        <v>2</v>
      </c>
      <c r="B4" s="1">
        <v>2291</v>
      </c>
      <c r="C4">
        <v>502429</v>
      </c>
      <c r="D4"/>
      <c r="E4">
        <v>263898</v>
      </c>
      <c r="F4"/>
      <c r="G4">
        <v>112072</v>
      </c>
      <c r="H4"/>
      <c r="I4">
        <v>37052</v>
      </c>
      <c r="K4" s="10">
        <f t="shared" si="0"/>
        <v>915451</v>
      </c>
    </row>
    <row r="5" spans="1:12" x14ac:dyDescent="0.2">
      <c r="A5" t="s">
        <v>3</v>
      </c>
      <c r="B5" s="1">
        <v>2292</v>
      </c>
      <c r="C5">
        <v>10698</v>
      </c>
      <c r="D5"/>
      <c r="E5">
        <v>27640</v>
      </c>
      <c r="F5"/>
      <c r="G5">
        <v>3656</v>
      </c>
      <c r="H5"/>
      <c r="I5">
        <v>1581</v>
      </c>
      <c r="K5" s="10">
        <f t="shared" si="0"/>
        <v>43575</v>
      </c>
    </row>
    <row r="6" spans="1:12" x14ac:dyDescent="0.2">
      <c r="A6" t="s">
        <v>4</v>
      </c>
      <c r="B6" s="1">
        <v>2293</v>
      </c>
      <c r="C6">
        <v>45842</v>
      </c>
      <c r="D6"/>
      <c r="E6">
        <v>51936</v>
      </c>
      <c r="F6"/>
      <c r="G6">
        <v>11684</v>
      </c>
      <c r="H6"/>
      <c r="I6">
        <v>4738</v>
      </c>
      <c r="K6" s="10">
        <f t="shared" si="0"/>
        <v>114200</v>
      </c>
    </row>
    <row r="7" spans="1:12" x14ac:dyDescent="0.2">
      <c r="A7" t="s">
        <v>5</v>
      </c>
      <c r="B7" s="1">
        <v>2294</v>
      </c>
      <c r="C7">
        <v>5283</v>
      </c>
      <c r="D7"/>
      <c r="E7">
        <v>24571</v>
      </c>
      <c r="F7"/>
      <c r="G7">
        <v>2283</v>
      </c>
      <c r="H7"/>
      <c r="I7">
        <v>889</v>
      </c>
      <c r="K7" s="10">
        <f t="shared" si="0"/>
        <v>33026</v>
      </c>
    </row>
    <row r="8" spans="1:12" x14ac:dyDescent="0.2">
      <c r="A8" t="s">
        <v>6</v>
      </c>
      <c r="B8" s="1">
        <v>2295</v>
      </c>
      <c r="C8">
        <v>104172</v>
      </c>
      <c r="D8"/>
      <c r="E8">
        <v>118132</v>
      </c>
      <c r="F8"/>
      <c r="G8">
        <v>40640</v>
      </c>
      <c r="H8"/>
      <c r="I8">
        <v>10408</v>
      </c>
      <c r="K8" s="10">
        <f t="shared" si="0"/>
        <v>273352</v>
      </c>
    </row>
    <row r="9" spans="1:12" x14ac:dyDescent="0.2">
      <c r="A9" t="s">
        <v>7</v>
      </c>
      <c r="B9" s="1">
        <v>2296</v>
      </c>
      <c r="C9">
        <v>19748</v>
      </c>
      <c r="D9"/>
      <c r="E9">
        <v>50720</v>
      </c>
      <c r="F9"/>
      <c r="G9">
        <v>8340</v>
      </c>
      <c r="H9"/>
      <c r="I9">
        <v>2722</v>
      </c>
      <c r="K9" s="10">
        <f t="shared" si="0"/>
        <v>81530</v>
      </c>
    </row>
    <row r="10" spans="1:12" x14ac:dyDescent="0.2">
      <c r="A10" t="s">
        <v>8</v>
      </c>
      <c r="B10" s="1">
        <v>2297</v>
      </c>
      <c r="C10">
        <v>7799</v>
      </c>
      <c r="D10"/>
      <c r="E10">
        <v>25624</v>
      </c>
      <c r="F10"/>
      <c r="G10">
        <v>3815</v>
      </c>
      <c r="H10"/>
      <c r="I10">
        <v>1538</v>
      </c>
      <c r="K10" s="10">
        <f t="shared" si="0"/>
        <v>38776</v>
      </c>
    </row>
    <row r="11" spans="1:12" x14ac:dyDescent="0.2">
      <c r="A11" t="s">
        <v>9</v>
      </c>
      <c r="B11" s="1">
        <v>2298</v>
      </c>
      <c r="C11">
        <v>193699</v>
      </c>
      <c r="D11"/>
      <c r="E11">
        <v>202368</v>
      </c>
      <c r="F11"/>
      <c r="G11">
        <v>69101</v>
      </c>
      <c r="H11"/>
      <c r="I11">
        <v>18526</v>
      </c>
      <c r="K11" s="10">
        <f t="shared" si="0"/>
        <v>483694</v>
      </c>
    </row>
    <row r="12" spans="1:12" x14ac:dyDescent="0.2">
      <c r="A12" t="s">
        <v>10</v>
      </c>
      <c r="B12" s="1">
        <v>2299</v>
      </c>
      <c r="C12">
        <v>39038</v>
      </c>
      <c r="D12"/>
      <c r="E12">
        <v>82875</v>
      </c>
      <c r="F12"/>
      <c r="G12">
        <v>16081</v>
      </c>
      <c r="H12"/>
      <c r="I12">
        <v>5169</v>
      </c>
      <c r="K12" s="10">
        <f t="shared" si="0"/>
        <v>143163</v>
      </c>
    </row>
    <row r="13" spans="1:12" x14ac:dyDescent="0.2">
      <c r="A13" t="s">
        <v>11</v>
      </c>
      <c r="B13" s="1">
        <v>2300</v>
      </c>
      <c r="C13">
        <v>29516</v>
      </c>
      <c r="D13"/>
      <c r="E13">
        <v>46546</v>
      </c>
      <c r="F13"/>
      <c r="G13">
        <v>7778</v>
      </c>
      <c r="H13"/>
      <c r="I13">
        <v>2117</v>
      </c>
      <c r="K13" s="10">
        <f t="shared" si="0"/>
        <v>85957</v>
      </c>
    </row>
    <row r="14" spans="1:12" x14ac:dyDescent="0.2">
      <c r="A14" t="s">
        <v>12</v>
      </c>
      <c r="B14" s="1">
        <v>2301</v>
      </c>
      <c r="C14">
        <v>666</v>
      </c>
      <c r="D14"/>
      <c r="E14">
        <v>1839</v>
      </c>
      <c r="F14"/>
      <c r="G14">
        <v>248</v>
      </c>
      <c r="H14"/>
      <c r="I14">
        <v>124</v>
      </c>
      <c r="K14" s="10">
        <f t="shared" si="0"/>
        <v>2877</v>
      </c>
    </row>
    <row r="15" spans="1:12" x14ac:dyDescent="0.2">
      <c r="A15" t="s">
        <v>13</v>
      </c>
      <c r="B15" s="1">
        <v>2302</v>
      </c>
      <c r="C15">
        <v>14067</v>
      </c>
      <c r="D15"/>
      <c r="E15">
        <v>23856</v>
      </c>
      <c r="F15"/>
      <c r="G15">
        <v>5719</v>
      </c>
      <c r="H15"/>
      <c r="I15">
        <v>1923</v>
      </c>
      <c r="K15" s="10">
        <f t="shared" si="0"/>
        <v>45565</v>
      </c>
    </row>
    <row r="16" spans="1:12" x14ac:dyDescent="0.2">
      <c r="A16" t="s">
        <v>14</v>
      </c>
      <c r="B16" s="1">
        <v>2303</v>
      </c>
      <c r="C16">
        <v>41461</v>
      </c>
      <c r="D16"/>
      <c r="E16">
        <v>41900</v>
      </c>
      <c r="F16"/>
      <c r="G16">
        <v>15982</v>
      </c>
      <c r="H16"/>
      <c r="I16">
        <v>2705</v>
      </c>
      <c r="K16" s="10">
        <f t="shared" si="0"/>
        <v>102048</v>
      </c>
    </row>
    <row r="17" spans="1:11" x14ac:dyDescent="0.2">
      <c r="A17" t="s">
        <v>15</v>
      </c>
      <c r="B17" s="1">
        <v>2304</v>
      </c>
      <c r="C17">
        <v>160439</v>
      </c>
      <c r="D17"/>
      <c r="E17">
        <v>152174</v>
      </c>
      <c r="F17"/>
      <c r="G17">
        <v>58115</v>
      </c>
      <c r="H17"/>
      <c r="I17">
        <v>18016</v>
      </c>
      <c r="K17" s="10">
        <f t="shared" si="0"/>
        <v>388744</v>
      </c>
    </row>
    <row r="18" spans="1:11" x14ac:dyDescent="0.2">
      <c r="A18" t="s">
        <v>16</v>
      </c>
      <c r="B18" s="1">
        <v>2305</v>
      </c>
      <c r="C18">
        <v>5070</v>
      </c>
      <c r="D18"/>
      <c r="E18">
        <v>15570</v>
      </c>
      <c r="F18"/>
      <c r="G18">
        <v>2073</v>
      </c>
      <c r="H18"/>
      <c r="I18">
        <v>646</v>
      </c>
      <c r="K18" s="10">
        <f t="shared" si="0"/>
        <v>23359</v>
      </c>
    </row>
    <row r="19" spans="1:11" x14ac:dyDescent="0.2">
      <c r="A19" t="s">
        <v>17</v>
      </c>
      <c r="B19" s="1">
        <v>2306</v>
      </c>
      <c r="C19">
        <v>12066</v>
      </c>
      <c r="D19"/>
      <c r="E19">
        <v>31444</v>
      </c>
      <c r="F19"/>
      <c r="G19">
        <v>4272</v>
      </c>
      <c r="H19"/>
      <c r="I19">
        <v>1789</v>
      </c>
      <c r="K19" s="10">
        <f t="shared" si="0"/>
        <v>49571</v>
      </c>
    </row>
    <row r="20" spans="1:11" x14ac:dyDescent="0.2">
      <c r="A20" t="s">
        <v>18</v>
      </c>
      <c r="B20" s="1">
        <v>2307</v>
      </c>
      <c r="C20">
        <v>6064</v>
      </c>
      <c r="D20"/>
      <c r="E20">
        <v>13320</v>
      </c>
      <c r="F20"/>
      <c r="G20">
        <v>2394</v>
      </c>
      <c r="H20"/>
      <c r="I20">
        <v>741</v>
      </c>
      <c r="K20" s="10">
        <f t="shared" si="0"/>
        <v>22519</v>
      </c>
    </row>
    <row r="21" spans="1:11" x14ac:dyDescent="0.2">
      <c r="A21" t="s">
        <v>19</v>
      </c>
      <c r="B21" s="1">
        <v>2308</v>
      </c>
      <c r="C21">
        <v>11816</v>
      </c>
      <c r="D21"/>
      <c r="E21">
        <v>22451</v>
      </c>
      <c r="F21"/>
      <c r="G21">
        <v>4829</v>
      </c>
      <c r="H21"/>
      <c r="I21">
        <v>1490</v>
      </c>
      <c r="K21" s="10">
        <f t="shared" si="0"/>
        <v>40586</v>
      </c>
    </row>
    <row r="22" spans="1:11" x14ac:dyDescent="0.2">
      <c r="A22" t="s">
        <v>20</v>
      </c>
      <c r="B22" s="1">
        <v>2309</v>
      </c>
      <c r="C22">
        <v>14461</v>
      </c>
      <c r="D22"/>
      <c r="E22">
        <v>31852</v>
      </c>
      <c r="F22"/>
      <c r="G22">
        <v>4904</v>
      </c>
      <c r="H22"/>
      <c r="I22">
        <v>1842</v>
      </c>
      <c r="K22" s="10">
        <f t="shared" si="0"/>
        <v>53059</v>
      </c>
    </row>
    <row r="23" spans="1:11" x14ac:dyDescent="0.2">
      <c r="A23" t="s">
        <v>21</v>
      </c>
      <c r="B23" s="1">
        <v>2310</v>
      </c>
      <c r="C23">
        <v>61197</v>
      </c>
      <c r="D23"/>
      <c r="E23">
        <v>88417</v>
      </c>
      <c r="F23"/>
      <c r="G23">
        <v>26602</v>
      </c>
      <c r="H23"/>
      <c r="I23">
        <v>6502</v>
      </c>
      <c r="K23" s="10">
        <f t="shared" si="0"/>
        <v>182718</v>
      </c>
    </row>
    <row r="24" spans="1:11" x14ac:dyDescent="0.2">
      <c r="A24" t="s">
        <v>22</v>
      </c>
      <c r="B24" s="1">
        <v>2311</v>
      </c>
      <c r="C24">
        <v>85623</v>
      </c>
      <c r="D24"/>
      <c r="E24">
        <v>76234</v>
      </c>
      <c r="F24"/>
      <c r="G24">
        <v>30431</v>
      </c>
      <c r="H24"/>
      <c r="I24">
        <v>7271</v>
      </c>
      <c r="K24" s="10">
        <f t="shared" si="0"/>
        <v>199559</v>
      </c>
    </row>
    <row r="25" spans="1:11" x14ac:dyDescent="0.2">
      <c r="A25" t="s">
        <v>23</v>
      </c>
      <c r="B25" s="1">
        <v>2312</v>
      </c>
      <c r="C25">
        <v>202418</v>
      </c>
      <c r="D25"/>
      <c r="E25">
        <v>143512</v>
      </c>
      <c r="F25"/>
      <c r="G25">
        <v>48438</v>
      </c>
      <c r="H25"/>
      <c r="I25">
        <v>15783</v>
      </c>
      <c r="K25" s="10">
        <f t="shared" si="0"/>
        <v>410151</v>
      </c>
    </row>
    <row r="26" spans="1:11" x14ac:dyDescent="0.2">
      <c r="A26" t="s">
        <v>24</v>
      </c>
      <c r="B26" s="1">
        <v>2313</v>
      </c>
      <c r="C26">
        <v>5814</v>
      </c>
      <c r="D26"/>
      <c r="E26">
        <v>12126</v>
      </c>
      <c r="F26"/>
      <c r="G26">
        <v>1750</v>
      </c>
      <c r="H26"/>
      <c r="I26">
        <v>787</v>
      </c>
      <c r="K26" s="10">
        <f t="shared" si="0"/>
        <v>20477</v>
      </c>
    </row>
    <row r="27" spans="1:11" x14ac:dyDescent="0.2">
      <c r="A27" t="s">
        <v>25</v>
      </c>
      <c r="B27" s="1">
        <v>2314</v>
      </c>
      <c r="C27">
        <v>76613</v>
      </c>
      <c r="D27"/>
      <c r="E27">
        <v>71049</v>
      </c>
      <c r="F27"/>
      <c r="G27">
        <v>20657</v>
      </c>
      <c r="H27"/>
      <c r="I27">
        <v>6671</v>
      </c>
      <c r="K27" s="10">
        <f t="shared" si="0"/>
        <v>174990</v>
      </c>
    </row>
    <row r="28" spans="1:11" x14ac:dyDescent="0.2">
      <c r="A28" t="s">
        <v>26</v>
      </c>
      <c r="B28" s="1">
        <v>2315</v>
      </c>
      <c r="C28">
        <v>29618</v>
      </c>
      <c r="D28"/>
      <c r="E28">
        <v>41283</v>
      </c>
      <c r="F28"/>
      <c r="G28">
        <v>6602</v>
      </c>
      <c r="H28"/>
      <c r="I28">
        <v>2068</v>
      </c>
      <c r="K28" s="10">
        <f t="shared" si="0"/>
        <v>79571</v>
      </c>
    </row>
    <row r="29" spans="1:11" x14ac:dyDescent="0.2">
      <c r="A29" t="s">
        <v>27</v>
      </c>
      <c r="B29" s="1">
        <v>2316</v>
      </c>
      <c r="C29">
        <v>773</v>
      </c>
      <c r="D29"/>
      <c r="E29">
        <v>2032</v>
      </c>
      <c r="F29"/>
      <c r="G29">
        <v>267</v>
      </c>
      <c r="H29"/>
      <c r="I29">
        <v>123</v>
      </c>
      <c r="K29" s="10">
        <f t="shared" si="0"/>
        <v>3195</v>
      </c>
    </row>
    <row r="30" spans="1:11" x14ac:dyDescent="0.2">
      <c r="A30" t="s">
        <v>28</v>
      </c>
      <c r="B30" s="1">
        <v>2317</v>
      </c>
      <c r="C30">
        <v>23414</v>
      </c>
      <c r="D30"/>
      <c r="E30">
        <v>64406</v>
      </c>
      <c r="F30"/>
      <c r="G30">
        <v>13701</v>
      </c>
      <c r="H30"/>
      <c r="I30">
        <v>3422</v>
      </c>
      <c r="K30" s="10">
        <f t="shared" si="0"/>
        <v>104943</v>
      </c>
    </row>
    <row r="31" spans="1:11" x14ac:dyDescent="0.2">
      <c r="A31" t="s">
        <v>29</v>
      </c>
      <c r="B31" s="1">
        <v>2318</v>
      </c>
      <c r="C31">
        <v>1475</v>
      </c>
      <c r="D31"/>
      <c r="E31">
        <v>7487</v>
      </c>
      <c r="F31"/>
      <c r="G31">
        <v>891</v>
      </c>
      <c r="H31"/>
      <c r="I31">
        <v>266</v>
      </c>
      <c r="K31" s="10">
        <f t="shared" si="0"/>
        <v>10119</v>
      </c>
    </row>
    <row r="32" spans="1:11" x14ac:dyDescent="0.2">
      <c r="A32" t="s">
        <v>30</v>
      </c>
      <c r="B32" s="1">
        <v>2319</v>
      </c>
      <c r="C32">
        <v>7414</v>
      </c>
      <c r="D32"/>
      <c r="E32">
        <v>12117</v>
      </c>
      <c r="F32"/>
      <c r="G32">
        <v>1630</v>
      </c>
      <c r="H32"/>
      <c r="I32">
        <v>599</v>
      </c>
      <c r="K32" s="10">
        <f t="shared" si="0"/>
        <v>21760</v>
      </c>
    </row>
    <row r="33" spans="1:11" x14ac:dyDescent="0.2">
      <c r="A33" t="s">
        <v>31</v>
      </c>
      <c r="B33" s="1">
        <v>2320</v>
      </c>
      <c r="C33">
        <v>6050</v>
      </c>
      <c r="D33"/>
      <c r="E33">
        <v>18958</v>
      </c>
      <c r="F33"/>
      <c r="G33">
        <v>2362</v>
      </c>
      <c r="H33"/>
      <c r="I33">
        <v>593</v>
      </c>
      <c r="K33" s="10">
        <f t="shared" si="0"/>
        <v>27963</v>
      </c>
    </row>
    <row r="34" spans="1:11" x14ac:dyDescent="0.2">
      <c r="A34" t="s">
        <v>32</v>
      </c>
      <c r="B34" s="1">
        <v>2321</v>
      </c>
      <c r="C34">
        <v>13986</v>
      </c>
      <c r="D34"/>
      <c r="E34">
        <v>28894</v>
      </c>
      <c r="F34"/>
      <c r="G34">
        <v>4618</v>
      </c>
      <c r="H34"/>
      <c r="I34">
        <v>1679</v>
      </c>
      <c r="K34" s="10">
        <f t="shared" si="0"/>
        <v>49177</v>
      </c>
    </row>
    <row r="35" spans="1:11" x14ac:dyDescent="0.2">
      <c r="A35" t="s">
        <v>33</v>
      </c>
      <c r="B35" s="1">
        <v>2322</v>
      </c>
      <c r="C35">
        <v>5429</v>
      </c>
      <c r="D35"/>
      <c r="E35">
        <v>19464</v>
      </c>
      <c r="F35"/>
      <c r="G35">
        <v>2278</v>
      </c>
      <c r="H35"/>
      <c r="I35">
        <v>929</v>
      </c>
      <c r="K35" s="10">
        <f t="shared" ref="K35:K69" si="1">SUM(C35+E35+G35+I35)</f>
        <v>28100</v>
      </c>
    </row>
    <row r="36" spans="1:11" x14ac:dyDescent="0.2">
      <c r="A36" t="s">
        <v>34</v>
      </c>
      <c r="B36" s="1">
        <v>2323</v>
      </c>
      <c r="C36">
        <v>2550</v>
      </c>
      <c r="D36"/>
      <c r="E36">
        <v>10030</v>
      </c>
      <c r="F36"/>
      <c r="G36">
        <v>1163</v>
      </c>
      <c r="H36"/>
      <c r="I36">
        <v>330</v>
      </c>
      <c r="K36" s="10">
        <f t="shared" si="1"/>
        <v>14073</v>
      </c>
    </row>
    <row r="37" spans="1:11" x14ac:dyDescent="0.2">
      <c r="A37" t="s">
        <v>35</v>
      </c>
      <c r="B37" s="1">
        <v>2324</v>
      </c>
      <c r="C37">
        <v>76256</v>
      </c>
      <c r="D37"/>
      <c r="E37">
        <v>52275</v>
      </c>
      <c r="F37"/>
      <c r="G37">
        <v>16983</v>
      </c>
      <c r="H37"/>
      <c r="I37">
        <v>3449</v>
      </c>
      <c r="K37" s="10">
        <f t="shared" si="1"/>
        <v>148963</v>
      </c>
    </row>
    <row r="38" spans="1:11" x14ac:dyDescent="0.2">
      <c r="A38" t="s">
        <v>36</v>
      </c>
      <c r="B38" s="1">
        <v>2325</v>
      </c>
      <c r="C38">
        <v>112214</v>
      </c>
      <c r="D38"/>
      <c r="E38">
        <v>183846</v>
      </c>
      <c r="F38"/>
      <c r="G38">
        <v>50626</v>
      </c>
      <c r="H38"/>
      <c r="I38">
        <v>16054</v>
      </c>
      <c r="K38" s="10">
        <f t="shared" si="1"/>
        <v>362740</v>
      </c>
    </row>
    <row r="39" spans="1:11" x14ac:dyDescent="0.2">
      <c r="A39" t="s">
        <v>37</v>
      </c>
      <c r="B39" s="1">
        <v>2326</v>
      </c>
      <c r="C39">
        <v>19708</v>
      </c>
      <c r="D39"/>
      <c r="E39">
        <v>30153</v>
      </c>
      <c r="F39"/>
      <c r="G39">
        <v>5574</v>
      </c>
      <c r="H39"/>
      <c r="I39">
        <v>1908</v>
      </c>
      <c r="K39" s="10">
        <f t="shared" si="1"/>
        <v>57343</v>
      </c>
    </row>
    <row r="40" spans="1:11" x14ac:dyDescent="0.2">
      <c r="A40" t="s">
        <v>38</v>
      </c>
      <c r="B40" s="1">
        <v>2327</v>
      </c>
      <c r="C40">
        <v>25324</v>
      </c>
      <c r="D40"/>
      <c r="E40">
        <v>52653</v>
      </c>
      <c r="F40"/>
      <c r="G40">
        <v>12055</v>
      </c>
      <c r="H40"/>
      <c r="I40">
        <v>3700</v>
      </c>
      <c r="K40" s="10">
        <f t="shared" si="1"/>
        <v>93732</v>
      </c>
    </row>
    <row r="41" spans="1:11" x14ac:dyDescent="0.2">
      <c r="A41" t="s">
        <v>39</v>
      </c>
      <c r="B41" s="1">
        <v>2328</v>
      </c>
      <c r="C41">
        <v>110961</v>
      </c>
      <c r="D41"/>
      <c r="E41">
        <v>89770</v>
      </c>
      <c r="F41"/>
      <c r="G41">
        <v>44999</v>
      </c>
      <c r="H41"/>
      <c r="I41">
        <v>7327</v>
      </c>
      <c r="K41" s="10">
        <f t="shared" si="1"/>
        <v>253057</v>
      </c>
    </row>
    <row r="42" spans="1:11" x14ac:dyDescent="0.2">
      <c r="A42" t="s">
        <v>40</v>
      </c>
      <c r="B42" s="1">
        <v>2329</v>
      </c>
      <c r="C42">
        <v>84117</v>
      </c>
      <c r="D42"/>
      <c r="E42">
        <v>91204</v>
      </c>
      <c r="F42"/>
      <c r="G42">
        <v>25249</v>
      </c>
      <c r="H42"/>
      <c r="I42">
        <v>5671</v>
      </c>
      <c r="K42" s="10">
        <f t="shared" si="1"/>
        <v>206241</v>
      </c>
    </row>
    <row r="43" spans="1:11" x14ac:dyDescent="0.2">
      <c r="A43" t="s">
        <v>41</v>
      </c>
      <c r="B43" s="1">
        <v>2330</v>
      </c>
      <c r="C43">
        <v>18146</v>
      </c>
      <c r="D43"/>
      <c r="E43">
        <v>43883</v>
      </c>
      <c r="F43"/>
      <c r="G43">
        <v>7774</v>
      </c>
      <c r="H43"/>
      <c r="I43">
        <v>2731</v>
      </c>
      <c r="K43" s="10">
        <f t="shared" si="1"/>
        <v>72534</v>
      </c>
    </row>
    <row r="44" spans="1:11" x14ac:dyDescent="0.2">
      <c r="A44" t="s">
        <v>91</v>
      </c>
      <c r="B44" s="1">
        <v>2331</v>
      </c>
      <c r="C44">
        <v>5286</v>
      </c>
      <c r="D44"/>
      <c r="E44">
        <v>16165</v>
      </c>
      <c r="F44"/>
      <c r="G44">
        <v>2696</v>
      </c>
      <c r="H44"/>
      <c r="I44">
        <v>1026</v>
      </c>
      <c r="K44" s="10">
        <f t="shared" si="1"/>
        <v>25173</v>
      </c>
    </row>
    <row r="45" spans="1:11" x14ac:dyDescent="0.2">
      <c r="A45" t="s">
        <v>43</v>
      </c>
      <c r="B45" s="1">
        <v>2332</v>
      </c>
      <c r="C45">
        <v>23179</v>
      </c>
      <c r="D45"/>
      <c r="E45">
        <v>38326</v>
      </c>
      <c r="F45"/>
      <c r="G45">
        <v>8331</v>
      </c>
      <c r="H45"/>
      <c r="I45">
        <v>2033</v>
      </c>
      <c r="K45" s="10">
        <f t="shared" si="1"/>
        <v>71869</v>
      </c>
    </row>
    <row r="46" spans="1:11" x14ac:dyDescent="0.2">
      <c r="A46" t="s">
        <v>44</v>
      </c>
      <c r="B46" s="1">
        <v>2333</v>
      </c>
      <c r="C46">
        <v>5365</v>
      </c>
      <c r="D46"/>
      <c r="E46">
        <v>18630</v>
      </c>
      <c r="F46"/>
      <c r="G46">
        <v>2494</v>
      </c>
      <c r="H46"/>
      <c r="I46">
        <v>618</v>
      </c>
      <c r="K46" s="10">
        <f t="shared" si="1"/>
        <v>27107</v>
      </c>
    </row>
    <row r="47" spans="1:11" x14ac:dyDescent="0.2">
      <c r="A47" t="s">
        <v>45</v>
      </c>
      <c r="B47" s="1">
        <v>2334</v>
      </c>
      <c r="C47">
        <v>48319</v>
      </c>
      <c r="D47"/>
      <c r="E47">
        <v>43215</v>
      </c>
      <c r="F47"/>
      <c r="G47">
        <v>20272</v>
      </c>
      <c r="H47"/>
      <c r="I47">
        <v>5026</v>
      </c>
      <c r="K47" s="10">
        <f t="shared" si="1"/>
        <v>116832</v>
      </c>
    </row>
    <row r="48" spans="1:11" x14ac:dyDescent="0.2">
      <c r="A48" t="s">
        <v>46</v>
      </c>
      <c r="B48" s="1">
        <v>2335</v>
      </c>
      <c r="C48">
        <v>304510</v>
      </c>
      <c r="D48"/>
      <c r="E48">
        <v>208195</v>
      </c>
      <c r="F48"/>
      <c r="G48">
        <v>82975</v>
      </c>
      <c r="H48"/>
      <c r="I48">
        <v>26236</v>
      </c>
      <c r="K48" s="10">
        <f t="shared" si="1"/>
        <v>621916</v>
      </c>
    </row>
    <row r="49" spans="1:11" x14ac:dyDescent="0.2">
      <c r="A49" t="s">
        <v>47</v>
      </c>
      <c r="B49" s="1">
        <v>2336</v>
      </c>
      <c r="C49">
        <v>3751</v>
      </c>
      <c r="D49"/>
      <c r="E49">
        <v>6560</v>
      </c>
      <c r="F49"/>
      <c r="G49">
        <v>1595</v>
      </c>
      <c r="H49"/>
      <c r="I49">
        <v>402</v>
      </c>
      <c r="K49" s="10">
        <f t="shared" si="1"/>
        <v>12308</v>
      </c>
    </row>
    <row r="50" spans="1:11" x14ac:dyDescent="0.2">
      <c r="A50" t="s">
        <v>48</v>
      </c>
      <c r="B50" s="1">
        <v>2337</v>
      </c>
      <c r="C50">
        <v>95593</v>
      </c>
      <c r="D50"/>
      <c r="E50">
        <v>86913</v>
      </c>
      <c r="F50"/>
      <c r="G50">
        <v>39087</v>
      </c>
      <c r="H50"/>
      <c r="I50">
        <v>9605</v>
      </c>
      <c r="K50" s="10">
        <f t="shared" si="1"/>
        <v>231198</v>
      </c>
    </row>
    <row r="51" spans="1:11" x14ac:dyDescent="0.2">
      <c r="A51" t="s">
        <v>49</v>
      </c>
      <c r="B51" s="1">
        <v>2338</v>
      </c>
      <c r="C51">
        <v>15326</v>
      </c>
      <c r="D51"/>
      <c r="E51">
        <v>31953</v>
      </c>
      <c r="F51"/>
      <c r="G51">
        <v>5763</v>
      </c>
      <c r="H51"/>
      <c r="I51">
        <v>2243</v>
      </c>
      <c r="K51" s="10">
        <f t="shared" si="1"/>
        <v>55285</v>
      </c>
    </row>
    <row r="52" spans="1:11" x14ac:dyDescent="0.2">
      <c r="A52" t="s">
        <v>50</v>
      </c>
      <c r="B52" s="1">
        <v>2339</v>
      </c>
      <c r="C52">
        <v>5985</v>
      </c>
      <c r="D52"/>
      <c r="E52">
        <v>20981</v>
      </c>
      <c r="F52"/>
      <c r="G52">
        <v>3361</v>
      </c>
      <c r="H52"/>
      <c r="I52">
        <v>850</v>
      </c>
      <c r="K52" s="10">
        <f t="shared" si="1"/>
        <v>31177</v>
      </c>
    </row>
    <row r="53" spans="1:11" x14ac:dyDescent="0.2">
      <c r="A53" t="s">
        <v>51</v>
      </c>
      <c r="B53" s="1">
        <v>2340</v>
      </c>
      <c r="C53">
        <v>774357</v>
      </c>
      <c r="D53"/>
      <c r="E53">
        <v>131444</v>
      </c>
      <c r="F53"/>
      <c r="G53">
        <v>148515</v>
      </c>
      <c r="H53"/>
      <c r="I53">
        <v>26374</v>
      </c>
      <c r="K53" s="10">
        <f t="shared" si="1"/>
        <v>1080690</v>
      </c>
    </row>
    <row r="54" spans="1:11" x14ac:dyDescent="0.2">
      <c r="A54" t="s">
        <v>52</v>
      </c>
      <c r="B54" s="1">
        <v>2341</v>
      </c>
      <c r="C54">
        <v>13544</v>
      </c>
      <c r="D54"/>
      <c r="E54">
        <v>22946</v>
      </c>
      <c r="F54"/>
      <c r="G54">
        <v>8351</v>
      </c>
      <c r="H54"/>
      <c r="I54">
        <v>2160</v>
      </c>
      <c r="K54" s="10">
        <f t="shared" si="1"/>
        <v>47001</v>
      </c>
    </row>
    <row r="55" spans="1:11" x14ac:dyDescent="0.2">
      <c r="A55" t="s">
        <v>53</v>
      </c>
      <c r="B55" s="1">
        <v>2342</v>
      </c>
      <c r="C55">
        <v>1739</v>
      </c>
      <c r="D55"/>
      <c r="E55">
        <v>8035</v>
      </c>
      <c r="F55"/>
      <c r="G55">
        <v>991</v>
      </c>
      <c r="H55"/>
      <c r="I55">
        <v>275</v>
      </c>
      <c r="K55" s="10">
        <f t="shared" si="1"/>
        <v>11040</v>
      </c>
    </row>
    <row r="56" spans="1:11" x14ac:dyDescent="0.2">
      <c r="A56" t="s">
        <v>54</v>
      </c>
      <c r="B56" s="1">
        <v>2343</v>
      </c>
      <c r="C56">
        <v>25367</v>
      </c>
      <c r="D56"/>
      <c r="E56">
        <v>53191</v>
      </c>
      <c r="F56"/>
      <c r="G56">
        <v>9917</v>
      </c>
      <c r="H56"/>
      <c r="I56">
        <v>3783</v>
      </c>
      <c r="K56" s="10">
        <f t="shared" si="1"/>
        <v>92258</v>
      </c>
    </row>
    <row r="57" spans="1:11" x14ac:dyDescent="0.2">
      <c r="A57" t="s">
        <v>55</v>
      </c>
      <c r="B57" s="1">
        <v>2344</v>
      </c>
      <c r="C57">
        <v>4881</v>
      </c>
      <c r="D57"/>
      <c r="E57">
        <v>15968</v>
      </c>
      <c r="F57"/>
      <c r="G57">
        <v>2338</v>
      </c>
      <c r="H57"/>
      <c r="I57">
        <v>671</v>
      </c>
      <c r="K57" s="10">
        <f t="shared" si="1"/>
        <v>23858</v>
      </c>
    </row>
    <row r="58" spans="1:11" x14ac:dyDescent="0.2">
      <c r="A58" t="s">
        <v>56</v>
      </c>
      <c r="B58" s="1">
        <v>2345</v>
      </c>
      <c r="C58">
        <v>10519</v>
      </c>
      <c r="D58"/>
      <c r="E58">
        <v>32848</v>
      </c>
      <c r="F58"/>
      <c r="G58">
        <v>4350</v>
      </c>
      <c r="H58"/>
      <c r="I58">
        <v>765</v>
      </c>
      <c r="K58" s="10">
        <f t="shared" si="1"/>
        <v>48482</v>
      </c>
    </row>
    <row r="59" spans="1:11" x14ac:dyDescent="0.2">
      <c r="A59" t="s">
        <v>57</v>
      </c>
      <c r="B59" s="1">
        <v>2346</v>
      </c>
      <c r="C59">
        <v>1063</v>
      </c>
      <c r="D59"/>
      <c r="E59">
        <v>2844</v>
      </c>
      <c r="F59"/>
      <c r="G59">
        <v>370</v>
      </c>
      <c r="H59"/>
      <c r="I59">
        <v>161</v>
      </c>
      <c r="K59" s="10">
        <f t="shared" si="1"/>
        <v>4438</v>
      </c>
    </row>
    <row r="60" spans="1:11" x14ac:dyDescent="0.2">
      <c r="A60" t="s">
        <v>58</v>
      </c>
      <c r="B60" s="1">
        <v>2347</v>
      </c>
      <c r="C60">
        <v>6260</v>
      </c>
      <c r="D60"/>
      <c r="E60">
        <v>17577</v>
      </c>
      <c r="F60"/>
      <c r="G60">
        <v>2916</v>
      </c>
      <c r="H60"/>
      <c r="I60">
        <v>1160</v>
      </c>
      <c r="K60" s="10">
        <f t="shared" si="1"/>
        <v>27913</v>
      </c>
    </row>
    <row r="61" spans="1:11" x14ac:dyDescent="0.2">
      <c r="A61" t="s">
        <v>59</v>
      </c>
      <c r="B61" s="1">
        <v>2348</v>
      </c>
      <c r="C61">
        <v>4925</v>
      </c>
      <c r="D61"/>
      <c r="E61">
        <v>18116</v>
      </c>
      <c r="F61"/>
      <c r="G61">
        <v>2918</v>
      </c>
      <c r="H61"/>
      <c r="I61">
        <v>794</v>
      </c>
      <c r="K61" s="10">
        <f t="shared" si="1"/>
        <v>26753</v>
      </c>
    </row>
    <row r="62" spans="1:11" x14ac:dyDescent="0.2">
      <c r="A62" t="s">
        <v>60</v>
      </c>
      <c r="B62" s="1">
        <v>2349</v>
      </c>
      <c r="C62">
        <v>7765</v>
      </c>
      <c r="D62"/>
      <c r="E62">
        <v>14414</v>
      </c>
      <c r="F62"/>
      <c r="G62">
        <v>3205</v>
      </c>
      <c r="H62"/>
      <c r="I62">
        <v>980</v>
      </c>
      <c r="K62" s="10">
        <f t="shared" si="1"/>
        <v>26364</v>
      </c>
    </row>
    <row r="63" spans="1:11" x14ac:dyDescent="0.2">
      <c r="A63" t="s">
        <v>61</v>
      </c>
      <c r="B63" s="1">
        <v>2350</v>
      </c>
      <c r="C63">
        <v>8050</v>
      </c>
      <c r="D63"/>
      <c r="E63">
        <v>20174</v>
      </c>
      <c r="F63"/>
      <c r="G63">
        <v>3365</v>
      </c>
      <c r="H63"/>
      <c r="I63">
        <v>1217</v>
      </c>
      <c r="K63" s="10">
        <f t="shared" si="1"/>
        <v>32806</v>
      </c>
    </row>
    <row r="64" spans="1:11" x14ac:dyDescent="0.2">
      <c r="A64" t="s">
        <v>62</v>
      </c>
      <c r="B64" s="1">
        <v>2351</v>
      </c>
      <c r="C64">
        <v>6361</v>
      </c>
      <c r="D64"/>
      <c r="E64">
        <v>15262</v>
      </c>
      <c r="F64"/>
      <c r="G64">
        <v>2549</v>
      </c>
      <c r="H64"/>
      <c r="I64">
        <v>1259</v>
      </c>
      <c r="K64" s="10">
        <f t="shared" si="1"/>
        <v>25431</v>
      </c>
    </row>
    <row r="65" spans="1:11" x14ac:dyDescent="0.2">
      <c r="A65" t="s">
        <v>63</v>
      </c>
      <c r="B65" s="1">
        <v>2352</v>
      </c>
      <c r="C65">
        <v>52894</v>
      </c>
      <c r="D65"/>
      <c r="E65">
        <v>72974</v>
      </c>
      <c r="F65"/>
      <c r="G65">
        <v>15841</v>
      </c>
      <c r="H65"/>
      <c r="I65">
        <v>3803</v>
      </c>
      <c r="K65" s="10">
        <f t="shared" si="1"/>
        <v>145512</v>
      </c>
    </row>
    <row r="66" spans="1:11" x14ac:dyDescent="0.2">
      <c r="A66" t="s">
        <v>64</v>
      </c>
      <c r="B66" s="1">
        <v>2353</v>
      </c>
      <c r="C66">
        <v>8666</v>
      </c>
      <c r="D66"/>
      <c r="E66">
        <v>21694</v>
      </c>
      <c r="F66"/>
      <c r="G66">
        <v>5086</v>
      </c>
      <c r="H66"/>
      <c r="I66">
        <v>1056</v>
      </c>
      <c r="K66" s="10">
        <f t="shared" si="1"/>
        <v>36502</v>
      </c>
    </row>
    <row r="67" spans="1:11" x14ac:dyDescent="0.2">
      <c r="A67" t="s">
        <v>65</v>
      </c>
      <c r="B67" s="1">
        <v>2354</v>
      </c>
      <c r="C67">
        <v>86907</v>
      </c>
      <c r="D67"/>
      <c r="E67">
        <v>130925</v>
      </c>
      <c r="F67"/>
      <c r="G67">
        <v>23597</v>
      </c>
      <c r="H67"/>
      <c r="I67">
        <v>9230</v>
      </c>
      <c r="K67" s="10">
        <f t="shared" si="1"/>
        <v>250659</v>
      </c>
    </row>
    <row r="68" spans="1:11" x14ac:dyDescent="0.2">
      <c r="A68" t="s">
        <v>66</v>
      </c>
      <c r="B68" s="1">
        <v>2355</v>
      </c>
      <c r="C68">
        <v>4688</v>
      </c>
      <c r="D68"/>
      <c r="E68">
        <v>11340</v>
      </c>
      <c r="F68"/>
      <c r="G68">
        <v>1770</v>
      </c>
      <c r="H68"/>
      <c r="I68">
        <v>660</v>
      </c>
      <c r="K68" s="10">
        <f t="shared" si="1"/>
        <v>18458</v>
      </c>
    </row>
    <row r="69" spans="1:11" ht="13.5" thickBot="1" x14ac:dyDescent="0.25">
      <c r="A69" s="2" t="s">
        <v>67</v>
      </c>
      <c r="B69" s="5">
        <v>2356</v>
      </c>
      <c r="C69">
        <v>95970</v>
      </c>
      <c r="D69"/>
      <c r="E69">
        <v>168305</v>
      </c>
      <c r="F69"/>
      <c r="G69">
        <v>52738</v>
      </c>
      <c r="H69"/>
      <c r="I69">
        <v>8785</v>
      </c>
      <c r="J69" s="13"/>
      <c r="K69" s="10">
        <f t="shared" si="1"/>
        <v>325798</v>
      </c>
    </row>
    <row r="70" spans="1:11" ht="21.75" customHeight="1" x14ac:dyDescent="0.2">
      <c r="A70" s="6" t="s">
        <v>68</v>
      </c>
      <c r="C70" s="14">
        <f>SUM(C3:C69)</f>
        <v>3833812</v>
      </c>
      <c r="D70" s="14"/>
      <c r="E70" s="14">
        <f>SUM(E3:E69)</f>
        <v>3641461</v>
      </c>
      <c r="F70" s="14"/>
      <c r="G70" s="14">
        <f>SUM(G3:G69)</f>
        <v>1164395</v>
      </c>
      <c r="H70" s="14"/>
      <c r="I70" s="14">
        <f>SUM(I3:I69)</f>
        <v>315848</v>
      </c>
      <c r="J70" s="14"/>
      <c r="K70" s="44">
        <f>SUM(K3:K69)</f>
        <v>8955516</v>
      </c>
    </row>
    <row r="71" spans="1:11" x14ac:dyDescent="0.2">
      <c r="I71" s="31"/>
    </row>
    <row r="73" spans="1:11" x14ac:dyDescent="0.2">
      <c r="I73" s="11"/>
      <c r="K73" s="11"/>
    </row>
    <row r="75" spans="1:11" x14ac:dyDescent="0.2">
      <c r="E75" s="40"/>
      <c r="K75" s="10"/>
    </row>
    <row r="76" spans="1:11" x14ac:dyDescent="0.2">
      <c r="E76" s="40"/>
    </row>
    <row r="77" spans="1:11" x14ac:dyDescent="0.2">
      <c r="E77" s="40"/>
    </row>
    <row r="78" spans="1:11" x14ac:dyDescent="0.2">
      <c r="E78" s="40"/>
    </row>
    <row r="79" spans="1:11" x14ac:dyDescent="0.2">
      <c r="E79" s="40"/>
    </row>
    <row r="80" spans="1:11" x14ac:dyDescent="0.2">
      <c r="C80" s="40"/>
      <c r="E80" s="40"/>
    </row>
    <row r="81" spans="3:11" x14ac:dyDescent="0.2">
      <c r="E81" s="41"/>
    </row>
    <row r="82" spans="3:11" x14ac:dyDescent="0.2">
      <c r="E82" s="41"/>
      <c r="K82"/>
    </row>
    <row r="83" spans="3:11" x14ac:dyDescent="0.2">
      <c r="E83" s="41"/>
      <c r="K83"/>
    </row>
    <row r="84" spans="3:11" x14ac:dyDescent="0.2">
      <c r="C84" s="10"/>
      <c r="K84"/>
    </row>
    <row r="85" spans="3:11" x14ac:dyDescent="0.2">
      <c r="K85"/>
    </row>
    <row r="86" spans="3:11" x14ac:dyDescent="0.2">
      <c r="C86" s="1"/>
      <c r="K86"/>
    </row>
    <row r="87" spans="3:11" x14ac:dyDescent="0.2">
      <c r="K87"/>
    </row>
    <row r="88" spans="3:11" x14ac:dyDescent="0.2">
      <c r="K88"/>
    </row>
    <row r="89" spans="3:11" x14ac:dyDescent="0.2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 x14ac:dyDescent="0.2">
      <c r="A1" s="42" t="s">
        <v>115</v>
      </c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">
      <c r="A4" s="64" t="s">
        <v>1</v>
      </c>
      <c r="B4" s="42">
        <v>5</v>
      </c>
      <c r="C4" s="42">
        <v>4</v>
      </c>
      <c r="D4" s="42">
        <v>4</v>
      </c>
      <c r="E4" s="42">
        <v>3</v>
      </c>
      <c r="F4" s="42">
        <v>71</v>
      </c>
      <c r="G4" s="42">
        <v>93</v>
      </c>
      <c r="H4" s="42">
        <v>74</v>
      </c>
      <c r="I4" s="42">
        <v>102</v>
      </c>
      <c r="J4"/>
      <c r="K4" s="11"/>
      <c r="L4" s="11"/>
      <c r="M4" s="11"/>
      <c r="N4" s="11"/>
      <c r="O4" s="11"/>
    </row>
    <row r="5" spans="1:15" x14ac:dyDescent="0.2">
      <c r="A5" s="64" t="s">
        <v>2</v>
      </c>
      <c r="B5" s="42">
        <v>47</v>
      </c>
      <c r="C5" s="42">
        <v>125</v>
      </c>
      <c r="D5" s="42">
        <v>23</v>
      </c>
      <c r="E5" s="42">
        <v>31</v>
      </c>
      <c r="F5" s="42">
        <v>786</v>
      </c>
      <c r="G5" s="42">
        <v>1323</v>
      </c>
      <c r="H5" s="42">
        <v>810</v>
      </c>
      <c r="I5" s="42">
        <v>389</v>
      </c>
      <c r="J5"/>
      <c r="K5" s="11"/>
      <c r="L5" s="11"/>
      <c r="M5" s="11"/>
      <c r="N5" s="11"/>
      <c r="O5" s="11"/>
    </row>
    <row r="6" spans="1:15" x14ac:dyDescent="0.2">
      <c r="A6" s="64" t="s">
        <v>3</v>
      </c>
      <c r="B6" s="42">
        <v>2</v>
      </c>
      <c r="C6" s="42">
        <v>0</v>
      </c>
      <c r="D6" s="42">
        <v>1</v>
      </c>
      <c r="E6" s="42">
        <v>1</v>
      </c>
      <c r="F6" s="42">
        <v>23</v>
      </c>
      <c r="G6" s="42">
        <v>28</v>
      </c>
      <c r="H6" s="42">
        <v>65</v>
      </c>
      <c r="I6" s="42">
        <v>26</v>
      </c>
      <c r="J6"/>
      <c r="K6" s="11"/>
      <c r="L6" s="11"/>
      <c r="M6" s="11"/>
      <c r="N6" s="11"/>
      <c r="O6" s="11"/>
    </row>
    <row r="7" spans="1:15" x14ac:dyDescent="0.2">
      <c r="A7" s="64" t="s">
        <v>4</v>
      </c>
      <c r="B7" s="42">
        <v>2</v>
      </c>
      <c r="C7" s="42">
        <v>15</v>
      </c>
      <c r="D7" s="42">
        <v>3</v>
      </c>
      <c r="E7" s="42">
        <v>1</v>
      </c>
      <c r="F7" s="42">
        <v>77</v>
      </c>
      <c r="G7" s="42">
        <v>127</v>
      </c>
      <c r="H7" s="42">
        <v>150</v>
      </c>
      <c r="I7" s="42">
        <v>55</v>
      </c>
      <c r="J7"/>
      <c r="K7" s="11"/>
      <c r="L7" s="11"/>
      <c r="M7" s="11"/>
      <c r="N7" s="11"/>
      <c r="O7" s="11"/>
    </row>
    <row r="8" spans="1:15" x14ac:dyDescent="0.2">
      <c r="A8" s="64" t="s">
        <v>5</v>
      </c>
      <c r="B8" s="42">
        <v>0</v>
      </c>
      <c r="C8" s="42">
        <v>1</v>
      </c>
      <c r="D8" s="42">
        <v>0</v>
      </c>
      <c r="E8" s="42">
        <v>1</v>
      </c>
      <c r="F8" s="42">
        <v>13</v>
      </c>
      <c r="G8" s="42">
        <v>14</v>
      </c>
      <c r="H8" s="42">
        <v>21</v>
      </c>
      <c r="I8" s="42">
        <v>16</v>
      </c>
      <c r="J8"/>
      <c r="K8" s="11"/>
      <c r="L8" s="11"/>
      <c r="M8" s="11"/>
      <c r="N8" s="11"/>
      <c r="O8" s="11"/>
    </row>
    <row r="9" spans="1:15" x14ac:dyDescent="0.2">
      <c r="A9" s="64" t="s">
        <v>6</v>
      </c>
      <c r="B9" s="42">
        <v>15</v>
      </c>
      <c r="C9" s="42">
        <v>37</v>
      </c>
      <c r="D9" s="42">
        <v>14</v>
      </c>
      <c r="E9" s="42">
        <v>16</v>
      </c>
      <c r="F9" s="42">
        <v>337</v>
      </c>
      <c r="G9" s="42">
        <v>494</v>
      </c>
      <c r="H9" s="42">
        <v>422</v>
      </c>
      <c r="I9" s="42">
        <v>335</v>
      </c>
      <c r="J9"/>
      <c r="K9" s="11"/>
      <c r="L9" s="11"/>
      <c r="M9" s="11"/>
      <c r="N9" s="11"/>
      <c r="O9" s="11"/>
    </row>
    <row r="10" spans="1:15" x14ac:dyDescent="0.2">
      <c r="A10" s="64" t="s">
        <v>7</v>
      </c>
      <c r="B10" s="42">
        <v>5</v>
      </c>
      <c r="C10" s="42">
        <v>7</v>
      </c>
      <c r="D10" s="42">
        <v>0</v>
      </c>
      <c r="E10" s="42">
        <v>3</v>
      </c>
      <c r="F10" s="42">
        <v>60</v>
      </c>
      <c r="G10" s="42">
        <v>83</v>
      </c>
      <c r="H10" s="42">
        <v>62</v>
      </c>
      <c r="I10" s="42">
        <v>52</v>
      </c>
      <c r="J10"/>
      <c r="K10" s="11"/>
      <c r="L10" s="11"/>
      <c r="M10" s="11"/>
      <c r="N10" s="11"/>
      <c r="O10" s="11"/>
    </row>
    <row r="11" spans="1:15" x14ac:dyDescent="0.2">
      <c r="A11" s="64" t="s">
        <v>8</v>
      </c>
      <c r="B11" s="42">
        <v>1</v>
      </c>
      <c r="C11" s="42">
        <v>2</v>
      </c>
      <c r="D11" s="42">
        <v>1</v>
      </c>
      <c r="E11" s="42">
        <v>2</v>
      </c>
      <c r="F11" s="42">
        <v>32</v>
      </c>
      <c r="G11" s="42">
        <v>27</v>
      </c>
      <c r="H11" s="42">
        <v>40</v>
      </c>
      <c r="I11" s="42">
        <v>45</v>
      </c>
      <c r="J11"/>
      <c r="K11" s="11"/>
      <c r="L11" s="11"/>
      <c r="M11" s="11"/>
      <c r="N11" s="11"/>
      <c r="O11" s="11"/>
    </row>
    <row r="12" spans="1:15" s="21" customFormat="1" x14ac:dyDescent="0.2">
      <c r="A12" s="65" t="s">
        <v>9</v>
      </c>
      <c r="B12" s="42">
        <v>32</v>
      </c>
      <c r="C12" s="42">
        <v>94</v>
      </c>
      <c r="D12" s="42">
        <v>15</v>
      </c>
      <c r="E12" s="42">
        <v>20</v>
      </c>
      <c r="F12" s="42">
        <v>626</v>
      </c>
      <c r="G12" s="42">
        <v>1054</v>
      </c>
      <c r="H12" s="42">
        <v>550</v>
      </c>
      <c r="I12" s="42">
        <v>557</v>
      </c>
      <c r="J12"/>
      <c r="K12" s="11"/>
      <c r="L12" s="11"/>
      <c r="M12" s="11"/>
      <c r="N12" s="11"/>
      <c r="O12" s="11"/>
    </row>
    <row r="13" spans="1:15" x14ac:dyDescent="0.2">
      <c r="A13" s="64" t="s">
        <v>10</v>
      </c>
      <c r="B13" s="42">
        <v>3</v>
      </c>
      <c r="C13" s="42">
        <v>5</v>
      </c>
      <c r="D13" s="42">
        <v>0</v>
      </c>
      <c r="E13" s="42">
        <v>3</v>
      </c>
      <c r="F13" s="42">
        <v>131</v>
      </c>
      <c r="G13" s="42">
        <v>170</v>
      </c>
      <c r="H13" s="42">
        <v>101</v>
      </c>
      <c r="I13" s="42">
        <v>111</v>
      </c>
      <c r="J13"/>
      <c r="K13" s="11"/>
      <c r="L13" s="11"/>
      <c r="M13" s="11"/>
      <c r="N13" s="11"/>
      <c r="O13" s="11"/>
    </row>
    <row r="14" spans="1:15" x14ac:dyDescent="0.2">
      <c r="A14" s="64" t="s">
        <v>11</v>
      </c>
      <c r="B14" s="42">
        <v>1</v>
      </c>
      <c r="C14" s="42">
        <v>2</v>
      </c>
      <c r="D14" s="42">
        <v>3</v>
      </c>
      <c r="E14" s="42">
        <v>0</v>
      </c>
      <c r="F14" s="42">
        <v>82</v>
      </c>
      <c r="G14" s="42">
        <v>71</v>
      </c>
      <c r="H14" s="42">
        <v>174</v>
      </c>
      <c r="I14" s="42">
        <v>62</v>
      </c>
      <c r="J14"/>
      <c r="K14" s="11"/>
      <c r="L14" s="11"/>
      <c r="M14" s="11"/>
      <c r="N14" s="11"/>
      <c r="O14" s="11"/>
    </row>
    <row r="15" spans="1:15" s="21" customFormat="1" x14ac:dyDescent="0.2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">
      <c r="A16" s="64" t="s">
        <v>13</v>
      </c>
      <c r="B16" s="42">
        <v>5</v>
      </c>
      <c r="C16" s="42">
        <v>11</v>
      </c>
      <c r="D16" s="42">
        <v>4</v>
      </c>
      <c r="E16" s="42">
        <v>5</v>
      </c>
      <c r="F16" s="42">
        <v>34</v>
      </c>
      <c r="G16" s="42">
        <v>70</v>
      </c>
      <c r="H16" s="42">
        <v>54</v>
      </c>
      <c r="I16" s="42">
        <v>43</v>
      </c>
      <c r="J16"/>
      <c r="K16" s="11"/>
      <c r="L16" s="11"/>
      <c r="M16" s="11"/>
      <c r="N16" s="11"/>
      <c r="O16" s="11"/>
    </row>
    <row r="17" spans="1:15" x14ac:dyDescent="0.2">
      <c r="A17" s="64" t="s">
        <v>14</v>
      </c>
      <c r="B17" s="42">
        <v>2</v>
      </c>
      <c r="C17" s="42">
        <v>14</v>
      </c>
      <c r="D17" s="42">
        <v>3</v>
      </c>
      <c r="E17" s="42">
        <v>4</v>
      </c>
      <c r="F17" s="42">
        <v>88</v>
      </c>
      <c r="G17" s="42">
        <v>130</v>
      </c>
      <c r="H17" s="42">
        <v>48</v>
      </c>
      <c r="I17" s="42">
        <v>75</v>
      </c>
      <c r="J17"/>
      <c r="K17" s="11"/>
      <c r="L17" s="11"/>
      <c r="M17" s="11"/>
      <c r="N17" s="11"/>
      <c r="O17" s="11"/>
    </row>
    <row r="18" spans="1:15" s="21" customFormat="1" x14ac:dyDescent="0.2">
      <c r="A18" s="65" t="s">
        <v>15</v>
      </c>
      <c r="B18" s="42">
        <v>25</v>
      </c>
      <c r="C18" s="42">
        <v>80</v>
      </c>
      <c r="D18" s="42">
        <v>10</v>
      </c>
      <c r="E18" s="42">
        <v>22</v>
      </c>
      <c r="F18" s="42">
        <v>573</v>
      </c>
      <c r="G18" s="42">
        <v>973</v>
      </c>
      <c r="H18" s="42">
        <v>314</v>
      </c>
      <c r="I18" s="42">
        <v>495</v>
      </c>
      <c r="J18"/>
      <c r="K18" s="11"/>
      <c r="L18" s="11"/>
      <c r="M18" s="11"/>
      <c r="N18" s="11"/>
      <c r="O18" s="11"/>
    </row>
    <row r="19" spans="1:15" x14ac:dyDescent="0.2">
      <c r="A19" s="64" t="s">
        <v>16</v>
      </c>
      <c r="B19" s="42">
        <v>1</v>
      </c>
      <c r="C19" s="42">
        <v>2</v>
      </c>
      <c r="D19" s="42">
        <v>0</v>
      </c>
      <c r="E19" s="42">
        <v>1</v>
      </c>
      <c r="F19" s="42">
        <v>11</v>
      </c>
      <c r="G19" s="42">
        <v>14</v>
      </c>
      <c r="H19" s="42">
        <v>18</v>
      </c>
      <c r="I19" s="42">
        <v>10</v>
      </c>
      <c r="J19"/>
      <c r="K19" s="11"/>
      <c r="L19" s="11"/>
      <c r="M19" s="11"/>
      <c r="N19" s="11"/>
      <c r="O19" s="11"/>
    </row>
    <row r="20" spans="1:15" x14ac:dyDescent="0.2">
      <c r="A20" s="64" t="s">
        <v>17</v>
      </c>
      <c r="B20" s="42">
        <v>3</v>
      </c>
      <c r="C20" s="42">
        <v>1</v>
      </c>
      <c r="D20" s="42">
        <v>3</v>
      </c>
      <c r="E20" s="42">
        <v>0</v>
      </c>
      <c r="F20" s="42">
        <v>21</v>
      </c>
      <c r="G20" s="42">
        <v>30</v>
      </c>
      <c r="H20" s="42">
        <v>66</v>
      </c>
      <c r="I20" s="42">
        <v>39</v>
      </c>
      <c r="J20"/>
      <c r="K20" s="11"/>
      <c r="L20" s="11"/>
      <c r="M20" s="11"/>
      <c r="N20" s="11"/>
      <c r="O20" s="11"/>
    </row>
    <row r="21" spans="1:15" x14ac:dyDescent="0.2">
      <c r="A21" s="64" t="s">
        <v>18</v>
      </c>
      <c r="B21" s="42">
        <v>0</v>
      </c>
      <c r="C21" s="42">
        <v>1</v>
      </c>
      <c r="D21" s="42">
        <v>1</v>
      </c>
      <c r="E21" s="42">
        <v>3</v>
      </c>
      <c r="F21" s="42">
        <v>14</v>
      </c>
      <c r="G21" s="42">
        <v>28</v>
      </c>
      <c r="H21" s="42">
        <v>21</v>
      </c>
      <c r="I21" s="42">
        <v>23</v>
      </c>
      <c r="J21"/>
      <c r="K21" s="11"/>
      <c r="L21" s="11"/>
      <c r="M21" s="11"/>
      <c r="N21" s="11"/>
      <c r="O21" s="11"/>
    </row>
    <row r="22" spans="1:15" x14ac:dyDescent="0.2">
      <c r="A22" s="64" t="s">
        <v>19</v>
      </c>
      <c r="B22" s="42">
        <v>3</v>
      </c>
      <c r="C22" s="42">
        <v>5</v>
      </c>
      <c r="D22" s="42">
        <v>1</v>
      </c>
      <c r="E22" s="42">
        <v>0</v>
      </c>
      <c r="F22" s="42">
        <v>29</v>
      </c>
      <c r="G22" s="42">
        <v>36</v>
      </c>
      <c r="H22" s="42">
        <v>33</v>
      </c>
      <c r="I22" s="42">
        <v>26</v>
      </c>
      <c r="J22"/>
      <c r="K22" s="11"/>
      <c r="L22" s="11"/>
      <c r="M22" s="11"/>
      <c r="N22" s="11"/>
      <c r="O22" s="11"/>
    </row>
    <row r="23" spans="1:15" x14ac:dyDescent="0.2">
      <c r="A23" s="64" t="s">
        <v>20</v>
      </c>
      <c r="B23" s="42">
        <v>0</v>
      </c>
      <c r="C23" s="42">
        <v>2</v>
      </c>
      <c r="D23" s="42">
        <v>1</v>
      </c>
      <c r="E23" s="42">
        <v>2</v>
      </c>
      <c r="F23" s="42">
        <v>44</v>
      </c>
      <c r="G23" s="42">
        <v>28</v>
      </c>
      <c r="H23" s="42">
        <v>47</v>
      </c>
      <c r="I23" s="42">
        <v>26</v>
      </c>
      <c r="J23"/>
      <c r="K23" s="11"/>
      <c r="L23" s="11"/>
      <c r="M23" s="11"/>
      <c r="N23" s="11"/>
      <c r="O23" s="11"/>
    </row>
    <row r="24" spans="1:15" x14ac:dyDescent="0.2">
      <c r="A24" s="64" t="s">
        <v>21</v>
      </c>
      <c r="B24" s="42">
        <v>14</v>
      </c>
      <c r="C24" s="42">
        <v>29</v>
      </c>
      <c r="D24" s="42">
        <v>3</v>
      </c>
      <c r="E24" s="42">
        <v>6</v>
      </c>
      <c r="F24" s="42">
        <v>266</v>
      </c>
      <c r="G24" s="42">
        <v>391</v>
      </c>
      <c r="H24" s="42">
        <v>170</v>
      </c>
      <c r="I24" s="42">
        <v>268</v>
      </c>
      <c r="J24"/>
      <c r="K24" s="11"/>
      <c r="L24" s="11"/>
      <c r="M24" s="11"/>
      <c r="N24" s="11"/>
      <c r="O24" s="11"/>
    </row>
    <row r="25" spans="1:15" x14ac:dyDescent="0.2">
      <c r="A25" s="64" t="s">
        <v>22</v>
      </c>
      <c r="B25" s="42">
        <v>44</v>
      </c>
      <c r="C25" s="42">
        <v>82</v>
      </c>
      <c r="D25" s="42">
        <v>10</v>
      </c>
      <c r="E25" s="42">
        <v>7</v>
      </c>
      <c r="F25" s="42">
        <v>402</v>
      </c>
      <c r="G25" s="42">
        <v>734</v>
      </c>
      <c r="H25" s="42">
        <v>234</v>
      </c>
      <c r="I25" s="42">
        <v>203</v>
      </c>
      <c r="J25"/>
      <c r="K25" s="11"/>
      <c r="L25" s="11"/>
      <c r="M25" s="11"/>
      <c r="N25" s="11"/>
      <c r="O25" s="11"/>
    </row>
    <row r="26" spans="1:15" x14ac:dyDescent="0.2">
      <c r="A26" s="64" t="s">
        <v>23</v>
      </c>
      <c r="B26" s="42">
        <v>20</v>
      </c>
      <c r="C26" s="42">
        <v>52</v>
      </c>
      <c r="D26" s="42">
        <v>11</v>
      </c>
      <c r="E26" s="42">
        <v>4</v>
      </c>
      <c r="F26" s="42">
        <v>476</v>
      </c>
      <c r="G26" s="42">
        <v>569</v>
      </c>
      <c r="H26" s="42">
        <v>301</v>
      </c>
      <c r="I26" s="42">
        <v>159</v>
      </c>
      <c r="J26"/>
      <c r="K26" s="11"/>
      <c r="L26" s="11"/>
      <c r="M26" s="11"/>
      <c r="N26" s="11"/>
      <c r="O26" s="11"/>
    </row>
    <row r="27" spans="1:15" x14ac:dyDescent="0.2">
      <c r="A27" s="64" t="s">
        <v>24</v>
      </c>
      <c r="B27" s="42">
        <v>0</v>
      </c>
      <c r="C27" s="42">
        <v>2</v>
      </c>
      <c r="D27" s="42">
        <v>0</v>
      </c>
      <c r="E27" s="42">
        <v>0</v>
      </c>
      <c r="F27" s="42">
        <v>18</v>
      </c>
      <c r="G27" s="42">
        <v>12</v>
      </c>
      <c r="H27" s="42">
        <v>31</v>
      </c>
      <c r="I27" s="42">
        <v>8</v>
      </c>
      <c r="J27"/>
      <c r="K27" s="11"/>
      <c r="L27" s="11"/>
      <c r="M27" s="11"/>
      <c r="N27" s="11"/>
      <c r="O27" s="11"/>
    </row>
    <row r="28" spans="1:15" x14ac:dyDescent="0.2">
      <c r="A28" s="64" t="s">
        <v>25</v>
      </c>
      <c r="B28" s="42">
        <v>7</v>
      </c>
      <c r="C28" s="42">
        <v>17</v>
      </c>
      <c r="D28" s="42">
        <v>2</v>
      </c>
      <c r="E28" s="42">
        <v>2</v>
      </c>
      <c r="F28" s="42">
        <v>198</v>
      </c>
      <c r="G28" s="42">
        <v>212</v>
      </c>
      <c r="H28" s="42">
        <v>208</v>
      </c>
      <c r="I28" s="42">
        <v>93</v>
      </c>
      <c r="J28"/>
      <c r="K28" s="11"/>
      <c r="L28" s="11"/>
      <c r="M28" s="11"/>
      <c r="N28" s="11"/>
      <c r="O28" s="11"/>
    </row>
    <row r="29" spans="1:15" x14ac:dyDescent="0.2">
      <c r="A29" s="64" t="s">
        <v>26</v>
      </c>
      <c r="B29" s="42">
        <v>2</v>
      </c>
      <c r="C29" s="42">
        <v>3</v>
      </c>
      <c r="D29" s="42">
        <v>4</v>
      </c>
      <c r="E29" s="42">
        <v>1</v>
      </c>
      <c r="F29" s="42">
        <v>80</v>
      </c>
      <c r="G29" s="42">
        <v>53</v>
      </c>
      <c r="H29" s="42">
        <v>189</v>
      </c>
      <c r="I29" s="42">
        <v>59</v>
      </c>
      <c r="J29"/>
      <c r="K29" s="11"/>
      <c r="L29" s="11"/>
      <c r="M29" s="11"/>
      <c r="N29" s="11"/>
      <c r="O29" s="11"/>
    </row>
    <row r="30" spans="1:15" x14ac:dyDescent="0.2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2</v>
      </c>
      <c r="G30" s="42">
        <v>0</v>
      </c>
      <c r="H30" s="42">
        <v>3</v>
      </c>
      <c r="I30" s="42">
        <v>1</v>
      </c>
      <c r="J30"/>
      <c r="K30" s="11"/>
      <c r="L30" s="11"/>
      <c r="M30" s="11"/>
      <c r="N30" s="11"/>
      <c r="O30" s="11"/>
    </row>
    <row r="31" spans="1:15" x14ac:dyDescent="0.2">
      <c r="A31" s="64" t="s">
        <v>28</v>
      </c>
      <c r="B31" s="42">
        <v>7</v>
      </c>
      <c r="C31" s="42">
        <v>10</v>
      </c>
      <c r="D31" s="42">
        <v>0</v>
      </c>
      <c r="E31" s="42">
        <v>8</v>
      </c>
      <c r="F31" s="42">
        <v>115</v>
      </c>
      <c r="G31" s="42">
        <v>126</v>
      </c>
      <c r="H31" s="42">
        <v>92</v>
      </c>
      <c r="I31" s="42">
        <v>137</v>
      </c>
      <c r="J31"/>
      <c r="K31" s="11"/>
      <c r="L31" s="11"/>
      <c r="M31" s="11"/>
      <c r="N31" s="11"/>
      <c r="O31" s="11"/>
    </row>
    <row r="32" spans="1:15" x14ac:dyDescent="0.2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4</v>
      </c>
      <c r="G32" s="42">
        <v>2</v>
      </c>
      <c r="H32" s="42">
        <v>15</v>
      </c>
      <c r="I32" s="42">
        <v>9</v>
      </c>
      <c r="J32"/>
      <c r="K32" s="11"/>
      <c r="L32" s="11"/>
      <c r="M32" s="11"/>
      <c r="N32" s="11"/>
      <c r="O32" s="11"/>
    </row>
    <row r="33" spans="1:15" x14ac:dyDescent="0.2">
      <c r="A33" s="64" t="s">
        <v>30</v>
      </c>
      <c r="B33" s="42">
        <v>1</v>
      </c>
      <c r="C33" s="42">
        <v>0</v>
      </c>
      <c r="D33" s="42">
        <v>3</v>
      </c>
      <c r="E33" s="42">
        <v>1</v>
      </c>
      <c r="F33" s="42">
        <v>12</v>
      </c>
      <c r="G33" s="42">
        <v>9</v>
      </c>
      <c r="H33" s="42">
        <v>76</v>
      </c>
      <c r="I33" s="42">
        <v>31</v>
      </c>
      <c r="J33"/>
      <c r="K33" s="11"/>
      <c r="L33" s="11"/>
      <c r="M33" s="11"/>
      <c r="N33" s="11"/>
      <c r="O33" s="11"/>
    </row>
    <row r="34" spans="1:15" x14ac:dyDescent="0.2">
      <c r="A34" s="64" t="s">
        <v>31</v>
      </c>
      <c r="B34" s="42">
        <v>0</v>
      </c>
      <c r="C34" s="42">
        <v>3</v>
      </c>
      <c r="D34" s="42">
        <v>4</v>
      </c>
      <c r="E34" s="42">
        <v>0</v>
      </c>
      <c r="F34" s="42">
        <v>15</v>
      </c>
      <c r="G34" s="42">
        <v>23</v>
      </c>
      <c r="H34" s="42">
        <v>32</v>
      </c>
      <c r="I34" s="42">
        <v>17</v>
      </c>
      <c r="J34"/>
      <c r="K34" s="11"/>
      <c r="L34" s="11"/>
      <c r="M34" s="11"/>
      <c r="N34" s="11"/>
      <c r="O34" s="11"/>
    </row>
    <row r="35" spans="1:15" x14ac:dyDescent="0.2">
      <c r="A35" s="64" t="s">
        <v>32</v>
      </c>
      <c r="B35" s="42">
        <v>3</v>
      </c>
      <c r="C35" s="42">
        <v>5</v>
      </c>
      <c r="D35" s="42">
        <v>2</v>
      </c>
      <c r="E35" s="42">
        <v>3</v>
      </c>
      <c r="F35" s="42">
        <v>26</v>
      </c>
      <c r="G35" s="42">
        <v>36</v>
      </c>
      <c r="H35" s="42">
        <v>62</v>
      </c>
      <c r="I35" s="42">
        <v>44</v>
      </c>
      <c r="J35"/>
      <c r="K35" s="11"/>
      <c r="L35" s="11"/>
      <c r="M35" s="11"/>
      <c r="N35" s="11"/>
      <c r="O35" s="11"/>
    </row>
    <row r="36" spans="1:15" x14ac:dyDescent="0.2">
      <c r="A36" s="64" t="s">
        <v>33</v>
      </c>
      <c r="B36" s="42">
        <v>0</v>
      </c>
      <c r="C36" s="42">
        <v>0</v>
      </c>
      <c r="D36" s="42">
        <v>0</v>
      </c>
      <c r="E36" s="42">
        <v>0</v>
      </c>
      <c r="F36" s="42">
        <v>15</v>
      </c>
      <c r="G36" s="42">
        <v>22</v>
      </c>
      <c r="H36" s="42">
        <v>11</v>
      </c>
      <c r="I36" s="42">
        <v>13</v>
      </c>
      <c r="J36"/>
      <c r="K36" s="11"/>
      <c r="L36" s="11"/>
      <c r="M36" s="11"/>
      <c r="N36" s="11"/>
      <c r="O36" s="11"/>
    </row>
    <row r="37" spans="1:15" x14ac:dyDescent="0.2">
      <c r="A37" s="64" t="s">
        <v>34</v>
      </c>
      <c r="B37" s="42">
        <v>0</v>
      </c>
      <c r="C37" s="42">
        <v>0</v>
      </c>
      <c r="D37" s="42">
        <v>0</v>
      </c>
      <c r="E37" s="42">
        <v>0</v>
      </c>
      <c r="F37" s="42">
        <v>9</v>
      </c>
      <c r="G37" s="42">
        <v>8</v>
      </c>
      <c r="H37" s="42">
        <v>7</v>
      </c>
      <c r="I37" s="42">
        <v>7</v>
      </c>
      <c r="J37"/>
      <c r="K37" s="11"/>
      <c r="L37" s="11"/>
      <c r="M37" s="11"/>
      <c r="N37" s="11"/>
      <c r="O37" s="11"/>
    </row>
    <row r="38" spans="1:15" x14ac:dyDescent="0.2">
      <c r="A38" s="64" t="s">
        <v>35</v>
      </c>
      <c r="B38" s="42">
        <v>11</v>
      </c>
      <c r="C38" s="42">
        <v>25</v>
      </c>
      <c r="D38" s="42">
        <v>13</v>
      </c>
      <c r="E38" s="42">
        <v>3</v>
      </c>
      <c r="F38" s="42">
        <v>220</v>
      </c>
      <c r="G38" s="42">
        <v>215</v>
      </c>
      <c r="H38" s="42">
        <v>246</v>
      </c>
      <c r="I38" s="42">
        <v>94</v>
      </c>
      <c r="J38"/>
      <c r="K38" s="11"/>
      <c r="L38" s="11"/>
      <c r="M38" s="11"/>
      <c r="N38" s="11"/>
      <c r="O38" s="11"/>
    </row>
    <row r="39" spans="1:15" x14ac:dyDescent="0.2">
      <c r="A39" s="64" t="s">
        <v>36</v>
      </c>
      <c r="B39" s="42">
        <v>22</v>
      </c>
      <c r="C39" s="42">
        <v>47</v>
      </c>
      <c r="D39" s="42">
        <v>14</v>
      </c>
      <c r="E39" s="42">
        <v>22</v>
      </c>
      <c r="F39" s="42">
        <v>494</v>
      </c>
      <c r="G39" s="42">
        <v>679</v>
      </c>
      <c r="H39" s="42">
        <v>351</v>
      </c>
      <c r="I39" s="42">
        <v>456</v>
      </c>
      <c r="J39"/>
      <c r="K39" s="11"/>
      <c r="L39" s="11"/>
      <c r="M39" s="11"/>
      <c r="N39" s="11"/>
      <c r="O39" s="11"/>
    </row>
    <row r="40" spans="1:15" x14ac:dyDescent="0.2">
      <c r="A40" s="64" t="s">
        <v>37</v>
      </c>
      <c r="B40" s="42">
        <v>1</v>
      </c>
      <c r="C40" s="42">
        <v>5</v>
      </c>
      <c r="D40" s="42">
        <v>1</v>
      </c>
      <c r="E40" s="42">
        <v>2</v>
      </c>
      <c r="F40" s="42">
        <v>35</v>
      </c>
      <c r="G40" s="42">
        <v>37</v>
      </c>
      <c r="H40" s="42">
        <v>73</v>
      </c>
      <c r="I40" s="42">
        <v>40</v>
      </c>
      <c r="J40"/>
      <c r="K40" s="11"/>
      <c r="L40" s="11"/>
      <c r="M40" s="11"/>
      <c r="N40" s="11"/>
      <c r="O40" s="11"/>
    </row>
    <row r="41" spans="1:15" x14ac:dyDescent="0.2">
      <c r="A41" s="64" t="s">
        <v>38</v>
      </c>
      <c r="B41" s="42">
        <v>4</v>
      </c>
      <c r="C41" s="42">
        <v>5</v>
      </c>
      <c r="D41" s="42">
        <v>4</v>
      </c>
      <c r="E41" s="42">
        <v>4</v>
      </c>
      <c r="F41" s="42">
        <v>116</v>
      </c>
      <c r="G41" s="42">
        <v>117</v>
      </c>
      <c r="H41" s="42">
        <v>102</v>
      </c>
      <c r="I41" s="42">
        <v>106</v>
      </c>
      <c r="J41"/>
      <c r="K41" s="11"/>
      <c r="L41" s="11"/>
      <c r="M41" s="11"/>
      <c r="N41" s="11"/>
      <c r="O41" s="11"/>
    </row>
    <row r="42" spans="1:15" x14ac:dyDescent="0.2">
      <c r="A42" s="64" t="s">
        <v>39</v>
      </c>
      <c r="B42" s="42">
        <v>35</v>
      </c>
      <c r="C42" s="42">
        <v>57</v>
      </c>
      <c r="D42" s="42">
        <v>11</v>
      </c>
      <c r="E42" s="42">
        <v>7</v>
      </c>
      <c r="F42" s="42">
        <v>411</v>
      </c>
      <c r="G42" s="42">
        <v>579</v>
      </c>
      <c r="H42" s="42">
        <v>243</v>
      </c>
      <c r="I42" s="42">
        <v>191</v>
      </c>
      <c r="J42"/>
      <c r="K42" s="11"/>
      <c r="L42" s="11"/>
      <c r="M42" s="11"/>
      <c r="N42" s="11"/>
      <c r="O42" s="11"/>
    </row>
    <row r="43" spans="1:15" x14ac:dyDescent="0.2">
      <c r="A43" s="64" t="s">
        <v>40</v>
      </c>
      <c r="B43" s="42">
        <v>19</v>
      </c>
      <c r="C43" s="42">
        <v>25</v>
      </c>
      <c r="D43" s="42">
        <v>14</v>
      </c>
      <c r="E43" s="42">
        <v>21</v>
      </c>
      <c r="F43" s="42">
        <v>228</v>
      </c>
      <c r="G43" s="42">
        <v>218</v>
      </c>
      <c r="H43" s="42">
        <v>366</v>
      </c>
      <c r="I43" s="42">
        <v>165</v>
      </c>
      <c r="J43"/>
      <c r="K43" s="11"/>
      <c r="L43" s="11"/>
      <c r="M43" s="11"/>
      <c r="N43" s="11"/>
      <c r="O43" s="11"/>
    </row>
    <row r="44" spans="1:15" x14ac:dyDescent="0.2">
      <c r="A44" s="64" t="s">
        <v>41</v>
      </c>
      <c r="B44" s="42">
        <v>4</v>
      </c>
      <c r="C44" s="42">
        <v>3</v>
      </c>
      <c r="D44" s="42">
        <v>1</v>
      </c>
      <c r="E44" s="42">
        <v>5</v>
      </c>
      <c r="F44" s="42">
        <v>74</v>
      </c>
      <c r="G44" s="42">
        <v>74</v>
      </c>
      <c r="H44" s="42">
        <v>78</v>
      </c>
      <c r="I44" s="42">
        <v>85</v>
      </c>
      <c r="J44"/>
      <c r="K44" s="11"/>
      <c r="L44" s="11"/>
      <c r="M44" s="11"/>
      <c r="N44" s="11"/>
      <c r="O44" s="11"/>
    </row>
    <row r="45" spans="1:15" x14ac:dyDescent="0.2">
      <c r="A45" s="64" t="s">
        <v>91</v>
      </c>
      <c r="B45" s="42">
        <v>1</v>
      </c>
      <c r="C45" s="42">
        <v>1</v>
      </c>
      <c r="D45" s="42">
        <v>2</v>
      </c>
      <c r="E45" s="42">
        <v>0</v>
      </c>
      <c r="F45" s="42">
        <v>15</v>
      </c>
      <c r="G45" s="42">
        <v>10</v>
      </c>
      <c r="H45" s="42">
        <v>6</v>
      </c>
      <c r="I45" s="42">
        <v>6</v>
      </c>
      <c r="J45"/>
      <c r="K45" s="11"/>
      <c r="L45" s="11"/>
      <c r="M45" s="11"/>
      <c r="N45" s="11"/>
      <c r="O45" s="11"/>
    </row>
    <row r="46" spans="1:15" x14ac:dyDescent="0.2">
      <c r="A46" s="64" t="s">
        <v>43</v>
      </c>
      <c r="B46" s="42">
        <v>3</v>
      </c>
      <c r="C46" s="42">
        <v>6</v>
      </c>
      <c r="D46" s="42">
        <v>5</v>
      </c>
      <c r="E46" s="42">
        <v>2</v>
      </c>
      <c r="F46" s="42">
        <v>57</v>
      </c>
      <c r="G46" s="42">
        <v>73</v>
      </c>
      <c r="H46" s="42">
        <v>73</v>
      </c>
      <c r="I46" s="42">
        <v>43</v>
      </c>
      <c r="J46"/>
      <c r="K46" s="11"/>
      <c r="L46" s="11"/>
      <c r="M46" s="11"/>
      <c r="N46" s="11"/>
      <c r="O46" s="11"/>
    </row>
    <row r="47" spans="1:15" x14ac:dyDescent="0.2">
      <c r="A47" s="64" t="s">
        <v>44</v>
      </c>
      <c r="B47" s="42">
        <v>0</v>
      </c>
      <c r="C47" s="42">
        <v>2</v>
      </c>
      <c r="D47" s="42">
        <v>0</v>
      </c>
      <c r="E47" s="42">
        <v>2</v>
      </c>
      <c r="F47" s="42">
        <v>22</v>
      </c>
      <c r="G47" s="42">
        <v>26</v>
      </c>
      <c r="H47" s="42">
        <v>19</v>
      </c>
      <c r="I47" s="42">
        <v>16</v>
      </c>
      <c r="J47"/>
      <c r="K47" s="11"/>
      <c r="L47" s="11"/>
      <c r="M47" s="11"/>
      <c r="N47" s="11"/>
      <c r="O47" s="11"/>
    </row>
    <row r="48" spans="1:15" x14ac:dyDescent="0.2">
      <c r="A48" s="64" t="s">
        <v>45</v>
      </c>
      <c r="B48" s="42">
        <v>5</v>
      </c>
      <c r="C48" s="42">
        <v>11</v>
      </c>
      <c r="D48" s="42">
        <v>5</v>
      </c>
      <c r="E48" s="42">
        <v>4</v>
      </c>
      <c r="F48" s="42">
        <v>86</v>
      </c>
      <c r="G48" s="42">
        <v>177</v>
      </c>
      <c r="H48" s="42">
        <v>121</v>
      </c>
      <c r="I48" s="42">
        <v>142</v>
      </c>
      <c r="J48"/>
      <c r="K48" s="11"/>
      <c r="L48" s="11"/>
      <c r="M48" s="11"/>
      <c r="N48" s="11"/>
      <c r="O48" s="11"/>
    </row>
    <row r="49" spans="1:15" x14ac:dyDescent="0.2">
      <c r="A49" s="64" t="s">
        <v>46</v>
      </c>
      <c r="B49" s="42">
        <v>34</v>
      </c>
      <c r="C49" s="42">
        <v>73</v>
      </c>
      <c r="D49" s="42">
        <v>18</v>
      </c>
      <c r="E49" s="42">
        <v>16</v>
      </c>
      <c r="F49" s="42">
        <v>852</v>
      </c>
      <c r="G49" s="42">
        <v>1199</v>
      </c>
      <c r="H49" s="42">
        <v>601</v>
      </c>
      <c r="I49" s="42">
        <v>499</v>
      </c>
      <c r="J49"/>
      <c r="K49" s="11"/>
      <c r="L49" s="11"/>
      <c r="M49" s="11"/>
      <c r="N49" s="11"/>
      <c r="O49" s="11"/>
    </row>
    <row r="50" spans="1:15" x14ac:dyDescent="0.2">
      <c r="A50" s="64" t="s">
        <v>47</v>
      </c>
      <c r="B50" s="42">
        <v>1</v>
      </c>
      <c r="C50" s="42">
        <v>0</v>
      </c>
      <c r="D50" s="42">
        <v>0</v>
      </c>
      <c r="E50" s="42">
        <v>0</v>
      </c>
      <c r="F50" s="42">
        <v>9</v>
      </c>
      <c r="G50" s="42">
        <v>5</v>
      </c>
      <c r="H50" s="42">
        <v>7</v>
      </c>
      <c r="I50" s="42">
        <v>4</v>
      </c>
      <c r="J50"/>
      <c r="K50" s="11"/>
      <c r="L50" s="11"/>
      <c r="M50" s="11"/>
      <c r="N50" s="11"/>
      <c r="O50" s="11"/>
    </row>
    <row r="51" spans="1:15" x14ac:dyDescent="0.2">
      <c r="A51" s="64" t="s">
        <v>48</v>
      </c>
      <c r="B51" s="42">
        <v>13</v>
      </c>
      <c r="C51" s="42">
        <v>40</v>
      </c>
      <c r="D51" s="42">
        <v>11</v>
      </c>
      <c r="E51" s="42">
        <v>7</v>
      </c>
      <c r="F51" s="42">
        <v>285</v>
      </c>
      <c r="G51" s="42">
        <v>515</v>
      </c>
      <c r="H51" s="42">
        <v>297</v>
      </c>
      <c r="I51" s="42">
        <v>267</v>
      </c>
      <c r="J51"/>
      <c r="K51" s="11"/>
      <c r="L51" s="11"/>
      <c r="M51" s="11"/>
      <c r="N51" s="11"/>
      <c r="O51" s="11"/>
    </row>
    <row r="52" spans="1:15" x14ac:dyDescent="0.2">
      <c r="A52" s="64" t="s">
        <v>49</v>
      </c>
      <c r="B52" s="42">
        <v>1</v>
      </c>
      <c r="C52" s="42">
        <v>5</v>
      </c>
      <c r="D52" s="42">
        <v>1</v>
      </c>
      <c r="E52" s="42">
        <v>3</v>
      </c>
      <c r="F52" s="42">
        <v>53</v>
      </c>
      <c r="G52" s="42">
        <v>50</v>
      </c>
      <c r="H52" s="42">
        <v>57</v>
      </c>
      <c r="I52" s="42">
        <v>32</v>
      </c>
      <c r="J52"/>
      <c r="K52" s="11"/>
      <c r="L52" s="11"/>
      <c r="M52" s="11"/>
      <c r="N52" s="11"/>
      <c r="O52" s="11"/>
    </row>
    <row r="53" spans="1:15" x14ac:dyDescent="0.2">
      <c r="A53" s="64" t="s">
        <v>50</v>
      </c>
      <c r="B53" s="42">
        <v>1</v>
      </c>
      <c r="C53" s="42">
        <v>3</v>
      </c>
      <c r="D53" s="42">
        <v>1</v>
      </c>
      <c r="E53" s="42">
        <v>2</v>
      </c>
      <c r="F53" s="42">
        <v>25</v>
      </c>
      <c r="G53" s="42">
        <v>39</v>
      </c>
      <c r="H53" s="42">
        <v>28</v>
      </c>
      <c r="I53" s="42">
        <v>36</v>
      </c>
      <c r="J53"/>
      <c r="K53" s="11"/>
      <c r="L53" s="11"/>
      <c r="M53" s="11"/>
      <c r="N53" s="11"/>
      <c r="O53" s="11"/>
    </row>
    <row r="54" spans="1:15" x14ac:dyDescent="0.2">
      <c r="A54" s="64" t="s">
        <v>51</v>
      </c>
      <c r="B54" s="42">
        <v>60</v>
      </c>
      <c r="C54" s="42">
        <v>313</v>
      </c>
      <c r="D54" s="42">
        <v>66</v>
      </c>
      <c r="E54" s="42">
        <v>29</v>
      </c>
      <c r="F54" s="42">
        <v>1076</v>
      </c>
      <c r="G54" s="42">
        <v>3163</v>
      </c>
      <c r="H54" s="42">
        <v>1173</v>
      </c>
      <c r="I54" s="42">
        <v>489</v>
      </c>
      <c r="J54"/>
      <c r="K54" s="11"/>
      <c r="L54" s="11"/>
      <c r="M54" s="11"/>
      <c r="N54" s="11"/>
      <c r="O54" s="11"/>
    </row>
    <row r="55" spans="1:15" x14ac:dyDescent="0.2">
      <c r="A55" s="64" t="s">
        <v>52</v>
      </c>
      <c r="B55" s="42">
        <v>0</v>
      </c>
      <c r="C55" s="42">
        <v>4</v>
      </c>
      <c r="D55" s="42">
        <v>1</v>
      </c>
      <c r="E55" s="42">
        <v>1</v>
      </c>
      <c r="F55" s="42">
        <v>35</v>
      </c>
      <c r="G55" s="42">
        <v>59</v>
      </c>
      <c r="H55" s="42">
        <v>42</v>
      </c>
      <c r="I55" s="42">
        <v>65</v>
      </c>
      <c r="J55"/>
      <c r="K55" s="11"/>
      <c r="L55" s="11"/>
      <c r="M55" s="11"/>
      <c r="N55" s="11"/>
      <c r="O55" s="11"/>
    </row>
    <row r="56" spans="1:15" x14ac:dyDescent="0.2">
      <c r="A56" s="64" t="s">
        <v>53</v>
      </c>
      <c r="B56" s="42">
        <v>1</v>
      </c>
      <c r="C56" s="42">
        <v>0</v>
      </c>
      <c r="D56" s="42">
        <v>0</v>
      </c>
      <c r="E56" s="42">
        <v>0</v>
      </c>
      <c r="F56" s="42">
        <v>4</v>
      </c>
      <c r="G56" s="42">
        <v>2</v>
      </c>
      <c r="H56" s="42">
        <v>7</v>
      </c>
      <c r="I56" s="42">
        <v>6</v>
      </c>
      <c r="J56"/>
      <c r="K56" s="11"/>
      <c r="L56" s="11"/>
      <c r="M56" s="11"/>
      <c r="N56" s="11"/>
      <c r="O56" s="11"/>
    </row>
    <row r="57" spans="1:15" x14ac:dyDescent="0.2">
      <c r="A57" s="64" t="s">
        <v>54</v>
      </c>
      <c r="B57" s="42">
        <v>4</v>
      </c>
      <c r="C57" s="42">
        <v>9</v>
      </c>
      <c r="D57" s="42">
        <v>3</v>
      </c>
      <c r="E57" s="42">
        <v>1</v>
      </c>
      <c r="F57" s="42">
        <v>87</v>
      </c>
      <c r="G57" s="42">
        <v>86</v>
      </c>
      <c r="H57" s="42">
        <v>133</v>
      </c>
      <c r="I57" s="42">
        <v>77</v>
      </c>
      <c r="J57"/>
      <c r="K57" s="11"/>
      <c r="L57" s="11"/>
      <c r="M57" s="11"/>
      <c r="N57" s="11"/>
      <c r="O57" s="11"/>
    </row>
    <row r="58" spans="1:15" x14ac:dyDescent="0.2">
      <c r="A58" s="64" t="s">
        <v>55</v>
      </c>
      <c r="B58" s="42">
        <v>0</v>
      </c>
      <c r="C58" s="42">
        <v>0</v>
      </c>
      <c r="D58" s="42">
        <v>0</v>
      </c>
      <c r="E58" s="42">
        <v>1</v>
      </c>
      <c r="F58" s="42">
        <v>12</v>
      </c>
      <c r="G58" s="42">
        <v>14</v>
      </c>
      <c r="H58" s="42">
        <v>5</v>
      </c>
      <c r="I58" s="42">
        <v>18</v>
      </c>
      <c r="J58"/>
      <c r="K58" s="11"/>
      <c r="L58" s="11"/>
      <c r="M58" s="11"/>
      <c r="N58" s="11"/>
      <c r="O58" s="11"/>
    </row>
    <row r="59" spans="1:15" x14ac:dyDescent="0.2">
      <c r="A59" s="64" t="s">
        <v>56</v>
      </c>
      <c r="B59" s="42">
        <v>0</v>
      </c>
      <c r="C59" s="42">
        <v>2</v>
      </c>
      <c r="D59" s="42">
        <v>0</v>
      </c>
      <c r="E59" s="42">
        <v>1</v>
      </c>
      <c r="F59" s="42">
        <v>39</v>
      </c>
      <c r="G59" s="42">
        <v>36</v>
      </c>
      <c r="H59" s="42">
        <v>97</v>
      </c>
      <c r="I59" s="42">
        <v>70</v>
      </c>
      <c r="J59"/>
      <c r="K59" s="11"/>
      <c r="L59" s="11"/>
      <c r="M59" s="11"/>
      <c r="N59" s="11"/>
      <c r="O59" s="11"/>
    </row>
    <row r="60" spans="1:15" x14ac:dyDescent="0.2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6</v>
      </c>
      <c r="G60" s="42">
        <v>2</v>
      </c>
      <c r="H60" s="42">
        <v>4</v>
      </c>
      <c r="I60" s="42">
        <v>5</v>
      </c>
      <c r="J60"/>
      <c r="K60" s="11"/>
      <c r="L60" s="11"/>
      <c r="M60" s="11"/>
      <c r="N60" s="11"/>
      <c r="O60" s="11"/>
    </row>
    <row r="61" spans="1:15" x14ac:dyDescent="0.2">
      <c r="A61" s="64" t="s">
        <v>58</v>
      </c>
      <c r="B61" s="42">
        <v>0</v>
      </c>
      <c r="C61" s="42">
        <v>1</v>
      </c>
      <c r="D61" s="42">
        <v>1</v>
      </c>
      <c r="E61" s="42">
        <v>0</v>
      </c>
      <c r="F61" s="42">
        <v>23</v>
      </c>
      <c r="G61" s="42">
        <v>20</v>
      </c>
      <c r="H61" s="42">
        <v>21</v>
      </c>
      <c r="I61" s="42">
        <v>20</v>
      </c>
      <c r="J61"/>
      <c r="K61" s="11"/>
      <c r="L61" s="11"/>
      <c r="M61" s="11"/>
      <c r="N61" s="11"/>
      <c r="O61" s="11"/>
    </row>
    <row r="62" spans="1:15" x14ac:dyDescent="0.2">
      <c r="A62" s="64" t="s">
        <v>59</v>
      </c>
      <c r="B62" s="42">
        <v>1</v>
      </c>
      <c r="C62" s="42">
        <v>5</v>
      </c>
      <c r="D62" s="42">
        <v>0</v>
      </c>
      <c r="E62" s="42">
        <v>1</v>
      </c>
      <c r="F62" s="42">
        <v>24</v>
      </c>
      <c r="G62" s="42">
        <v>29</v>
      </c>
      <c r="H62" s="42">
        <v>28</v>
      </c>
      <c r="I62" s="42">
        <v>33</v>
      </c>
      <c r="J62"/>
      <c r="K62" s="11"/>
      <c r="L62" s="11"/>
      <c r="M62" s="11"/>
      <c r="N62" s="11"/>
      <c r="O62" s="11"/>
    </row>
    <row r="63" spans="1:15" x14ac:dyDescent="0.2">
      <c r="A63" s="64" t="s">
        <v>60</v>
      </c>
      <c r="B63" s="42">
        <v>1</v>
      </c>
      <c r="C63" s="42">
        <v>3</v>
      </c>
      <c r="D63" s="42">
        <v>0</v>
      </c>
      <c r="E63" s="42">
        <v>2</v>
      </c>
      <c r="F63" s="42">
        <v>10</v>
      </c>
      <c r="G63" s="42">
        <v>29</v>
      </c>
      <c r="H63" s="42">
        <v>17</v>
      </c>
      <c r="I63" s="42">
        <v>15</v>
      </c>
      <c r="J63"/>
      <c r="K63" s="11"/>
      <c r="L63" s="11"/>
      <c r="M63" s="11"/>
      <c r="N63" s="11"/>
      <c r="O63" s="11"/>
    </row>
    <row r="64" spans="1:15" x14ac:dyDescent="0.2">
      <c r="A64" s="64" t="s">
        <v>61</v>
      </c>
      <c r="B64" s="42">
        <v>2</v>
      </c>
      <c r="C64" s="42">
        <v>2</v>
      </c>
      <c r="D64" s="42">
        <v>0</v>
      </c>
      <c r="E64" s="42">
        <v>0</v>
      </c>
      <c r="F64" s="42">
        <v>28</v>
      </c>
      <c r="G64" s="42">
        <v>35</v>
      </c>
      <c r="H64" s="42">
        <v>30</v>
      </c>
      <c r="I64" s="42">
        <v>27</v>
      </c>
      <c r="J64"/>
      <c r="K64" s="11"/>
      <c r="L64" s="11"/>
      <c r="M64" s="11"/>
      <c r="N64" s="11"/>
      <c r="O64" s="11"/>
    </row>
    <row r="65" spans="1:15" x14ac:dyDescent="0.2">
      <c r="A65" s="64" t="s">
        <v>62</v>
      </c>
      <c r="B65" s="42">
        <v>0</v>
      </c>
      <c r="C65" s="42">
        <v>0</v>
      </c>
      <c r="D65" s="42">
        <v>1</v>
      </c>
      <c r="E65" s="42">
        <v>1</v>
      </c>
      <c r="F65" s="42">
        <v>24</v>
      </c>
      <c r="G65" s="42">
        <v>32</v>
      </c>
      <c r="H65" s="42">
        <v>15</v>
      </c>
      <c r="I65" s="42">
        <v>24</v>
      </c>
      <c r="J65"/>
      <c r="K65" s="11"/>
      <c r="L65" s="11"/>
      <c r="M65" s="11"/>
      <c r="N65" s="11"/>
      <c r="O65" s="11"/>
    </row>
    <row r="66" spans="1:15" x14ac:dyDescent="0.2">
      <c r="A66" s="64" t="s">
        <v>63</v>
      </c>
      <c r="B66" s="42">
        <v>5</v>
      </c>
      <c r="C66" s="42">
        <v>7</v>
      </c>
      <c r="D66" s="42">
        <v>7</v>
      </c>
      <c r="E66" s="42">
        <v>3</v>
      </c>
      <c r="F66" s="42">
        <v>112</v>
      </c>
      <c r="G66" s="42">
        <v>142</v>
      </c>
      <c r="H66" s="42">
        <v>188</v>
      </c>
      <c r="I66" s="42">
        <v>111</v>
      </c>
      <c r="J66"/>
      <c r="K66" s="11"/>
      <c r="L66" s="11"/>
      <c r="M66" s="11"/>
      <c r="N66" s="11"/>
      <c r="O66" s="11"/>
    </row>
    <row r="67" spans="1:15" x14ac:dyDescent="0.2">
      <c r="A67" s="64" t="s">
        <v>64</v>
      </c>
      <c r="B67" s="42">
        <v>1</v>
      </c>
      <c r="C67" s="42">
        <v>1</v>
      </c>
      <c r="D67" s="42">
        <v>3</v>
      </c>
      <c r="E67" s="42">
        <v>2</v>
      </c>
      <c r="F67" s="42">
        <v>22</v>
      </c>
      <c r="G67" s="42">
        <v>35</v>
      </c>
      <c r="H67" s="42">
        <v>41</v>
      </c>
      <c r="I67" s="42">
        <v>39</v>
      </c>
      <c r="J67"/>
      <c r="K67" s="11"/>
      <c r="L67" s="11"/>
      <c r="M67" s="11"/>
      <c r="N67" s="11"/>
      <c r="O67" s="11"/>
    </row>
    <row r="68" spans="1:15" x14ac:dyDescent="0.2">
      <c r="A68" s="64" t="s">
        <v>65</v>
      </c>
      <c r="B68" s="42">
        <v>8</v>
      </c>
      <c r="C68" s="42">
        <v>20</v>
      </c>
      <c r="D68" s="42">
        <v>12</v>
      </c>
      <c r="E68" s="42">
        <v>8</v>
      </c>
      <c r="F68" s="42">
        <v>211</v>
      </c>
      <c r="G68" s="42">
        <v>238</v>
      </c>
      <c r="H68" s="42">
        <v>302</v>
      </c>
      <c r="I68" s="42">
        <v>168</v>
      </c>
      <c r="J68"/>
      <c r="K68" s="11"/>
      <c r="L68" s="11"/>
      <c r="M68" s="11"/>
      <c r="N68" s="11"/>
      <c r="O68" s="11"/>
    </row>
    <row r="69" spans="1:15" x14ac:dyDescent="0.2">
      <c r="A69" s="64" t="s">
        <v>66</v>
      </c>
      <c r="B69" s="42">
        <v>0</v>
      </c>
      <c r="C69" s="42">
        <v>2</v>
      </c>
      <c r="D69" s="42">
        <v>3</v>
      </c>
      <c r="E69" s="42">
        <v>0</v>
      </c>
      <c r="F69" s="42">
        <v>22</v>
      </c>
      <c r="G69" s="42">
        <v>22</v>
      </c>
      <c r="H69" s="42">
        <v>27</v>
      </c>
      <c r="I69" s="42">
        <v>17</v>
      </c>
      <c r="J69"/>
      <c r="K69" s="11"/>
      <c r="L69" s="11"/>
      <c r="M69" s="11"/>
      <c r="N69" s="11"/>
      <c r="O69" s="11"/>
    </row>
    <row r="70" spans="1:15" x14ac:dyDescent="0.2">
      <c r="A70" s="64" t="s">
        <v>67</v>
      </c>
      <c r="B70" s="42">
        <v>24</v>
      </c>
      <c r="C70" s="42">
        <v>60</v>
      </c>
      <c r="D70" s="42">
        <v>10</v>
      </c>
      <c r="E70" s="42">
        <v>22</v>
      </c>
      <c r="F70" s="42">
        <v>415</v>
      </c>
      <c r="G70" s="42">
        <v>656</v>
      </c>
      <c r="H70" s="42">
        <v>325</v>
      </c>
      <c r="I70" s="42">
        <v>393</v>
      </c>
      <c r="J70"/>
      <c r="K70" s="11"/>
      <c r="L70" s="11"/>
      <c r="M70" s="11"/>
      <c r="N70" s="11"/>
      <c r="O70" s="11"/>
    </row>
    <row r="71" spans="1:15" x14ac:dyDescent="0.2">
      <c r="A71" s="39" t="s">
        <v>68</v>
      </c>
      <c r="B71" s="67">
        <f>SUM(B4:B70)</f>
        <v>512</v>
      </c>
      <c r="C71" s="67">
        <f>SUM(C4:C70)</f>
        <v>1348</v>
      </c>
      <c r="D71" s="67">
        <f>SUM(D4:D70)</f>
        <v>334</v>
      </c>
      <c r="E71" s="67">
        <f>SUM(E4:E70)</f>
        <v>322</v>
      </c>
      <c r="F71" s="67">
        <f t="shared" ref="F71:I71" si="0">SUM(F4:F70)</f>
        <v>9823</v>
      </c>
      <c r="G71" s="67">
        <f t="shared" si="0"/>
        <v>15604</v>
      </c>
      <c r="H71" s="67">
        <f t="shared" si="0"/>
        <v>9631</v>
      </c>
      <c r="I71" s="67">
        <f t="shared" si="0"/>
        <v>7295</v>
      </c>
      <c r="J71"/>
    </row>
    <row r="73" spans="1:15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zoomScale="85" zoomScaleNormal="85" workbookViewId="0">
      <pane ySplit="3" topLeftCell="A4" activePane="bottomLeft" state="frozen"/>
      <selection pane="bottomLeft"/>
    </sheetView>
  </sheetViews>
  <sheetFormatPr defaultColWidth="9.140625" defaultRowHeight="12.75" x14ac:dyDescent="0.2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5" bestFit="1" customWidth="1"/>
    <col min="28" max="29" width="6.7109375" style="35" customWidth="1"/>
    <col min="30" max="30" width="7.7109375" style="35" bestFit="1" customWidth="1"/>
    <col min="31" max="31" width="6.7109375" style="35" customWidth="1"/>
    <col min="32" max="35" width="6.7109375" style="35" bestFit="1" customWidth="1"/>
    <col min="36" max="59" width="6.7109375" style="35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6" x14ac:dyDescent="0.2">
      <c r="A1" s="42" t="s">
        <v>115</v>
      </c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30" customWidth="1"/>
    <col min="5" max="5" width="18" style="22" customWidth="1"/>
    <col min="6" max="6" width="5.5703125" style="21" bestFit="1" customWidth="1"/>
    <col min="7" max="16384" width="9.140625" style="21"/>
  </cols>
  <sheetData>
    <row r="1" spans="1:5" x14ac:dyDescent="0.2">
      <c r="A1" s="42" t="s">
        <v>115</v>
      </c>
      <c r="B1" s="90" t="s">
        <v>130</v>
      </c>
      <c r="C1" s="91"/>
      <c r="D1" s="92" t="s">
        <v>126</v>
      </c>
      <c r="E1" s="93"/>
    </row>
    <row r="2" spans="1:5" x14ac:dyDescent="0.2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">
      <c r="A3" s="42" t="s">
        <v>1</v>
      </c>
      <c r="B3" s="53">
        <v>1</v>
      </c>
      <c r="C3" s="53">
        <v>5</v>
      </c>
      <c r="D3" s="53">
        <v>67</v>
      </c>
      <c r="E3" s="53">
        <v>118</v>
      </c>
    </row>
    <row r="4" spans="1:5" x14ac:dyDescent="0.2">
      <c r="A4" s="42" t="s">
        <v>2</v>
      </c>
      <c r="B4" s="53">
        <v>33</v>
      </c>
      <c r="C4" s="53">
        <v>14</v>
      </c>
      <c r="D4" s="53">
        <v>820</v>
      </c>
      <c r="E4" s="53">
        <v>589</v>
      </c>
    </row>
    <row r="5" spans="1:5" x14ac:dyDescent="0.2">
      <c r="A5" s="42" t="s">
        <v>3</v>
      </c>
      <c r="B5" s="53">
        <v>0</v>
      </c>
      <c r="C5" s="53">
        <v>0</v>
      </c>
      <c r="D5" s="53">
        <v>15</v>
      </c>
      <c r="E5" s="53">
        <v>28</v>
      </c>
    </row>
    <row r="6" spans="1:5" x14ac:dyDescent="0.2">
      <c r="A6" s="42" t="s">
        <v>4</v>
      </c>
      <c r="B6" s="53">
        <v>1</v>
      </c>
      <c r="C6" s="53">
        <v>0</v>
      </c>
      <c r="D6" s="53">
        <v>42</v>
      </c>
      <c r="E6" s="53">
        <v>66</v>
      </c>
    </row>
    <row r="7" spans="1:5" x14ac:dyDescent="0.2">
      <c r="A7" s="42" t="s">
        <v>5</v>
      </c>
      <c r="B7" s="53">
        <v>1</v>
      </c>
      <c r="C7" s="53">
        <v>0</v>
      </c>
      <c r="D7" s="53">
        <v>5</v>
      </c>
      <c r="E7" s="53">
        <v>8</v>
      </c>
    </row>
    <row r="8" spans="1:5" x14ac:dyDescent="0.2">
      <c r="A8" s="42" t="s">
        <v>6</v>
      </c>
      <c r="B8" s="53">
        <v>18</v>
      </c>
      <c r="C8" s="53">
        <v>11</v>
      </c>
      <c r="D8" s="53">
        <v>557</v>
      </c>
      <c r="E8" s="53">
        <v>445</v>
      </c>
    </row>
    <row r="9" spans="1:5" x14ac:dyDescent="0.2">
      <c r="A9" s="42" t="s">
        <v>7</v>
      </c>
      <c r="B9" s="53">
        <v>0</v>
      </c>
      <c r="C9" s="53">
        <v>0</v>
      </c>
      <c r="D9" s="53">
        <v>40</v>
      </c>
      <c r="E9" s="53">
        <v>62</v>
      </c>
    </row>
    <row r="10" spans="1:5" x14ac:dyDescent="0.2">
      <c r="A10" s="42" t="s">
        <v>8</v>
      </c>
      <c r="B10" s="53">
        <v>2</v>
      </c>
      <c r="C10" s="53">
        <v>3</v>
      </c>
      <c r="D10" s="53">
        <v>26</v>
      </c>
      <c r="E10" s="53">
        <v>33</v>
      </c>
    </row>
    <row r="11" spans="1:5" x14ac:dyDescent="0.2">
      <c r="A11" s="42" t="s">
        <v>9</v>
      </c>
      <c r="B11" s="53">
        <v>20</v>
      </c>
      <c r="C11" s="53">
        <v>17</v>
      </c>
      <c r="D11" s="53">
        <v>613</v>
      </c>
      <c r="E11" s="53">
        <v>706</v>
      </c>
    </row>
    <row r="12" spans="1:5" x14ac:dyDescent="0.2">
      <c r="A12" s="42" t="s">
        <v>10</v>
      </c>
      <c r="B12" s="53">
        <v>3</v>
      </c>
      <c r="C12" s="53">
        <v>5</v>
      </c>
      <c r="D12" s="53">
        <v>71</v>
      </c>
      <c r="E12" s="53">
        <v>130</v>
      </c>
    </row>
    <row r="13" spans="1:5" x14ac:dyDescent="0.2">
      <c r="A13" s="42" t="s">
        <v>11</v>
      </c>
      <c r="B13" s="53">
        <v>1</v>
      </c>
      <c r="C13" s="53">
        <v>1</v>
      </c>
      <c r="D13" s="53">
        <v>61</v>
      </c>
      <c r="E13" s="53">
        <v>62</v>
      </c>
    </row>
    <row r="14" spans="1:5" x14ac:dyDescent="0.2">
      <c r="A14" s="42" t="s">
        <v>12</v>
      </c>
      <c r="B14" s="53">
        <v>0</v>
      </c>
      <c r="C14" s="53">
        <v>0</v>
      </c>
      <c r="D14" s="53">
        <v>1</v>
      </c>
      <c r="E14" s="53">
        <v>2</v>
      </c>
    </row>
    <row r="15" spans="1:5" x14ac:dyDescent="0.2">
      <c r="A15" s="42" t="s">
        <v>13</v>
      </c>
      <c r="B15" s="53">
        <v>2</v>
      </c>
      <c r="C15" s="53">
        <v>2</v>
      </c>
      <c r="D15" s="53">
        <v>30</v>
      </c>
      <c r="E15" s="53">
        <v>38</v>
      </c>
    </row>
    <row r="16" spans="1:5" x14ac:dyDescent="0.2">
      <c r="A16" s="42" t="s">
        <v>14</v>
      </c>
      <c r="B16" s="53">
        <v>0</v>
      </c>
      <c r="C16" s="53">
        <v>0</v>
      </c>
      <c r="D16" s="53">
        <v>80</v>
      </c>
      <c r="E16" s="53">
        <v>74</v>
      </c>
    </row>
    <row r="17" spans="1:5" x14ac:dyDescent="0.2">
      <c r="A17" s="42" t="s">
        <v>15</v>
      </c>
      <c r="B17" s="53">
        <v>23</v>
      </c>
      <c r="C17" s="53">
        <v>20</v>
      </c>
      <c r="D17" s="53">
        <v>590</v>
      </c>
      <c r="E17" s="53">
        <v>606</v>
      </c>
    </row>
    <row r="18" spans="1:5" x14ac:dyDescent="0.2">
      <c r="A18" s="42" t="s">
        <v>16</v>
      </c>
      <c r="B18" s="53">
        <v>0</v>
      </c>
      <c r="C18" s="53">
        <v>0</v>
      </c>
      <c r="D18" s="53">
        <v>11</v>
      </c>
      <c r="E18" s="53">
        <v>14</v>
      </c>
    </row>
    <row r="19" spans="1:5" x14ac:dyDescent="0.2">
      <c r="A19" s="42" t="s">
        <v>17</v>
      </c>
      <c r="B19" s="53">
        <v>0</v>
      </c>
      <c r="C19" s="53">
        <v>0</v>
      </c>
      <c r="D19" s="53">
        <v>23</v>
      </c>
      <c r="E19" s="53">
        <v>31</v>
      </c>
    </row>
    <row r="20" spans="1:5" x14ac:dyDescent="0.2">
      <c r="A20" s="42" t="s">
        <v>18</v>
      </c>
      <c r="B20" s="53">
        <v>0</v>
      </c>
      <c r="C20" s="53">
        <v>1</v>
      </c>
      <c r="D20" s="53">
        <v>23</v>
      </c>
      <c r="E20" s="53">
        <v>23</v>
      </c>
    </row>
    <row r="21" spans="1:5" x14ac:dyDescent="0.2">
      <c r="A21" s="42" t="s">
        <v>19</v>
      </c>
      <c r="B21" s="53">
        <v>0</v>
      </c>
      <c r="C21" s="53">
        <v>0</v>
      </c>
      <c r="D21" s="53">
        <v>18</v>
      </c>
      <c r="E21" s="53">
        <v>35</v>
      </c>
    </row>
    <row r="22" spans="1:5" x14ac:dyDescent="0.2">
      <c r="A22" s="42" t="s">
        <v>20</v>
      </c>
      <c r="B22" s="53">
        <v>0</v>
      </c>
      <c r="C22" s="53">
        <v>2</v>
      </c>
      <c r="D22" s="53">
        <v>30</v>
      </c>
      <c r="E22" s="53">
        <v>41</v>
      </c>
    </row>
    <row r="23" spans="1:5" x14ac:dyDescent="0.2">
      <c r="A23" s="42" t="s">
        <v>21</v>
      </c>
      <c r="B23" s="53">
        <v>5</v>
      </c>
      <c r="C23" s="53">
        <v>10</v>
      </c>
      <c r="D23" s="53">
        <v>251</v>
      </c>
      <c r="E23" s="53">
        <v>292</v>
      </c>
    </row>
    <row r="24" spans="1:5" x14ac:dyDescent="0.2">
      <c r="A24" s="42" t="s">
        <v>22</v>
      </c>
      <c r="B24" s="53">
        <v>21</v>
      </c>
      <c r="C24" s="53">
        <v>12</v>
      </c>
      <c r="D24" s="53">
        <v>474</v>
      </c>
      <c r="E24" s="53">
        <v>313</v>
      </c>
    </row>
    <row r="25" spans="1:5" x14ac:dyDescent="0.2">
      <c r="A25" s="42" t="s">
        <v>23</v>
      </c>
      <c r="B25" s="53">
        <v>17</v>
      </c>
      <c r="C25" s="53">
        <v>12</v>
      </c>
      <c r="D25" s="53">
        <v>405</v>
      </c>
      <c r="E25" s="53">
        <v>293</v>
      </c>
    </row>
    <row r="26" spans="1:5" x14ac:dyDescent="0.2">
      <c r="A26" s="42" t="s">
        <v>24</v>
      </c>
      <c r="B26" s="53">
        <v>0</v>
      </c>
      <c r="C26" s="53">
        <v>0</v>
      </c>
      <c r="D26" s="53">
        <v>4</v>
      </c>
      <c r="E26" s="53">
        <v>15</v>
      </c>
    </row>
    <row r="27" spans="1:5" x14ac:dyDescent="0.2">
      <c r="A27" s="42" t="s">
        <v>25</v>
      </c>
      <c r="B27" s="53">
        <v>7</v>
      </c>
      <c r="C27" s="53">
        <v>5</v>
      </c>
      <c r="D27" s="53">
        <v>140</v>
      </c>
      <c r="E27" s="53">
        <v>126</v>
      </c>
    </row>
    <row r="28" spans="1:5" x14ac:dyDescent="0.2">
      <c r="A28" s="42" t="s">
        <v>26</v>
      </c>
      <c r="B28" s="53">
        <v>0</v>
      </c>
      <c r="C28" s="53">
        <v>2</v>
      </c>
      <c r="D28" s="53">
        <v>48</v>
      </c>
      <c r="E28" s="53">
        <v>60</v>
      </c>
    </row>
    <row r="29" spans="1:5" x14ac:dyDescent="0.2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">
      <c r="A30" s="42" t="s">
        <v>28</v>
      </c>
      <c r="B30" s="53">
        <v>2</v>
      </c>
      <c r="C30" s="53">
        <v>4</v>
      </c>
      <c r="D30" s="53">
        <v>102</v>
      </c>
      <c r="E30" s="53">
        <v>190</v>
      </c>
    </row>
    <row r="31" spans="1:5" x14ac:dyDescent="0.2">
      <c r="A31" s="42" t="s">
        <v>29</v>
      </c>
      <c r="B31" s="53">
        <v>0</v>
      </c>
      <c r="C31" s="53">
        <v>0</v>
      </c>
      <c r="D31" s="53">
        <v>7</v>
      </c>
      <c r="E31" s="53">
        <v>8</v>
      </c>
    </row>
    <row r="32" spans="1:5" x14ac:dyDescent="0.2">
      <c r="A32" s="42" t="s">
        <v>30</v>
      </c>
      <c r="B32" s="53">
        <v>1</v>
      </c>
      <c r="C32" s="53">
        <v>0</v>
      </c>
      <c r="D32" s="53">
        <v>14</v>
      </c>
      <c r="E32" s="53">
        <v>14</v>
      </c>
    </row>
    <row r="33" spans="1:5" x14ac:dyDescent="0.2">
      <c r="A33" s="42" t="s">
        <v>31</v>
      </c>
      <c r="B33" s="53">
        <v>1</v>
      </c>
      <c r="C33" s="53">
        <v>0</v>
      </c>
      <c r="D33" s="53">
        <v>11</v>
      </c>
      <c r="E33" s="53">
        <v>11</v>
      </c>
    </row>
    <row r="34" spans="1:5" x14ac:dyDescent="0.2">
      <c r="A34" s="42" t="s">
        <v>32</v>
      </c>
      <c r="B34" s="53">
        <v>0</v>
      </c>
      <c r="C34" s="53">
        <v>0</v>
      </c>
      <c r="D34" s="53">
        <v>26</v>
      </c>
      <c r="E34" s="53">
        <v>21</v>
      </c>
    </row>
    <row r="35" spans="1:5" x14ac:dyDescent="0.2">
      <c r="A35" s="42" t="s">
        <v>33</v>
      </c>
      <c r="B35" s="53">
        <v>0</v>
      </c>
      <c r="C35" s="53">
        <v>1</v>
      </c>
      <c r="D35" s="53">
        <v>6</v>
      </c>
      <c r="E35" s="53">
        <v>11</v>
      </c>
    </row>
    <row r="36" spans="1:5" x14ac:dyDescent="0.2">
      <c r="A36" s="42" t="s">
        <v>34</v>
      </c>
      <c r="B36" s="53">
        <v>0</v>
      </c>
      <c r="C36" s="53">
        <v>0</v>
      </c>
      <c r="D36" s="53">
        <v>12</v>
      </c>
      <c r="E36" s="53">
        <v>4</v>
      </c>
    </row>
    <row r="37" spans="1:5" x14ac:dyDescent="0.2">
      <c r="A37" s="42" t="s">
        <v>35</v>
      </c>
      <c r="B37" s="53">
        <v>3</v>
      </c>
      <c r="C37" s="53">
        <v>4</v>
      </c>
      <c r="D37" s="53">
        <v>180</v>
      </c>
      <c r="E37" s="53">
        <v>150</v>
      </c>
    </row>
    <row r="38" spans="1:5" x14ac:dyDescent="0.2">
      <c r="A38" s="42" t="s">
        <v>36</v>
      </c>
      <c r="B38" s="53">
        <v>19</v>
      </c>
      <c r="C38" s="53">
        <v>16</v>
      </c>
      <c r="D38" s="53">
        <v>547</v>
      </c>
      <c r="E38" s="53">
        <v>608</v>
      </c>
    </row>
    <row r="39" spans="1:5" x14ac:dyDescent="0.2">
      <c r="A39" s="42" t="s">
        <v>37</v>
      </c>
      <c r="B39" s="53">
        <v>1</v>
      </c>
      <c r="C39" s="53">
        <v>0</v>
      </c>
      <c r="D39" s="53">
        <v>27</v>
      </c>
      <c r="E39" s="53">
        <v>34</v>
      </c>
    </row>
    <row r="40" spans="1:5" x14ac:dyDescent="0.2">
      <c r="A40" s="42" t="s">
        <v>38</v>
      </c>
      <c r="B40" s="53">
        <v>2</v>
      </c>
      <c r="C40" s="53">
        <v>2</v>
      </c>
      <c r="D40" s="53">
        <v>79</v>
      </c>
      <c r="E40" s="53">
        <v>79</v>
      </c>
    </row>
    <row r="41" spans="1:5" x14ac:dyDescent="0.2">
      <c r="A41" s="42" t="s">
        <v>39</v>
      </c>
      <c r="B41" s="53">
        <v>16</v>
      </c>
      <c r="C41" s="53">
        <v>2</v>
      </c>
      <c r="D41" s="53">
        <v>350</v>
      </c>
      <c r="E41" s="53">
        <v>264</v>
      </c>
    </row>
    <row r="42" spans="1:5" x14ac:dyDescent="0.2">
      <c r="A42" s="42" t="s">
        <v>40</v>
      </c>
      <c r="B42" s="53">
        <v>8</v>
      </c>
      <c r="C42" s="53">
        <v>5</v>
      </c>
      <c r="D42" s="53">
        <v>208</v>
      </c>
      <c r="E42" s="53">
        <v>161</v>
      </c>
    </row>
    <row r="43" spans="1:5" x14ac:dyDescent="0.2">
      <c r="A43" s="42" t="s">
        <v>41</v>
      </c>
      <c r="B43" s="53">
        <v>4</v>
      </c>
      <c r="C43" s="53">
        <v>0</v>
      </c>
      <c r="D43" s="53">
        <v>57</v>
      </c>
      <c r="E43" s="53">
        <v>84</v>
      </c>
    </row>
    <row r="44" spans="1:5" x14ac:dyDescent="0.2">
      <c r="A44" s="42" t="s">
        <v>42</v>
      </c>
      <c r="B44" s="53">
        <v>0</v>
      </c>
      <c r="C44" s="53">
        <v>2</v>
      </c>
      <c r="D44" s="53">
        <v>10</v>
      </c>
      <c r="E44" s="53">
        <v>9</v>
      </c>
    </row>
    <row r="45" spans="1:5" x14ac:dyDescent="0.2">
      <c r="A45" s="42" t="s">
        <v>43</v>
      </c>
      <c r="B45" s="53">
        <v>2</v>
      </c>
      <c r="C45" s="53">
        <v>2</v>
      </c>
      <c r="D45" s="53">
        <v>49</v>
      </c>
      <c r="E45" s="53">
        <v>48</v>
      </c>
    </row>
    <row r="46" spans="1:5" x14ac:dyDescent="0.2">
      <c r="A46" s="42" t="s">
        <v>44</v>
      </c>
      <c r="B46" s="53">
        <v>0</v>
      </c>
      <c r="C46" s="53">
        <v>1</v>
      </c>
      <c r="D46" s="53">
        <v>4</v>
      </c>
      <c r="E46" s="53">
        <v>18</v>
      </c>
    </row>
    <row r="47" spans="1:5" x14ac:dyDescent="0.2">
      <c r="A47" s="42" t="s">
        <v>45</v>
      </c>
      <c r="B47" s="53">
        <v>4</v>
      </c>
      <c r="C47" s="53">
        <v>3</v>
      </c>
      <c r="D47" s="53">
        <v>174</v>
      </c>
      <c r="E47" s="53">
        <v>130</v>
      </c>
    </row>
    <row r="48" spans="1:5" x14ac:dyDescent="0.2">
      <c r="A48" s="42" t="s">
        <v>46</v>
      </c>
      <c r="B48" s="53">
        <v>17</v>
      </c>
      <c r="C48" s="53">
        <v>15</v>
      </c>
      <c r="D48" s="53">
        <v>911</v>
      </c>
      <c r="E48" s="53">
        <v>772</v>
      </c>
    </row>
    <row r="49" spans="1:5" x14ac:dyDescent="0.2">
      <c r="A49" s="42" t="s">
        <v>47</v>
      </c>
      <c r="B49" s="53">
        <v>0</v>
      </c>
      <c r="C49" s="53">
        <v>0</v>
      </c>
      <c r="D49" s="53">
        <v>4</v>
      </c>
      <c r="E49" s="53">
        <v>7</v>
      </c>
    </row>
    <row r="50" spans="1:5" x14ac:dyDescent="0.2">
      <c r="A50" s="42" t="s">
        <v>48</v>
      </c>
      <c r="B50" s="53">
        <v>7</v>
      </c>
      <c r="C50" s="53">
        <v>2</v>
      </c>
      <c r="D50" s="53">
        <v>363</v>
      </c>
      <c r="E50" s="53">
        <v>281</v>
      </c>
    </row>
    <row r="51" spans="1:5" x14ac:dyDescent="0.2">
      <c r="A51" s="42" t="s">
        <v>49</v>
      </c>
      <c r="B51" s="53">
        <v>0</v>
      </c>
      <c r="C51" s="53">
        <v>0</v>
      </c>
      <c r="D51" s="53">
        <v>36</v>
      </c>
      <c r="E51" s="53">
        <v>41</v>
      </c>
    </row>
    <row r="52" spans="1:5" x14ac:dyDescent="0.2">
      <c r="A52" s="42" t="s">
        <v>50</v>
      </c>
      <c r="B52" s="53">
        <v>1</v>
      </c>
      <c r="C52" s="53">
        <v>0</v>
      </c>
      <c r="D52" s="53">
        <v>31</v>
      </c>
      <c r="E52" s="53">
        <v>51</v>
      </c>
    </row>
    <row r="53" spans="1:5" x14ac:dyDescent="0.2">
      <c r="A53" s="42" t="s">
        <v>51</v>
      </c>
      <c r="B53" s="53">
        <v>101</v>
      </c>
      <c r="C53" s="53">
        <v>15</v>
      </c>
      <c r="D53" s="53">
        <v>2106</v>
      </c>
      <c r="E53" s="53">
        <v>620</v>
      </c>
    </row>
    <row r="54" spans="1:5" x14ac:dyDescent="0.2">
      <c r="A54" s="42" t="s">
        <v>52</v>
      </c>
      <c r="B54" s="53">
        <v>1</v>
      </c>
      <c r="C54" s="53">
        <v>0</v>
      </c>
      <c r="D54" s="53">
        <v>40</v>
      </c>
      <c r="E54" s="53">
        <v>52</v>
      </c>
    </row>
    <row r="55" spans="1:5" x14ac:dyDescent="0.2">
      <c r="A55" s="42" t="s">
        <v>53</v>
      </c>
      <c r="B55" s="53">
        <v>1</v>
      </c>
      <c r="C55" s="53">
        <v>1</v>
      </c>
      <c r="D55" s="53">
        <v>5</v>
      </c>
      <c r="E55" s="53">
        <v>10</v>
      </c>
    </row>
    <row r="56" spans="1:5" x14ac:dyDescent="0.2">
      <c r="A56" s="42" t="s">
        <v>54</v>
      </c>
      <c r="B56" s="53">
        <v>7</v>
      </c>
      <c r="C56" s="53">
        <v>1</v>
      </c>
      <c r="D56" s="53">
        <v>80</v>
      </c>
      <c r="E56" s="53">
        <v>85</v>
      </c>
    </row>
    <row r="57" spans="1:5" x14ac:dyDescent="0.2">
      <c r="A57" s="42" t="s">
        <v>55</v>
      </c>
      <c r="B57" s="53">
        <v>0</v>
      </c>
      <c r="C57" s="53">
        <v>0</v>
      </c>
      <c r="D57" s="53">
        <v>4</v>
      </c>
      <c r="E57" s="53">
        <v>5</v>
      </c>
    </row>
    <row r="58" spans="1:5" x14ac:dyDescent="0.2">
      <c r="A58" s="42" t="s">
        <v>56</v>
      </c>
      <c r="B58" s="53">
        <v>1</v>
      </c>
      <c r="C58" s="53">
        <v>0</v>
      </c>
      <c r="D58" s="53">
        <v>43</v>
      </c>
      <c r="E58" s="53">
        <v>51</v>
      </c>
    </row>
    <row r="59" spans="1:5" x14ac:dyDescent="0.2">
      <c r="A59" s="42" t="s">
        <v>57</v>
      </c>
      <c r="B59" s="53">
        <v>0</v>
      </c>
      <c r="C59" s="53">
        <v>2</v>
      </c>
      <c r="D59" s="53">
        <v>1</v>
      </c>
      <c r="E59" s="53">
        <v>5</v>
      </c>
    </row>
    <row r="60" spans="1:5" x14ac:dyDescent="0.2">
      <c r="A60" s="42" t="s">
        <v>58</v>
      </c>
      <c r="B60" s="53">
        <v>0</v>
      </c>
      <c r="C60" s="53">
        <v>0</v>
      </c>
      <c r="D60" s="53">
        <v>12</v>
      </c>
      <c r="E60" s="53">
        <v>16</v>
      </c>
    </row>
    <row r="61" spans="1:5" x14ac:dyDescent="0.2">
      <c r="A61" s="42" t="s">
        <v>59</v>
      </c>
      <c r="B61" s="53">
        <v>0</v>
      </c>
      <c r="C61" s="53">
        <v>2</v>
      </c>
      <c r="D61" s="53">
        <v>17</v>
      </c>
      <c r="E61" s="53">
        <v>20</v>
      </c>
    </row>
    <row r="62" spans="1:5" x14ac:dyDescent="0.2">
      <c r="A62" s="42" t="s">
        <v>60</v>
      </c>
      <c r="B62" s="53">
        <v>1</v>
      </c>
      <c r="C62" s="53">
        <v>0</v>
      </c>
      <c r="D62" s="53">
        <v>7</v>
      </c>
      <c r="E62" s="53">
        <v>16</v>
      </c>
    </row>
    <row r="63" spans="1:5" x14ac:dyDescent="0.2">
      <c r="A63" s="42" t="s">
        <v>61</v>
      </c>
      <c r="B63" s="53">
        <v>0</v>
      </c>
      <c r="C63" s="53">
        <v>0</v>
      </c>
      <c r="D63" s="53">
        <v>22</v>
      </c>
      <c r="E63" s="53">
        <v>36</v>
      </c>
    </row>
    <row r="64" spans="1:5" x14ac:dyDescent="0.2">
      <c r="A64" s="42" t="s">
        <v>62</v>
      </c>
      <c r="B64" s="53">
        <v>1</v>
      </c>
      <c r="C64" s="53">
        <v>0</v>
      </c>
      <c r="D64" s="53">
        <v>17</v>
      </c>
      <c r="E64" s="53">
        <v>23</v>
      </c>
    </row>
    <row r="65" spans="1:5" x14ac:dyDescent="0.2">
      <c r="A65" s="42" t="s">
        <v>63</v>
      </c>
      <c r="B65" s="53">
        <v>0</v>
      </c>
      <c r="C65" s="53">
        <v>5</v>
      </c>
      <c r="D65" s="53">
        <v>101</v>
      </c>
      <c r="E65" s="53">
        <v>111</v>
      </c>
    </row>
    <row r="66" spans="1:5" x14ac:dyDescent="0.2">
      <c r="A66" s="42" t="s">
        <v>64</v>
      </c>
      <c r="B66" s="53">
        <v>1</v>
      </c>
      <c r="C66" s="53">
        <v>1</v>
      </c>
      <c r="D66" s="53">
        <v>29</v>
      </c>
      <c r="E66" s="53">
        <v>21</v>
      </c>
    </row>
    <row r="67" spans="1:5" x14ac:dyDescent="0.2">
      <c r="A67" s="42" t="s">
        <v>65</v>
      </c>
      <c r="B67" s="53">
        <v>4</v>
      </c>
      <c r="C67" s="53">
        <v>1</v>
      </c>
      <c r="D67" s="53">
        <v>163</v>
      </c>
      <c r="E67" s="53">
        <v>154</v>
      </c>
    </row>
    <row r="68" spans="1:5" x14ac:dyDescent="0.2">
      <c r="A68" s="42" t="s">
        <v>66</v>
      </c>
      <c r="B68" s="53">
        <v>1</v>
      </c>
      <c r="C68" s="53">
        <v>1</v>
      </c>
      <c r="D68" s="53">
        <v>21</v>
      </c>
      <c r="E68" s="53">
        <v>29</v>
      </c>
    </row>
    <row r="69" spans="1:5" x14ac:dyDescent="0.2">
      <c r="A69" s="42" t="s">
        <v>67</v>
      </c>
      <c r="B69" s="53">
        <v>15</v>
      </c>
      <c r="C69" s="53">
        <v>20</v>
      </c>
      <c r="D69" s="53">
        <v>432</v>
      </c>
      <c r="E69" s="53">
        <v>492</v>
      </c>
    </row>
    <row r="70" spans="1:5" x14ac:dyDescent="0.2">
      <c r="A70" s="39" t="s">
        <v>68</v>
      </c>
      <c r="B70" s="43">
        <f>SUM(B3:B69)</f>
        <v>377</v>
      </c>
      <c r="C70" s="43">
        <f>SUM(C3:C69)</f>
        <v>230</v>
      </c>
      <c r="D70" s="43">
        <f t="shared" ref="D70:E70" si="0">SUM(D3:D69)</f>
        <v>10753</v>
      </c>
      <c r="E70" s="43">
        <f t="shared" si="0"/>
        <v>8953</v>
      </c>
    </row>
    <row r="71" spans="1:5" x14ac:dyDescent="0.2">
      <c r="D71" s="89"/>
      <c r="E71" s="89"/>
    </row>
    <row r="72" spans="1:5" x14ac:dyDescent="0.2">
      <c r="B72" s="29"/>
      <c r="C72" s="29"/>
      <c r="D72" s="29"/>
      <c r="E72" s="29"/>
    </row>
    <row r="73" spans="1:5" x14ac:dyDescent="0.2">
      <c r="D73" s="89"/>
      <c r="E73" s="89"/>
    </row>
    <row r="74" spans="1:5" x14ac:dyDescent="0.2">
      <c r="D74" s="89"/>
      <c r="E74" s="89"/>
    </row>
    <row r="75" spans="1:5" x14ac:dyDescent="0.2">
      <c r="B75" s="29"/>
      <c r="D75" s="89"/>
      <c r="E75" s="89"/>
    </row>
    <row r="76" spans="1:5" x14ac:dyDescent="0.2">
      <c r="B76" s="29"/>
      <c r="D76" s="89"/>
      <c r="E76" s="89"/>
    </row>
    <row r="77" spans="1:5" x14ac:dyDescent="0.2">
      <c r="B77" s="29"/>
      <c r="D77" s="89"/>
      <c r="E77" s="89"/>
    </row>
    <row r="78" spans="1:5" x14ac:dyDescent="0.2">
      <c r="B78" s="29"/>
      <c r="D78" s="89"/>
      <c r="E78" s="89"/>
    </row>
    <row r="79" spans="1:5" x14ac:dyDescent="0.2">
      <c r="D79" s="89"/>
      <c r="E79" s="89"/>
    </row>
    <row r="80" spans="1:5" x14ac:dyDescent="0.2">
      <c r="D80" s="89"/>
      <c r="E80" s="89"/>
    </row>
    <row r="81" spans="4:5" x14ac:dyDescent="0.2">
      <c r="D81" s="89"/>
      <c r="E81" s="89"/>
    </row>
    <row r="82" spans="4:5" x14ac:dyDescent="0.2">
      <c r="D82" s="89"/>
      <c r="E82" s="89"/>
    </row>
    <row r="83" spans="4:5" x14ac:dyDescent="0.2">
      <c r="D83" s="89"/>
      <c r="E83" s="89"/>
    </row>
    <row r="84" spans="4:5" x14ac:dyDescent="0.2">
      <c r="D84" s="89"/>
      <c r="E84" s="89"/>
    </row>
    <row r="85" spans="4:5" x14ac:dyDescent="0.2">
      <c r="D85" s="89"/>
      <c r="E85" s="89"/>
    </row>
    <row r="86" spans="4:5" x14ac:dyDescent="0.2">
      <c r="D86" s="89"/>
      <c r="E86" s="89"/>
    </row>
    <row r="87" spans="4:5" x14ac:dyDescent="0.2">
      <c r="D87" s="89"/>
      <c r="E87" s="89"/>
    </row>
    <row r="88" spans="4:5" x14ac:dyDescent="0.2">
      <c r="D88" s="89"/>
      <c r="E88" s="89"/>
    </row>
    <row r="89" spans="4:5" x14ac:dyDescent="0.2">
      <c r="D89" s="89"/>
      <c r="E89" s="89"/>
    </row>
    <row r="90" spans="4:5" x14ac:dyDescent="0.2">
      <c r="D90" s="89"/>
      <c r="E90" s="89"/>
    </row>
    <row r="91" spans="4:5" x14ac:dyDescent="0.2">
      <c r="D91" s="89"/>
      <c r="E91" s="89"/>
    </row>
    <row r="92" spans="4:5" x14ac:dyDescent="0.2">
      <c r="D92" s="89"/>
      <c r="E92" s="89"/>
    </row>
    <row r="93" spans="4:5" x14ac:dyDescent="0.2">
      <c r="D93" s="89"/>
      <c r="E93" s="89"/>
    </row>
    <row r="94" spans="4:5" x14ac:dyDescent="0.2">
      <c r="D94" s="89"/>
      <c r="E94" s="89"/>
    </row>
    <row r="95" spans="4:5" x14ac:dyDescent="0.2">
      <c r="D95" s="89"/>
      <c r="E95" s="89"/>
    </row>
    <row r="96" spans="4:5" x14ac:dyDescent="0.2">
      <c r="D96" s="89"/>
      <c r="E96" s="89"/>
    </row>
    <row r="97" spans="4:5" x14ac:dyDescent="0.2">
      <c r="D97" s="89"/>
      <c r="E97" s="89"/>
    </row>
    <row r="98" spans="4:5" x14ac:dyDescent="0.2">
      <c r="D98" s="89"/>
      <c r="E98" s="89"/>
    </row>
    <row r="99" spans="4:5" x14ac:dyDescent="0.2">
      <c r="D99" s="89"/>
      <c r="E99" s="89"/>
    </row>
    <row r="100" spans="4:5" x14ac:dyDescent="0.2">
      <c r="D100" s="89"/>
      <c r="E100" s="89"/>
    </row>
    <row r="101" spans="4:5" x14ac:dyDescent="0.2">
      <c r="D101" s="89"/>
      <c r="E101" s="89"/>
    </row>
    <row r="102" spans="4:5" x14ac:dyDescent="0.2">
      <c r="D102" s="89"/>
      <c r="E102" s="89"/>
    </row>
    <row r="103" spans="4:5" x14ac:dyDescent="0.2">
      <c r="D103" s="89"/>
      <c r="E103" s="89"/>
    </row>
    <row r="104" spans="4:5" x14ac:dyDescent="0.2">
      <c r="D104" s="89"/>
      <c r="E104" s="89"/>
    </row>
    <row r="105" spans="4:5" x14ac:dyDescent="0.2">
      <c r="D105" s="89"/>
      <c r="E105" s="89"/>
    </row>
    <row r="106" spans="4:5" x14ac:dyDescent="0.2">
      <c r="D106" s="89"/>
      <c r="E106" s="89"/>
    </row>
    <row r="107" spans="4:5" x14ac:dyDescent="0.2">
      <c r="D107" s="89"/>
      <c r="E107" s="89"/>
    </row>
    <row r="108" spans="4:5" x14ac:dyDescent="0.2">
      <c r="D108" s="89"/>
      <c r="E108" s="89"/>
    </row>
    <row r="109" spans="4:5" x14ac:dyDescent="0.2">
      <c r="D109" s="89"/>
      <c r="E109" s="89"/>
    </row>
    <row r="110" spans="4:5" x14ac:dyDescent="0.2">
      <c r="D110" s="89"/>
      <c r="E110" s="89"/>
    </row>
    <row r="111" spans="4:5" x14ac:dyDescent="0.2">
      <c r="D111" s="89"/>
      <c r="E111" s="89"/>
    </row>
    <row r="112" spans="4:5" x14ac:dyDescent="0.2">
      <c r="D112" s="89"/>
      <c r="E112" s="89"/>
    </row>
    <row r="113" spans="4:5" x14ac:dyDescent="0.2">
      <c r="D113" s="89"/>
      <c r="E113" s="89"/>
    </row>
    <row r="114" spans="4:5" x14ac:dyDescent="0.2">
      <c r="D114" s="89"/>
      <c r="E114" s="89"/>
    </row>
    <row r="115" spans="4:5" x14ac:dyDescent="0.2">
      <c r="D115" s="89"/>
      <c r="E115" s="89"/>
    </row>
    <row r="116" spans="4:5" x14ac:dyDescent="0.2">
      <c r="D116" s="89"/>
      <c r="E116" s="89"/>
    </row>
    <row r="117" spans="4:5" x14ac:dyDescent="0.2">
      <c r="D117" s="89"/>
      <c r="E117" s="89"/>
    </row>
    <row r="118" spans="4:5" x14ac:dyDescent="0.2">
      <c r="D118" s="89"/>
      <c r="E118" s="89"/>
    </row>
    <row r="119" spans="4:5" x14ac:dyDescent="0.2">
      <c r="D119" s="89"/>
      <c r="E119" s="89"/>
    </row>
    <row r="120" spans="4:5" x14ac:dyDescent="0.2">
      <c r="D120" s="89"/>
      <c r="E120" s="89"/>
    </row>
    <row r="121" spans="4:5" x14ac:dyDescent="0.2">
      <c r="D121" s="89"/>
      <c r="E121" s="89"/>
    </row>
    <row r="122" spans="4:5" x14ac:dyDescent="0.2">
      <c r="D122" s="89"/>
      <c r="E122" s="89"/>
    </row>
    <row r="123" spans="4:5" x14ac:dyDescent="0.2">
      <c r="D123" s="89"/>
      <c r="E123" s="89"/>
    </row>
    <row r="124" spans="4:5" x14ac:dyDescent="0.2">
      <c r="D124" s="89"/>
      <c r="E124" s="89"/>
    </row>
    <row r="125" spans="4:5" x14ac:dyDescent="0.2">
      <c r="D125" s="89"/>
      <c r="E125" s="89"/>
    </row>
    <row r="126" spans="4:5" x14ac:dyDescent="0.2">
      <c r="D126" s="89"/>
      <c r="E126" s="89"/>
    </row>
    <row r="127" spans="4:5" x14ac:dyDescent="0.2">
      <c r="D127" s="89"/>
      <c r="E127" s="89"/>
    </row>
    <row r="128" spans="4:5" x14ac:dyDescent="0.2">
      <c r="D128" s="89"/>
      <c r="E128" s="89"/>
    </row>
    <row r="129" spans="4:5" x14ac:dyDescent="0.2">
      <c r="D129" s="89"/>
      <c r="E129" s="89"/>
    </row>
    <row r="130" spans="4:5" x14ac:dyDescent="0.2">
      <c r="D130" s="89"/>
      <c r="E130" s="89"/>
    </row>
    <row r="131" spans="4:5" x14ac:dyDescent="0.2">
      <c r="D131" s="89"/>
      <c r="E131" s="89"/>
    </row>
    <row r="132" spans="4:5" x14ac:dyDescent="0.2">
      <c r="D132" s="89"/>
      <c r="E132" s="89"/>
    </row>
    <row r="133" spans="4:5" x14ac:dyDescent="0.2">
      <c r="D133" s="89"/>
      <c r="E133" s="89"/>
    </row>
    <row r="134" spans="4:5" x14ac:dyDescent="0.2">
      <c r="D134" s="89"/>
      <c r="E134" s="89"/>
    </row>
    <row r="135" spans="4:5" x14ac:dyDescent="0.2">
      <c r="D135" s="89"/>
      <c r="E135" s="89"/>
    </row>
    <row r="136" spans="4:5" x14ac:dyDescent="0.2">
      <c r="D136" s="89"/>
      <c r="E136" s="89"/>
    </row>
    <row r="137" spans="4:5" x14ac:dyDescent="0.2">
      <c r="D137" s="94"/>
      <c r="E137" s="94"/>
    </row>
    <row r="138" spans="4:5" ht="15" x14ac:dyDescent="0.2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zoomScale="90" zoomScaleNormal="90" workbookViewId="0">
      <pane ySplit="2" topLeftCell="A3" activePane="bottomLeft" state="frozen"/>
      <selection pane="bottomLeft" activeCell="A2" sqref="A2"/>
    </sheetView>
  </sheetViews>
  <sheetFormatPr defaultColWidth="9.140625" defaultRowHeight="12.75" x14ac:dyDescent="0.2"/>
  <cols>
    <col min="1" max="1" width="19.140625" style="11" bestFit="1" customWidth="1"/>
    <col min="2" max="3" width="19.42578125" style="31" customWidth="1"/>
    <col min="4" max="5" width="19.140625" style="29" customWidth="1"/>
    <col min="6" max="6" width="18.140625" style="29" customWidth="1"/>
    <col min="7" max="7" width="17.710937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703125" style="30" customWidth="1"/>
    <col min="27" max="27" width="18" style="22" customWidth="1"/>
    <col min="28" max="28" width="21.28515625" style="29" customWidth="1"/>
    <col min="29" max="29" width="18" style="29" bestFit="1" customWidth="1"/>
    <col min="30" max="31" width="18.5703125" style="29" bestFit="1" customWidth="1"/>
    <col min="32" max="32" width="17.85546875" style="29" bestFit="1" customWidth="1"/>
    <col min="33" max="33" width="21" style="29" customWidth="1"/>
    <col min="34" max="34" width="27.28515625" style="29" customWidth="1"/>
    <col min="35" max="16384" width="9.140625" style="29"/>
  </cols>
  <sheetData>
    <row r="1" spans="1:34" x14ac:dyDescent="0.2">
      <c r="A1" s="47" t="s">
        <v>115</v>
      </c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">
      <c r="Z71" s="89"/>
      <c r="AA71" s="89"/>
    </row>
    <row r="72" spans="1:34" x14ac:dyDescent="0.2">
      <c r="Z72" s="29"/>
      <c r="AA72" s="29"/>
    </row>
    <row r="73" spans="1:34" x14ac:dyDescent="0.2">
      <c r="Z73" s="89"/>
      <c r="AA73" s="89"/>
    </row>
    <row r="74" spans="1:34" x14ac:dyDescent="0.2">
      <c r="Z74" s="89"/>
      <c r="AA74" s="89"/>
    </row>
    <row r="75" spans="1:34" x14ac:dyDescent="0.2">
      <c r="Z75" s="89"/>
      <c r="AA75" s="89"/>
    </row>
    <row r="76" spans="1:34" x14ac:dyDescent="0.2">
      <c r="Z76" s="89"/>
      <c r="AA76" s="89"/>
    </row>
    <row r="77" spans="1:34" x14ac:dyDescent="0.2">
      <c r="Z77" s="89"/>
      <c r="AA77" s="89"/>
    </row>
    <row r="78" spans="1:34" x14ac:dyDescent="0.2">
      <c r="Z78" s="89"/>
      <c r="AA78" s="89"/>
    </row>
    <row r="79" spans="1:34" x14ac:dyDescent="0.2">
      <c r="Z79" s="89"/>
      <c r="AA79" s="89"/>
    </row>
    <row r="80" spans="1:34" x14ac:dyDescent="0.2">
      <c r="Z80" s="89"/>
      <c r="AA80" s="89"/>
    </row>
    <row r="81" spans="26:27" x14ac:dyDescent="0.2">
      <c r="Z81" s="89"/>
      <c r="AA81" s="89"/>
    </row>
    <row r="82" spans="26:27" x14ac:dyDescent="0.2">
      <c r="Z82" s="89"/>
      <c r="AA82" s="89"/>
    </row>
    <row r="83" spans="26:27" x14ac:dyDescent="0.2">
      <c r="Z83" s="89"/>
      <c r="AA83" s="89"/>
    </row>
    <row r="84" spans="26:27" x14ac:dyDescent="0.2">
      <c r="Z84" s="89"/>
      <c r="AA84" s="89"/>
    </row>
    <row r="85" spans="26:27" x14ac:dyDescent="0.2">
      <c r="Z85" s="89"/>
      <c r="AA85" s="89"/>
    </row>
    <row r="86" spans="26:27" x14ac:dyDescent="0.2">
      <c r="Z86" s="89"/>
      <c r="AA86" s="89"/>
    </row>
    <row r="87" spans="26:27" x14ac:dyDescent="0.2">
      <c r="Z87" s="89"/>
      <c r="AA87" s="89"/>
    </row>
    <row r="88" spans="26:27" x14ac:dyDescent="0.2">
      <c r="Z88" s="89"/>
      <c r="AA88" s="89"/>
    </row>
    <row r="89" spans="26:27" x14ac:dyDescent="0.2">
      <c r="Z89" s="89"/>
      <c r="AA89" s="89"/>
    </row>
    <row r="90" spans="26:27" x14ac:dyDescent="0.2">
      <c r="Z90" s="89"/>
      <c r="AA90" s="89"/>
    </row>
    <row r="91" spans="26:27" x14ac:dyDescent="0.2">
      <c r="Z91" s="89"/>
      <c r="AA91" s="89"/>
    </row>
    <row r="92" spans="26:27" x14ac:dyDescent="0.2">
      <c r="Z92" s="89"/>
      <c r="AA92" s="89"/>
    </row>
    <row r="93" spans="26:27" x14ac:dyDescent="0.2">
      <c r="Z93" s="89"/>
      <c r="AA93" s="89"/>
    </row>
    <row r="94" spans="26:27" x14ac:dyDescent="0.2">
      <c r="Z94" s="89"/>
      <c r="AA94" s="89"/>
    </row>
    <row r="95" spans="26:27" x14ac:dyDescent="0.2">
      <c r="Z95" s="89"/>
      <c r="AA95" s="89"/>
    </row>
    <row r="96" spans="26:27" x14ac:dyDescent="0.2">
      <c r="Z96" s="89"/>
      <c r="AA96" s="89"/>
    </row>
    <row r="97" spans="26:27" x14ac:dyDescent="0.2">
      <c r="Z97" s="89"/>
      <c r="AA97" s="89"/>
    </row>
    <row r="98" spans="26:27" x14ac:dyDescent="0.2">
      <c r="Z98" s="89"/>
      <c r="AA98" s="89"/>
    </row>
    <row r="99" spans="26:27" x14ac:dyDescent="0.2">
      <c r="Z99" s="89"/>
      <c r="AA99" s="89"/>
    </row>
    <row r="100" spans="26:27" x14ac:dyDescent="0.2">
      <c r="Z100" s="89"/>
      <c r="AA100" s="89"/>
    </row>
    <row r="101" spans="26:27" x14ac:dyDescent="0.2">
      <c r="Z101" s="89"/>
      <c r="AA101" s="89"/>
    </row>
    <row r="102" spans="26:27" x14ac:dyDescent="0.2">
      <c r="Z102" s="89"/>
      <c r="AA102" s="89"/>
    </row>
    <row r="103" spans="26:27" x14ac:dyDescent="0.2">
      <c r="Z103" s="89"/>
      <c r="AA103" s="89"/>
    </row>
    <row r="104" spans="26:27" x14ac:dyDescent="0.2">
      <c r="Z104" s="89"/>
      <c r="AA104" s="89"/>
    </row>
    <row r="105" spans="26:27" x14ac:dyDescent="0.2">
      <c r="Z105" s="89"/>
      <c r="AA105" s="89"/>
    </row>
    <row r="106" spans="26:27" x14ac:dyDescent="0.2">
      <c r="Z106" s="89"/>
      <c r="AA106" s="89"/>
    </row>
    <row r="107" spans="26:27" x14ac:dyDescent="0.2">
      <c r="Z107" s="89"/>
      <c r="AA107" s="89"/>
    </row>
    <row r="108" spans="26:27" x14ac:dyDescent="0.2">
      <c r="Z108" s="89"/>
      <c r="AA108" s="89"/>
    </row>
    <row r="109" spans="26:27" x14ac:dyDescent="0.2">
      <c r="Z109" s="89"/>
      <c r="AA109" s="89"/>
    </row>
    <row r="110" spans="26:27" x14ac:dyDescent="0.2">
      <c r="Z110" s="89"/>
      <c r="AA110" s="89"/>
    </row>
    <row r="111" spans="26:27" x14ac:dyDescent="0.2">
      <c r="Z111" s="89"/>
      <c r="AA111" s="89"/>
    </row>
    <row r="112" spans="26:27" x14ac:dyDescent="0.2">
      <c r="Z112" s="89"/>
      <c r="AA112" s="89"/>
    </row>
    <row r="113" spans="26:27" x14ac:dyDescent="0.2">
      <c r="Z113" s="89"/>
      <c r="AA113" s="89"/>
    </row>
    <row r="114" spans="26:27" x14ac:dyDescent="0.2">
      <c r="Z114" s="89"/>
      <c r="AA114" s="89"/>
    </row>
    <row r="115" spans="26:27" x14ac:dyDescent="0.2">
      <c r="Z115" s="89"/>
      <c r="AA115" s="89"/>
    </row>
    <row r="116" spans="26:27" x14ac:dyDescent="0.2">
      <c r="Z116" s="89"/>
      <c r="AA116" s="89"/>
    </row>
    <row r="117" spans="26:27" x14ac:dyDescent="0.2">
      <c r="Z117" s="89"/>
      <c r="AA117" s="89"/>
    </row>
    <row r="118" spans="26:27" x14ac:dyDescent="0.2">
      <c r="Z118" s="89"/>
      <c r="AA118" s="89"/>
    </row>
    <row r="119" spans="26:27" x14ac:dyDescent="0.2">
      <c r="Z119" s="89"/>
      <c r="AA119" s="89"/>
    </row>
    <row r="120" spans="26:27" x14ac:dyDescent="0.2">
      <c r="Z120" s="89"/>
      <c r="AA120" s="89"/>
    </row>
    <row r="121" spans="26:27" x14ac:dyDescent="0.2">
      <c r="Z121" s="89"/>
      <c r="AA121" s="89"/>
    </row>
    <row r="122" spans="26:27" x14ac:dyDescent="0.2">
      <c r="Z122" s="89"/>
      <c r="AA122" s="89"/>
    </row>
    <row r="123" spans="26:27" x14ac:dyDescent="0.2">
      <c r="Z123" s="89"/>
      <c r="AA123" s="89"/>
    </row>
    <row r="124" spans="26:27" x14ac:dyDescent="0.2">
      <c r="Z124" s="89"/>
      <c r="AA124" s="89"/>
    </row>
    <row r="125" spans="26:27" x14ac:dyDescent="0.2">
      <c r="Z125" s="89"/>
      <c r="AA125" s="89"/>
    </row>
    <row r="126" spans="26:27" x14ac:dyDescent="0.2">
      <c r="Z126" s="89"/>
      <c r="AA126" s="89"/>
    </row>
    <row r="127" spans="26:27" x14ac:dyDescent="0.2">
      <c r="Z127" s="89"/>
      <c r="AA127" s="89"/>
    </row>
    <row r="128" spans="26:27" x14ac:dyDescent="0.2">
      <c r="Z128" s="89"/>
      <c r="AA128" s="89"/>
    </row>
    <row r="129" spans="26:27" x14ac:dyDescent="0.2">
      <c r="Z129" s="89"/>
      <c r="AA129" s="89"/>
    </row>
    <row r="130" spans="26:27" x14ac:dyDescent="0.2">
      <c r="Z130" s="89"/>
      <c r="AA130" s="89"/>
    </row>
    <row r="131" spans="26:27" x14ac:dyDescent="0.2">
      <c r="Z131" s="89"/>
      <c r="AA131" s="89"/>
    </row>
    <row r="132" spans="26:27" x14ac:dyDescent="0.2">
      <c r="Z132" s="89"/>
      <c r="AA132" s="89"/>
    </row>
    <row r="133" spans="26:27" x14ac:dyDescent="0.2">
      <c r="Z133" s="89"/>
      <c r="AA133" s="89"/>
    </row>
    <row r="134" spans="26:27" x14ac:dyDescent="0.2">
      <c r="Z134" s="89"/>
      <c r="AA134" s="89"/>
    </row>
    <row r="135" spans="26:27" x14ac:dyDescent="0.2">
      <c r="Z135" s="89"/>
      <c r="AA135" s="89"/>
    </row>
    <row r="136" spans="26:27" x14ac:dyDescent="0.2">
      <c r="Z136" s="89"/>
      <c r="AA136" s="89"/>
    </row>
    <row r="137" spans="26:27" x14ac:dyDescent="0.2">
      <c r="Z137" s="94"/>
      <c r="AA137" s="94"/>
    </row>
    <row r="138" spans="26:27" ht="15" x14ac:dyDescent="0.2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9.140625" defaultRowHeight="12.75" x14ac:dyDescent="0.2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8" x14ac:dyDescent="0.2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">
      <c r="A2" s="11" t="s">
        <v>133</v>
      </c>
      <c r="B2" s="11">
        <v>6420</v>
      </c>
      <c r="C2" s="11">
        <v>10568</v>
      </c>
      <c r="D2" s="11">
        <v>10820</v>
      </c>
      <c r="E2" s="11">
        <v>10020</v>
      </c>
      <c r="F2" s="11">
        <v>13698</v>
      </c>
      <c r="G2" s="11">
        <v>13920</v>
      </c>
      <c r="H2" s="11">
        <v>10784</v>
      </c>
    </row>
    <row r="3" spans="1:8" x14ac:dyDescent="0.2">
      <c r="A3" s="11" t="s">
        <v>2</v>
      </c>
      <c r="B3" s="11">
        <v>81021</v>
      </c>
      <c r="C3" s="11">
        <v>171435</v>
      </c>
      <c r="D3" s="11">
        <v>161031</v>
      </c>
      <c r="E3" s="11">
        <v>122464</v>
      </c>
      <c r="F3" s="11">
        <v>132621</v>
      </c>
      <c r="G3" s="11">
        <v>139477</v>
      </c>
      <c r="H3" s="11">
        <v>107402</v>
      </c>
    </row>
    <row r="4" spans="1:8" x14ac:dyDescent="0.2">
      <c r="A4" s="11" t="s">
        <v>3</v>
      </c>
      <c r="B4" s="11">
        <v>3143</v>
      </c>
      <c r="C4" s="11">
        <v>5647</v>
      </c>
      <c r="D4" s="11">
        <v>6159</v>
      </c>
      <c r="E4" s="11">
        <v>6396</v>
      </c>
      <c r="F4" s="11">
        <v>7765</v>
      </c>
      <c r="G4" s="11">
        <v>8190</v>
      </c>
      <c r="H4" s="11">
        <v>6275</v>
      </c>
    </row>
    <row r="5" spans="1:8" x14ac:dyDescent="0.2">
      <c r="A5" s="11" t="s">
        <v>4</v>
      </c>
      <c r="B5" s="11">
        <v>7768</v>
      </c>
      <c r="C5" s="11">
        <v>16113</v>
      </c>
      <c r="D5" s="11">
        <v>17862</v>
      </c>
      <c r="E5" s="11">
        <v>16262</v>
      </c>
      <c r="F5" s="11">
        <v>19713</v>
      </c>
      <c r="G5" s="11">
        <v>20926</v>
      </c>
      <c r="H5" s="11">
        <v>15556</v>
      </c>
    </row>
    <row r="6" spans="1:8" x14ac:dyDescent="0.2">
      <c r="A6" s="11" t="s">
        <v>5</v>
      </c>
      <c r="B6" s="11">
        <v>2281</v>
      </c>
      <c r="C6" s="11">
        <v>4292</v>
      </c>
      <c r="D6" s="11">
        <v>4410</v>
      </c>
      <c r="E6" s="11">
        <v>4822</v>
      </c>
      <c r="F6" s="11">
        <v>6039</v>
      </c>
      <c r="G6" s="11">
        <v>6344</v>
      </c>
      <c r="H6" s="11">
        <v>4838</v>
      </c>
    </row>
    <row r="7" spans="1:8" x14ac:dyDescent="0.2">
      <c r="A7" s="11" t="s">
        <v>6</v>
      </c>
      <c r="B7" s="11">
        <v>23549</v>
      </c>
      <c r="C7" s="11">
        <v>41705</v>
      </c>
      <c r="D7" s="11">
        <v>43825</v>
      </c>
      <c r="E7" s="11">
        <v>40540</v>
      </c>
      <c r="F7" s="11">
        <v>47817</v>
      </c>
      <c r="G7" s="11">
        <v>42631</v>
      </c>
      <c r="H7" s="11">
        <v>33285</v>
      </c>
    </row>
    <row r="8" spans="1:8" x14ac:dyDescent="0.2">
      <c r="A8" s="11" t="s">
        <v>7</v>
      </c>
      <c r="B8" s="11">
        <v>6381</v>
      </c>
      <c r="C8" s="11">
        <v>11242</v>
      </c>
      <c r="D8" s="11">
        <v>12269</v>
      </c>
      <c r="E8" s="11">
        <v>12235</v>
      </c>
      <c r="F8" s="11">
        <v>13672</v>
      </c>
      <c r="G8" s="11">
        <v>13941</v>
      </c>
      <c r="H8" s="11">
        <v>11790</v>
      </c>
    </row>
    <row r="9" spans="1:8" x14ac:dyDescent="0.2">
      <c r="A9" s="11" t="s">
        <v>8</v>
      </c>
      <c r="B9" s="11">
        <v>2922</v>
      </c>
      <c r="C9" s="11">
        <v>5265</v>
      </c>
      <c r="D9" s="11">
        <v>5723</v>
      </c>
      <c r="E9" s="11">
        <v>5422</v>
      </c>
      <c r="F9" s="11">
        <v>6993</v>
      </c>
      <c r="G9" s="11">
        <v>6869</v>
      </c>
      <c r="H9" s="11">
        <v>5582</v>
      </c>
    </row>
    <row r="10" spans="1:8" x14ac:dyDescent="0.2">
      <c r="A10" s="11" t="s">
        <v>9</v>
      </c>
      <c r="B10" s="11">
        <v>40125</v>
      </c>
      <c r="C10" s="11">
        <v>68027</v>
      </c>
      <c r="D10" s="11">
        <v>73713</v>
      </c>
      <c r="E10" s="11">
        <v>71077</v>
      </c>
      <c r="F10" s="11">
        <v>87233</v>
      </c>
      <c r="G10" s="11">
        <v>81824</v>
      </c>
      <c r="H10" s="11">
        <v>61695</v>
      </c>
    </row>
    <row r="11" spans="1:8" x14ac:dyDescent="0.2">
      <c r="A11" s="11" t="s">
        <v>10</v>
      </c>
      <c r="B11" s="11">
        <v>11353</v>
      </c>
      <c r="C11" s="11">
        <v>20301</v>
      </c>
      <c r="D11" s="11">
        <v>22530</v>
      </c>
      <c r="E11" s="11">
        <v>20756</v>
      </c>
      <c r="F11" s="11">
        <v>25181</v>
      </c>
      <c r="G11" s="11">
        <v>24464</v>
      </c>
      <c r="H11" s="11">
        <v>18578</v>
      </c>
    </row>
    <row r="12" spans="1:8" x14ac:dyDescent="0.2">
      <c r="A12" s="11" t="s">
        <v>11</v>
      </c>
      <c r="B12" s="11">
        <v>6499</v>
      </c>
      <c r="C12" s="11">
        <v>11152</v>
      </c>
      <c r="D12" s="11">
        <v>12020</v>
      </c>
      <c r="E12" s="11">
        <v>12671</v>
      </c>
      <c r="F12" s="11">
        <v>14559</v>
      </c>
      <c r="G12" s="11">
        <v>16427</v>
      </c>
      <c r="H12" s="11">
        <v>12629</v>
      </c>
    </row>
    <row r="13" spans="1:8" x14ac:dyDescent="0.2">
      <c r="A13" s="11" t="s">
        <v>12</v>
      </c>
      <c r="B13" s="11">
        <v>150</v>
      </c>
      <c r="C13" s="11">
        <v>287</v>
      </c>
      <c r="D13" s="11">
        <v>363</v>
      </c>
      <c r="E13" s="11">
        <v>357</v>
      </c>
      <c r="F13" s="11">
        <v>544</v>
      </c>
      <c r="G13" s="11">
        <v>647</v>
      </c>
      <c r="H13" s="11">
        <v>529</v>
      </c>
    </row>
    <row r="14" spans="1:8" x14ac:dyDescent="0.2">
      <c r="A14" s="11" t="s">
        <v>13</v>
      </c>
      <c r="B14" s="11">
        <v>3182</v>
      </c>
      <c r="C14" s="11">
        <v>6163</v>
      </c>
      <c r="D14" s="11">
        <v>6756</v>
      </c>
      <c r="E14" s="11">
        <v>6823</v>
      </c>
      <c r="F14" s="11">
        <v>8657</v>
      </c>
      <c r="G14" s="11">
        <v>8243</v>
      </c>
      <c r="H14" s="11">
        <v>5741</v>
      </c>
    </row>
    <row r="15" spans="1:8" x14ac:dyDescent="0.2">
      <c r="A15" s="11" t="s">
        <v>14</v>
      </c>
      <c r="B15" s="11">
        <v>18203</v>
      </c>
      <c r="C15" s="11">
        <v>19071</v>
      </c>
      <c r="D15" s="11">
        <v>13744</v>
      </c>
      <c r="E15" s="11">
        <v>12263</v>
      </c>
      <c r="F15" s="11">
        <v>13962</v>
      </c>
      <c r="G15" s="11">
        <v>13474</v>
      </c>
      <c r="H15" s="11">
        <v>11331</v>
      </c>
    </row>
    <row r="16" spans="1:8" x14ac:dyDescent="0.2">
      <c r="A16" s="11" t="s">
        <v>15</v>
      </c>
      <c r="B16" s="11">
        <v>37682</v>
      </c>
      <c r="C16" s="11">
        <v>60253</v>
      </c>
      <c r="D16" s="11">
        <v>60070</v>
      </c>
      <c r="E16" s="11">
        <v>58826</v>
      </c>
      <c r="F16" s="11">
        <v>66886</v>
      </c>
      <c r="G16" s="11">
        <v>59444</v>
      </c>
      <c r="H16" s="11">
        <v>45583</v>
      </c>
    </row>
    <row r="17" spans="1:8" x14ac:dyDescent="0.2">
      <c r="A17" s="11" t="s">
        <v>16</v>
      </c>
      <c r="B17" s="11">
        <v>1751</v>
      </c>
      <c r="C17" s="11">
        <v>3070</v>
      </c>
      <c r="D17" s="11">
        <v>3274</v>
      </c>
      <c r="E17" s="11">
        <v>3405</v>
      </c>
      <c r="F17" s="11">
        <v>4204</v>
      </c>
      <c r="G17" s="11">
        <v>4313</v>
      </c>
      <c r="H17" s="11">
        <v>3342</v>
      </c>
    </row>
    <row r="18" spans="1:8" x14ac:dyDescent="0.2">
      <c r="A18" s="11" t="s">
        <v>17</v>
      </c>
      <c r="B18" s="11">
        <v>3401</v>
      </c>
      <c r="C18" s="11">
        <v>6455</v>
      </c>
      <c r="D18" s="11">
        <v>7078</v>
      </c>
      <c r="E18" s="11">
        <v>7515</v>
      </c>
      <c r="F18" s="11">
        <v>9174</v>
      </c>
      <c r="G18" s="11">
        <v>8979</v>
      </c>
      <c r="H18" s="11">
        <v>6969</v>
      </c>
    </row>
    <row r="19" spans="1:8" x14ac:dyDescent="0.2">
      <c r="A19" s="11" t="s">
        <v>18</v>
      </c>
      <c r="B19" s="11">
        <v>1753</v>
      </c>
      <c r="C19" s="11">
        <v>3274</v>
      </c>
      <c r="D19" s="11">
        <v>3292</v>
      </c>
      <c r="E19" s="11">
        <v>3356</v>
      </c>
      <c r="F19" s="11">
        <v>3828</v>
      </c>
      <c r="G19" s="11">
        <v>3956</v>
      </c>
      <c r="H19" s="11">
        <v>3060</v>
      </c>
    </row>
    <row r="20" spans="1:8" x14ac:dyDescent="0.2">
      <c r="A20" s="11" t="s">
        <v>19</v>
      </c>
      <c r="B20" s="11">
        <v>3898</v>
      </c>
      <c r="C20" s="11">
        <v>5903</v>
      </c>
      <c r="D20" s="11">
        <v>5875</v>
      </c>
      <c r="E20" s="11">
        <v>5782</v>
      </c>
      <c r="F20" s="11">
        <v>6792</v>
      </c>
      <c r="G20" s="11">
        <v>6916</v>
      </c>
      <c r="H20" s="11">
        <v>5420</v>
      </c>
    </row>
    <row r="21" spans="1:8" x14ac:dyDescent="0.2">
      <c r="A21" s="11" t="s">
        <v>20</v>
      </c>
      <c r="B21" s="11">
        <v>4060</v>
      </c>
      <c r="C21" s="11">
        <v>6983</v>
      </c>
      <c r="D21" s="11">
        <v>7464</v>
      </c>
      <c r="E21" s="11">
        <v>7375</v>
      </c>
      <c r="F21" s="11">
        <v>9368</v>
      </c>
      <c r="G21" s="11">
        <v>9766</v>
      </c>
      <c r="H21" s="11">
        <v>8043</v>
      </c>
    </row>
    <row r="22" spans="1:8" x14ac:dyDescent="0.2">
      <c r="A22" s="11" t="s">
        <v>21</v>
      </c>
      <c r="B22" s="11">
        <v>16129</v>
      </c>
      <c r="C22" s="11">
        <v>27829</v>
      </c>
      <c r="D22" s="11">
        <v>30141</v>
      </c>
      <c r="E22" s="11">
        <v>27141</v>
      </c>
      <c r="F22" s="11">
        <v>29284</v>
      </c>
      <c r="G22" s="11">
        <v>28128</v>
      </c>
      <c r="H22" s="11">
        <v>24066</v>
      </c>
    </row>
    <row r="23" spans="1:8" x14ac:dyDescent="0.2">
      <c r="A23" s="11" t="s">
        <v>22</v>
      </c>
      <c r="B23" s="11">
        <v>16837</v>
      </c>
      <c r="C23" s="11">
        <v>34410</v>
      </c>
      <c r="D23" s="11">
        <v>34288</v>
      </c>
      <c r="E23" s="11">
        <v>29883</v>
      </c>
      <c r="F23" s="11">
        <v>32529</v>
      </c>
      <c r="G23" s="11">
        <v>30188</v>
      </c>
      <c r="H23" s="11">
        <v>21424</v>
      </c>
    </row>
    <row r="24" spans="1:8" x14ac:dyDescent="0.2">
      <c r="A24" s="11" t="s">
        <v>23</v>
      </c>
      <c r="B24" s="11">
        <v>38399</v>
      </c>
      <c r="C24" s="11">
        <v>66417</v>
      </c>
      <c r="D24" s="11">
        <v>72127</v>
      </c>
      <c r="E24" s="11">
        <v>60749</v>
      </c>
      <c r="F24" s="11">
        <v>65559</v>
      </c>
      <c r="G24" s="11">
        <v>61757</v>
      </c>
      <c r="H24" s="11">
        <v>45143</v>
      </c>
    </row>
    <row r="25" spans="1:8" x14ac:dyDescent="0.2">
      <c r="A25" s="11" t="s">
        <v>24</v>
      </c>
      <c r="B25" s="11">
        <v>1495</v>
      </c>
      <c r="C25" s="11">
        <v>2554</v>
      </c>
      <c r="D25" s="11">
        <v>2740</v>
      </c>
      <c r="E25" s="11">
        <v>2849</v>
      </c>
      <c r="F25" s="11">
        <v>3919</v>
      </c>
      <c r="G25" s="11">
        <v>3953</v>
      </c>
      <c r="H25" s="11">
        <v>2967</v>
      </c>
    </row>
    <row r="26" spans="1:8" x14ac:dyDescent="0.2">
      <c r="A26" s="11" t="s">
        <v>25</v>
      </c>
      <c r="B26" s="11">
        <v>14921</v>
      </c>
      <c r="C26" s="11">
        <v>27092</v>
      </c>
      <c r="D26" s="11">
        <v>27168</v>
      </c>
      <c r="E26" s="11">
        <v>25225</v>
      </c>
      <c r="F26" s="11">
        <v>28810</v>
      </c>
      <c r="G26" s="11">
        <v>29578</v>
      </c>
      <c r="H26" s="11">
        <v>22196</v>
      </c>
    </row>
    <row r="27" spans="1:8" x14ac:dyDescent="0.2">
      <c r="A27" s="11" t="s">
        <v>26</v>
      </c>
      <c r="B27" s="11">
        <v>5205</v>
      </c>
      <c r="C27" s="11">
        <v>10761</v>
      </c>
      <c r="D27" s="11">
        <v>11630</v>
      </c>
      <c r="E27" s="11">
        <v>12074</v>
      </c>
      <c r="F27" s="11">
        <v>14138</v>
      </c>
      <c r="G27" s="11">
        <v>14639</v>
      </c>
      <c r="H27" s="11">
        <v>11124</v>
      </c>
    </row>
    <row r="28" spans="1:8" x14ac:dyDescent="0.2">
      <c r="A28" s="11" t="s">
        <v>27</v>
      </c>
      <c r="B28" s="11">
        <v>150</v>
      </c>
      <c r="C28" s="11">
        <v>238</v>
      </c>
      <c r="D28" s="11">
        <v>286</v>
      </c>
      <c r="E28" s="11">
        <v>394</v>
      </c>
      <c r="F28" s="11">
        <v>661</v>
      </c>
      <c r="G28" s="11">
        <v>838</v>
      </c>
      <c r="H28" s="11">
        <v>628</v>
      </c>
    </row>
    <row r="29" spans="1:8" x14ac:dyDescent="0.2">
      <c r="A29" s="11" t="s">
        <v>28</v>
      </c>
      <c r="B29" s="11">
        <v>8353</v>
      </c>
      <c r="C29" s="11">
        <v>15326</v>
      </c>
      <c r="D29" s="11">
        <v>15978</v>
      </c>
      <c r="E29" s="11">
        <v>15753</v>
      </c>
      <c r="F29" s="11">
        <v>18037</v>
      </c>
      <c r="G29" s="11">
        <v>16886</v>
      </c>
      <c r="H29" s="11">
        <v>14610</v>
      </c>
    </row>
    <row r="30" spans="1:8" x14ac:dyDescent="0.2">
      <c r="A30" s="11" t="s">
        <v>29</v>
      </c>
      <c r="B30" s="11">
        <v>739</v>
      </c>
      <c r="C30" s="11">
        <v>1363</v>
      </c>
      <c r="D30" s="11">
        <v>1398</v>
      </c>
      <c r="E30" s="11">
        <v>1537</v>
      </c>
      <c r="F30" s="11">
        <v>1887</v>
      </c>
      <c r="G30" s="11">
        <v>1753</v>
      </c>
      <c r="H30" s="11">
        <v>1442</v>
      </c>
    </row>
    <row r="31" spans="1:8" x14ac:dyDescent="0.2">
      <c r="A31" s="11" t="s">
        <v>30</v>
      </c>
      <c r="B31" s="11">
        <v>1542</v>
      </c>
      <c r="C31" s="11">
        <v>2983</v>
      </c>
      <c r="D31" s="11">
        <v>3064</v>
      </c>
      <c r="E31" s="11">
        <v>3414</v>
      </c>
      <c r="F31" s="11">
        <v>3793</v>
      </c>
      <c r="G31" s="11">
        <v>3994</v>
      </c>
      <c r="H31" s="11">
        <v>2970</v>
      </c>
    </row>
    <row r="32" spans="1:8" x14ac:dyDescent="0.2">
      <c r="A32" s="11" t="s">
        <v>31</v>
      </c>
      <c r="B32" s="11">
        <v>2379</v>
      </c>
      <c r="C32" s="11">
        <v>3717</v>
      </c>
      <c r="D32" s="11">
        <v>3660</v>
      </c>
      <c r="E32" s="11">
        <v>3989</v>
      </c>
      <c r="F32" s="11">
        <v>4982</v>
      </c>
      <c r="G32" s="11">
        <v>5056</v>
      </c>
      <c r="H32" s="11">
        <v>4180</v>
      </c>
    </row>
    <row r="33" spans="1:8" x14ac:dyDescent="0.2">
      <c r="A33" s="11" t="s">
        <v>32</v>
      </c>
      <c r="B33" s="11">
        <v>4615</v>
      </c>
      <c r="C33" s="11">
        <v>6598</v>
      </c>
      <c r="D33" s="11">
        <v>6759</v>
      </c>
      <c r="E33" s="11">
        <v>6919</v>
      </c>
      <c r="F33" s="11">
        <v>8362</v>
      </c>
      <c r="G33" s="11">
        <v>9021</v>
      </c>
      <c r="H33" s="11">
        <v>6903</v>
      </c>
    </row>
    <row r="34" spans="1:8" x14ac:dyDescent="0.2">
      <c r="A34" s="11" t="s">
        <v>33</v>
      </c>
      <c r="B34" s="11">
        <v>2160</v>
      </c>
      <c r="C34" s="11">
        <v>3570</v>
      </c>
      <c r="D34" s="11">
        <v>4138</v>
      </c>
      <c r="E34" s="11">
        <v>4072</v>
      </c>
      <c r="F34" s="11">
        <v>4941</v>
      </c>
      <c r="G34" s="11">
        <v>5273</v>
      </c>
      <c r="H34" s="11">
        <v>3946</v>
      </c>
    </row>
    <row r="35" spans="1:8" x14ac:dyDescent="0.2">
      <c r="A35" s="11" t="s">
        <v>34</v>
      </c>
      <c r="B35" s="11">
        <v>985</v>
      </c>
      <c r="C35" s="11">
        <v>1750</v>
      </c>
      <c r="D35" s="11">
        <v>2001</v>
      </c>
      <c r="E35" s="11">
        <v>2100</v>
      </c>
      <c r="F35" s="11">
        <v>2622</v>
      </c>
      <c r="G35" s="11">
        <v>2552</v>
      </c>
      <c r="H35" s="11">
        <v>2063</v>
      </c>
    </row>
    <row r="36" spans="1:8" x14ac:dyDescent="0.2">
      <c r="A36" s="11" t="s">
        <v>35</v>
      </c>
      <c r="B36" s="11">
        <v>12071</v>
      </c>
      <c r="C36" s="11">
        <v>22644</v>
      </c>
      <c r="D36" s="11">
        <v>23987</v>
      </c>
      <c r="E36" s="11">
        <v>21603</v>
      </c>
      <c r="F36" s="11">
        <v>24997</v>
      </c>
      <c r="G36" s="11">
        <v>24095</v>
      </c>
      <c r="H36" s="11">
        <v>19566</v>
      </c>
    </row>
    <row r="37" spans="1:8" x14ac:dyDescent="0.2">
      <c r="A37" s="11" t="s">
        <v>36</v>
      </c>
      <c r="B37" s="11">
        <v>30947</v>
      </c>
      <c r="C37" s="11">
        <v>58598</v>
      </c>
      <c r="D37" s="11">
        <v>59151</v>
      </c>
      <c r="E37" s="11">
        <v>50781</v>
      </c>
      <c r="F37" s="11">
        <v>56951</v>
      </c>
      <c r="G37" s="11">
        <v>57233</v>
      </c>
      <c r="H37" s="11">
        <v>49079</v>
      </c>
    </row>
    <row r="38" spans="1:8" x14ac:dyDescent="0.2">
      <c r="A38" s="11" t="s">
        <v>37</v>
      </c>
      <c r="B38" s="11">
        <v>4370</v>
      </c>
      <c r="C38" s="11">
        <v>7847</v>
      </c>
      <c r="D38" s="11">
        <v>8333</v>
      </c>
      <c r="E38" s="11">
        <v>8301</v>
      </c>
      <c r="F38" s="11">
        <v>9795</v>
      </c>
      <c r="G38" s="11">
        <v>10404</v>
      </c>
      <c r="H38" s="11">
        <v>8293</v>
      </c>
    </row>
    <row r="39" spans="1:8" x14ac:dyDescent="0.2">
      <c r="A39" s="11" t="s">
        <v>38</v>
      </c>
      <c r="B39" s="11">
        <v>7309</v>
      </c>
      <c r="C39" s="11">
        <v>13034</v>
      </c>
      <c r="D39" s="11">
        <v>14415</v>
      </c>
      <c r="E39" s="11">
        <v>14066</v>
      </c>
      <c r="F39" s="11">
        <v>15963</v>
      </c>
      <c r="G39" s="11">
        <v>15603</v>
      </c>
      <c r="H39" s="11">
        <v>13342</v>
      </c>
    </row>
    <row r="40" spans="1:8" x14ac:dyDescent="0.2">
      <c r="A40" s="11" t="s">
        <v>39</v>
      </c>
      <c r="B40" s="11">
        <v>21681</v>
      </c>
      <c r="C40" s="11">
        <v>41569</v>
      </c>
      <c r="D40" s="11">
        <v>42225</v>
      </c>
      <c r="E40" s="11">
        <v>38495</v>
      </c>
      <c r="F40" s="11">
        <v>41404</v>
      </c>
      <c r="G40" s="11">
        <v>38182</v>
      </c>
      <c r="H40" s="11">
        <v>29501</v>
      </c>
    </row>
    <row r="41" spans="1:8" x14ac:dyDescent="0.2">
      <c r="A41" s="11" t="s">
        <v>40</v>
      </c>
      <c r="B41" s="11">
        <v>15878</v>
      </c>
      <c r="C41" s="11">
        <v>30558</v>
      </c>
      <c r="D41" s="11">
        <v>32867</v>
      </c>
      <c r="E41" s="11">
        <v>30608</v>
      </c>
      <c r="F41" s="11">
        <v>35930</v>
      </c>
      <c r="G41" s="11">
        <v>33344</v>
      </c>
      <c r="H41" s="11">
        <v>27055</v>
      </c>
    </row>
    <row r="42" spans="1:8" x14ac:dyDescent="0.2">
      <c r="A42" s="11" t="s">
        <v>41</v>
      </c>
      <c r="B42" s="11">
        <v>5589</v>
      </c>
      <c r="C42" s="11">
        <v>9982</v>
      </c>
      <c r="D42" s="11">
        <v>11436</v>
      </c>
      <c r="E42" s="11">
        <v>10443</v>
      </c>
      <c r="F42" s="11">
        <v>12229</v>
      </c>
      <c r="G42" s="11">
        <v>12955</v>
      </c>
      <c r="H42" s="11">
        <v>9900</v>
      </c>
    </row>
    <row r="43" spans="1:8" x14ac:dyDescent="0.2">
      <c r="A43" s="11" t="s">
        <v>91</v>
      </c>
      <c r="B43" s="11">
        <v>1838</v>
      </c>
      <c r="C43" s="11">
        <v>3260</v>
      </c>
      <c r="D43" s="11">
        <v>3624</v>
      </c>
      <c r="E43" s="11">
        <v>3768</v>
      </c>
      <c r="F43" s="11">
        <v>4556</v>
      </c>
      <c r="G43" s="11">
        <v>4627</v>
      </c>
      <c r="H43" s="11">
        <v>3500</v>
      </c>
    </row>
    <row r="44" spans="1:8" x14ac:dyDescent="0.2">
      <c r="A44" s="11" t="s">
        <v>43</v>
      </c>
      <c r="B44" s="11">
        <v>5617</v>
      </c>
      <c r="C44" s="11">
        <v>9824</v>
      </c>
      <c r="D44" s="11">
        <v>9943</v>
      </c>
      <c r="E44" s="11">
        <v>9884</v>
      </c>
      <c r="F44" s="11">
        <v>12391</v>
      </c>
      <c r="G44" s="11">
        <v>13465</v>
      </c>
      <c r="H44" s="11">
        <v>10745</v>
      </c>
    </row>
    <row r="45" spans="1:8" x14ac:dyDescent="0.2">
      <c r="A45" s="11" t="s">
        <v>44</v>
      </c>
      <c r="B45" s="11">
        <v>1782</v>
      </c>
      <c r="C45" s="11">
        <v>3666</v>
      </c>
      <c r="D45" s="11">
        <v>3838</v>
      </c>
      <c r="E45" s="11">
        <v>3937</v>
      </c>
      <c r="F45" s="11">
        <v>5031</v>
      </c>
      <c r="G45" s="11">
        <v>4729</v>
      </c>
      <c r="H45" s="11">
        <v>4124</v>
      </c>
    </row>
    <row r="46" spans="1:8" x14ac:dyDescent="0.2">
      <c r="A46" s="11" t="s">
        <v>45</v>
      </c>
      <c r="B46" s="11">
        <v>9680</v>
      </c>
      <c r="C46" s="11">
        <v>17389</v>
      </c>
      <c r="D46" s="11">
        <v>17598</v>
      </c>
      <c r="E46" s="11">
        <v>17365</v>
      </c>
      <c r="F46" s="11">
        <v>22598</v>
      </c>
      <c r="G46" s="11">
        <v>20024</v>
      </c>
      <c r="H46" s="11">
        <v>12178</v>
      </c>
    </row>
    <row r="47" spans="1:8" x14ac:dyDescent="0.2">
      <c r="A47" s="11" t="s">
        <v>46</v>
      </c>
      <c r="B47" s="11">
        <v>54335</v>
      </c>
      <c r="C47" s="11">
        <v>96380</v>
      </c>
      <c r="D47" s="11">
        <v>104560</v>
      </c>
      <c r="E47" s="11">
        <v>93337</v>
      </c>
      <c r="F47" s="11">
        <v>101989</v>
      </c>
      <c r="G47" s="11">
        <v>94749</v>
      </c>
      <c r="H47" s="11">
        <v>76566</v>
      </c>
    </row>
    <row r="48" spans="1:8" x14ac:dyDescent="0.2">
      <c r="A48" s="11" t="s">
        <v>47</v>
      </c>
      <c r="B48" s="11">
        <v>841</v>
      </c>
      <c r="C48" s="11">
        <v>1850</v>
      </c>
      <c r="D48" s="11">
        <v>1999</v>
      </c>
      <c r="E48" s="11">
        <v>1628</v>
      </c>
      <c r="F48" s="11">
        <v>2004</v>
      </c>
      <c r="G48" s="11">
        <v>2151</v>
      </c>
      <c r="H48" s="11">
        <v>1835</v>
      </c>
    </row>
    <row r="49" spans="1:8" x14ac:dyDescent="0.2">
      <c r="A49" s="11" t="s">
        <v>48</v>
      </c>
      <c r="B49" s="11">
        <v>22788</v>
      </c>
      <c r="C49" s="11">
        <v>36518</v>
      </c>
      <c r="D49" s="11">
        <v>35537</v>
      </c>
      <c r="E49" s="11">
        <v>33052</v>
      </c>
      <c r="F49" s="11">
        <v>38533</v>
      </c>
      <c r="G49" s="11">
        <v>36147</v>
      </c>
      <c r="H49" s="11">
        <v>28623</v>
      </c>
    </row>
    <row r="50" spans="1:8" x14ac:dyDescent="0.2">
      <c r="A50" s="11" t="s">
        <v>49</v>
      </c>
      <c r="B50" s="11">
        <v>3716</v>
      </c>
      <c r="C50" s="11">
        <v>7162</v>
      </c>
      <c r="D50" s="11">
        <v>8541</v>
      </c>
      <c r="E50" s="11">
        <v>8214</v>
      </c>
      <c r="F50" s="11">
        <v>9720</v>
      </c>
      <c r="G50" s="11">
        <v>10029</v>
      </c>
      <c r="H50" s="11">
        <v>7901</v>
      </c>
    </row>
    <row r="51" spans="1:8" x14ac:dyDescent="0.2">
      <c r="A51" s="11" t="s">
        <v>50</v>
      </c>
      <c r="B51" s="11">
        <v>2367</v>
      </c>
      <c r="C51" s="11">
        <v>4312</v>
      </c>
      <c r="D51" s="11">
        <v>4824</v>
      </c>
      <c r="E51" s="11">
        <v>4769</v>
      </c>
      <c r="F51" s="11">
        <v>5838</v>
      </c>
      <c r="G51" s="11">
        <v>5350</v>
      </c>
      <c r="H51" s="11">
        <v>3717</v>
      </c>
    </row>
    <row r="52" spans="1:8" x14ac:dyDescent="0.2">
      <c r="A52" s="11" t="s">
        <v>51</v>
      </c>
      <c r="B52" s="11">
        <v>99915</v>
      </c>
      <c r="C52" s="11">
        <v>257645</v>
      </c>
      <c r="D52" s="11">
        <v>218694</v>
      </c>
      <c r="E52" s="11">
        <v>142904</v>
      </c>
      <c r="F52" s="11">
        <v>144897</v>
      </c>
      <c r="G52" s="11">
        <v>126177</v>
      </c>
      <c r="H52" s="11">
        <v>90456</v>
      </c>
    </row>
    <row r="53" spans="1:8" x14ac:dyDescent="0.2">
      <c r="A53" s="11" t="s">
        <v>52</v>
      </c>
      <c r="B53" s="11">
        <v>3173</v>
      </c>
      <c r="C53" s="11">
        <v>5908</v>
      </c>
      <c r="D53" s="11">
        <v>6433</v>
      </c>
      <c r="E53" s="11">
        <v>6593</v>
      </c>
      <c r="F53" s="11">
        <v>9564</v>
      </c>
      <c r="G53" s="11">
        <v>9096</v>
      </c>
      <c r="H53" s="11">
        <v>6234</v>
      </c>
    </row>
    <row r="54" spans="1:8" x14ac:dyDescent="0.2">
      <c r="A54" s="11" t="s">
        <v>53</v>
      </c>
      <c r="B54" s="11">
        <v>758</v>
      </c>
      <c r="C54" s="11">
        <v>1293</v>
      </c>
      <c r="D54" s="11">
        <v>1460</v>
      </c>
      <c r="E54" s="11">
        <v>1502</v>
      </c>
      <c r="F54" s="11">
        <v>2062</v>
      </c>
      <c r="G54" s="11">
        <v>2210</v>
      </c>
      <c r="H54" s="11">
        <v>1755</v>
      </c>
    </row>
    <row r="55" spans="1:8" x14ac:dyDescent="0.2">
      <c r="A55" s="11" t="s">
        <v>54</v>
      </c>
      <c r="B55" s="11">
        <v>6940</v>
      </c>
      <c r="C55" s="11">
        <v>12426</v>
      </c>
      <c r="D55" s="11">
        <v>13807</v>
      </c>
      <c r="E55" s="11">
        <v>14227</v>
      </c>
      <c r="F55" s="11">
        <v>16668</v>
      </c>
      <c r="G55" s="11">
        <v>16085</v>
      </c>
      <c r="H55" s="11">
        <v>12105</v>
      </c>
    </row>
    <row r="56" spans="1:8" x14ac:dyDescent="0.2">
      <c r="A56" s="11" t="s">
        <v>55</v>
      </c>
      <c r="B56" s="11">
        <v>2303</v>
      </c>
      <c r="C56" s="11">
        <v>3192</v>
      </c>
      <c r="D56" s="11">
        <v>3465</v>
      </c>
      <c r="E56" s="11">
        <v>3440</v>
      </c>
      <c r="F56" s="11">
        <v>4154</v>
      </c>
      <c r="G56" s="11">
        <v>3970</v>
      </c>
      <c r="H56" s="11">
        <v>3334</v>
      </c>
    </row>
    <row r="57" spans="1:8" x14ac:dyDescent="0.2">
      <c r="A57" s="11" t="s">
        <v>56</v>
      </c>
      <c r="B57" s="11">
        <v>3351</v>
      </c>
      <c r="C57" s="11">
        <v>5976</v>
      </c>
      <c r="D57" s="11">
        <v>6729</v>
      </c>
      <c r="E57" s="11">
        <v>7076</v>
      </c>
      <c r="F57" s="11">
        <v>8600</v>
      </c>
      <c r="G57" s="11">
        <v>9351</v>
      </c>
      <c r="H57" s="11">
        <v>7399</v>
      </c>
    </row>
    <row r="58" spans="1:8" x14ac:dyDescent="0.2">
      <c r="A58" s="11" t="s">
        <v>57</v>
      </c>
      <c r="B58" s="11">
        <v>232</v>
      </c>
      <c r="C58" s="11">
        <v>418</v>
      </c>
      <c r="D58" s="11">
        <v>571</v>
      </c>
      <c r="E58" s="11">
        <v>554</v>
      </c>
      <c r="F58" s="11">
        <v>805</v>
      </c>
      <c r="G58" s="11">
        <v>1069</v>
      </c>
      <c r="H58" s="11">
        <v>789</v>
      </c>
    </row>
    <row r="59" spans="1:8" x14ac:dyDescent="0.2">
      <c r="A59" s="11" t="s">
        <v>58</v>
      </c>
      <c r="B59" s="11">
        <v>1928</v>
      </c>
      <c r="C59" s="11">
        <v>3643</v>
      </c>
      <c r="D59" s="11">
        <v>3980</v>
      </c>
      <c r="E59" s="11">
        <v>3692</v>
      </c>
      <c r="F59" s="11">
        <v>5124</v>
      </c>
      <c r="G59" s="11">
        <v>5340</v>
      </c>
      <c r="H59" s="11">
        <v>4206</v>
      </c>
    </row>
    <row r="60" spans="1:8" x14ac:dyDescent="0.2">
      <c r="A60" s="11" t="s">
        <v>59</v>
      </c>
      <c r="B60" s="11">
        <v>1904</v>
      </c>
      <c r="C60" s="11">
        <v>3264</v>
      </c>
      <c r="D60" s="11">
        <v>3915</v>
      </c>
      <c r="E60" s="11">
        <v>3715</v>
      </c>
      <c r="F60" s="11">
        <v>4777</v>
      </c>
      <c r="G60" s="11">
        <v>5055</v>
      </c>
      <c r="H60" s="11">
        <v>4123</v>
      </c>
    </row>
    <row r="61" spans="1:8" x14ac:dyDescent="0.2">
      <c r="A61" s="11" t="s">
        <v>60</v>
      </c>
      <c r="B61" s="11">
        <v>3744</v>
      </c>
      <c r="C61" s="11">
        <v>3984</v>
      </c>
      <c r="D61" s="11">
        <v>3613</v>
      </c>
      <c r="E61" s="11">
        <v>3460</v>
      </c>
      <c r="F61" s="11">
        <v>4013</v>
      </c>
      <c r="G61" s="11">
        <v>3869</v>
      </c>
      <c r="H61" s="11">
        <v>3681</v>
      </c>
    </row>
    <row r="62" spans="1:8" x14ac:dyDescent="0.2">
      <c r="A62" s="11" t="s">
        <v>61</v>
      </c>
      <c r="B62" s="11">
        <v>2234</v>
      </c>
      <c r="C62" s="11">
        <v>3949</v>
      </c>
      <c r="D62" s="11">
        <v>4637</v>
      </c>
      <c r="E62" s="11">
        <v>4764</v>
      </c>
      <c r="F62" s="11">
        <v>5740</v>
      </c>
      <c r="G62" s="11">
        <v>6604</v>
      </c>
      <c r="H62" s="11">
        <v>4878</v>
      </c>
    </row>
    <row r="63" spans="1:8" x14ac:dyDescent="0.2">
      <c r="A63" s="11" t="s">
        <v>62</v>
      </c>
      <c r="B63" s="11">
        <v>1778</v>
      </c>
      <c r="C63" s="11">
        <v>3053</v>
      </c>
      <c r="D63" s="11">
        <v>3599</v>
      </c>
      <c r="E63" s="11">
        <v>3520</v>
      </c>
      <c r="F63" s="11">
        <v>4699</v>
      </c>
      <c r="G63" s="11">
        <v>5021</v>
      </c>
      <c r="H63" s="11">
        <v>3761</v>
      </c>
    </row>
    <row r="64" spans="1:8" x14ac:dyDescent="0.2">
      <c r="A64" s="11" t="s">
        <v>63</v>
      </c>
      <c r="B64" s="11">
        <v>10675</v>
      </c>
      <c r="C64" s="11">
        <v>19739</v>
      </c>
      <c r="D64" s="11">
        <v>22542</v>
      </c>
      <c r="E64" s="11">
        <v>21386</v>
      </c>
      <c r="F64" s="11">
        <v>25190</v>
      </c>
      <c r="G64" s="11">
        <v>26106</v>
      </c>
      <c r="H64" s="11">
        <v>19874</v>
      </c>
    </row>
    <row r="65" spans="1:8" x14ac:dyDescent="0.2">
      <c r="A65" s="11" t="s">
        <v>64</v>
      </c>
      <c r="B65" s="11">
        <v>2261</v>
      </c>
      <c r="C65" s="11">
        <v>4501</v>
      </c>
      <c r="D65" s="11">
        <v>5029</v>
      </c>
      <c r="E65" s="11">
        <v>4879</v>
      </c>
      <c r="F65" s="11">
        <v>6924</v>
      </c>
      <c r="G65" s="11">
        <v>7357</v>
      </c>
      <c r="H65" s="11">
        <v>5551</v>
      </c>
    </row>
    <row r="66" spans="1:8" x14ac:dyDescent="0.2">
      <c r="A66" s="11" t="s">
        <v>65</v>
      </c>
      <c r="B66" s="11">
        <v>17817</v>
      </c>
      <c r="C66" s="11">
        <v>32967</v>
      </c>
      <c r="D66" s="11">
        <v>36276</v>
      </c>
      <c r="E66" s="11">
        <v>35257</v>
      </c>
      <c r="F66" s="11">
        <v>44305</v>
      </c>
      <c r="G66" s="11">
        <v>46527</v>
      </c>
      <c r="H66" s="11">
        <v>37510</v>
      </c>
    </row>
    <row r="67" spans="1:8" x14ac:dyDescent="0.2">
      <c r="A67" s="11" t="s">
        <v>66</v>
      </c>
      <c r="B67" s="11">
        <v>1375</v>
      </c>
      <c r="C67" s="11">
        <v>2482</v>
      </c>
      <c r="D67" s="11">
        <v>2714</v>
      </c>
      <c r="E67" s="11">
        <v>2697</v>
      </c>
      <c r="F67" s="11">
        <v>3247</v>
      </c>
      <c r="G67" s="11">
        <v>3348</v>
      </c>
      <c r="H67" s="11">
        <v>2595</v>
      </c>
    </row>
    <row r="68" spans="1:8" ht="13.5" thickBot="1" x14ac:dyDescent="0.25">
      <c r="A68" s="13" t="s">
        <v>67</v>
      </c>
      <c r="B68" s="13">
        <v>26754</v>
      </c>
      <c r="C68" s="13">
        <v>49954</v>
      </c>
      <c r="D68" s="13">
        <v>54254</v>
      </c>
      <c r="E68" s="13">
        <v>50053</v>
      </c>
      <c r="F68" s="13">
        <v>57028</v>
      </c>
      <c r="G68" s="13">
        <v>50156</v>
      </c>
      <c r="H68" s="13">
        <v>37599</v>
      </c>
    </row>
    <row r="69" spans="1:8" x14ac:dyDescent="0.2">
      <c r="A69" s="32" t="s">
        <v>68</v>
      </c>
      <c r="B69" s="32">
        <f>SUM(B2:B68)</f>
        <v>767402</v>
      </c>
      <c r="C69" s="32">
        <f t="shared" ref="C69:G69" si="0">SUM(C2:C68)</f>
        <v>1460801</v>
      </c>
      <c r="D69" s="32">
        <f t="shared" si="0"/>
        <v>1468252</v>
      </c>
      <c r="E69" s="32">
        <f t="shared" si="0"/>
        <v>1284436</v>
      </c>
      <c r="F69" s="32">
        <f t="shared" si="0"/>
        <v>1465956</v>
      </c>
      <c r="G69" s="32">
        <f t="shared" si="0"/>
        <v>1414795</v>
      </c>
      <c r="H69" s="32">
        <f>SUM(H2:H68)</f>
        <v>1093869</v>
      </c>
    </row>
    <row r="70" spans="1:8" x14ac:dyDescent="0.2">
      <c r="B70" s="17">
        <f t="shared" ref="B70:H70" si="1">B69/$B$72</f>
        <v>8.5690475953856787E-2</v>
      </c>
      <c r="C70" s="17">
        <f>C69/$B$72</f>
        <v>0.16311754851286542</v>
      </c>
      <c r="D70" s="17">
        <f>D69/$B$72</f>
        <v>0.16394955017083893</v>
      </c>
      <c r="E70" s="17">
        <f t="shared" si="1"/>
        <v>0.14342408825135719</v>
      </c>
      <c r="F70" s="17">
        <f t="shared" si="1"/>
        <v>0.16369317172409256</v>
      </c>
      <c r="G70" s="17">
        <f t="shared" si="1"/>
        <v>0.15798037655249378</v>
      </c>
      <c r="H70" s="17">
        <f t="shared" si="1"/>
        <v>0.12214478883449532</v>
      </c>
    </row>
    <row r="72" spans="1:8" x14ac:dyDescent="0.2">
      <c r="A72" s="32" t="s">
        <v>80</v>
      </c>
      <c r="B72" s="16">
        <f>SUM(B69:H69)</f>
        <v>8955511</v>
      </c>
      <c r="C72" s="14"/>
    </row>
    <row r="81" spans="2:7" x14ac:dyDescent="0.2">
      <c r="G81" s="11"/>
    </row>
    <row r="82" spans="2:7" x14ac:dyDescent="0.2">
      <c r="G82" s="11"/>
    </row>
    <row r="83" spans="2:7" x14ac:dyDescent="0.2">
      <c r="E83" s="11"/>
      <c r="G83" s="11"/>
    </row>
    <row r="84" spans="2:7" x14ac:dyDescent="0.2">
      <c r="B84" s="11"/>
      <c r="E84" s="11"/>
      <c r="G84" s="11"/>
    </row>
    <row r="85" spans="2:7" x14ac:dyDescent="0.2">
      <c r="E85" s="11"/>
      <c r="G85" s="11"/>
    </row>
    <row r="86" spans="2:7" x14ac:dyDescent="0.2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ColWidth="9.140625" defaultRowHeight="12.75" x14ac:dyDescent="0.2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9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11" t="s">
        <v>132</v>
      </c>
      <c r="B2" s="10" t="s">
        <v>0</v>
      </c>
      <c r="C2" s="11">
        <v>1996</v>
      </c>
      <c r="D2" s="11">
        <v>2740</v>
      </c>
      <c r="E2" s="11">
        <v>2335</v>
      </c>
      <c r="F2" s="11">
        <v>2105</v>
      </c>
      <c r="G2" s="11">
        <v>2659</v>
      </c>
      <c r="H2" s="11">
        <v>3795</v>
      </c>
      <c r="I2" s="11">
        <v>3478</v>
      </c>
    </row>
    <row r="3" spans="1:9" x14ac:dyDescent="0.2">
      <c r="A3" s="11" t="s">
        <v>2</v>
      </c>
      <c r="B3" s="10" t="s">
        <v>0</v>
      </c>
      <c r="C3" s="11">
        <v>42180</v>
      </c>
      <c r="D3" s="11">
        <v>94209</v>
      </c>
      <c r="E3" s="11">
        <v>88983</v>
      </c>
      <c r="F3" s="11">
        <v>63753</v>
      </c>
      <c r="G3" s="11">
        <v>68008</v>
      </c>
      <c r="H3" s="11">
        <v>80320</v>
      </c>
      <c r="I3" s="11">
        <v>64976</v>
      </c>
    </row>
    <row r="4" spans="1:9" x14ac:dyDescent="0.2">
      <c r="A4" s="11" t="s">
        <v>3</v>
      </c>
      <c r="B4" s="10" t="s">
        <v>0</v>
      </c>
      <c r="C4" s="11">
        <v>607</v>
      </c>
      <c r="D4" s="11">
        <v>1092</v>
      </c>
      <c r="E4" s="11">
        <v>1207</v>
      </c>
      <c r="F4" s="11">
        <v>1269</v>
      </c>
      <c r="G4" s="11">
        <v>1788</v>
      </c>
      <c r="H4" s="11">
        <v>2566</v>
      </c>
      <c r="I4" s="11">
        <v>2169</v>
      </c>
    </row>
    <row r="5" spans="1:9" x14ac:dyDescent="0.2">
      <c r="A5" s="11" t="s">
        <v>4</v>
      </c>
      <c r="B5" s="10" t="s">
        <v>0</v>
      </c>
      <c r="C5" s="11">
        <v>2576</v>
      </c>
      <c r="D5" s="11">
        <v>5665</v>
      </c>
      <c r="E5" s="11">
        <v>6429</v>
      </c>
      <c r="F5" s="11">
        <v>5909</v>
      </c>
      <c r="G5" s="11">
        <v>7408</v>
      </c>
      <c r="H5" s="11">
        <v>9860</v>
      </c>
      <c r="I5" s="11">
        <v>7995</v>
      </c>
    </row>
    <row r="6" spans="1:9" x14ac:dyDescent="0.2">
      <c r="A6" s="11" t="s">
        <v>5</v>
      </c>
      <c r="B6" s="10" t="s">
        <v>0</v>
      </c>
      <c r="C6" s="11">
        <v>306</v>
      </c>
      <c r="D6" s="11">
        <v>529</v>
      </c>
      <c r="E6" s="11">
        <v>568</v>
      </c>
      <c r="F6" s="11">
        <v>634</v>
      </c>
      <c r="G6" s="11">
        <v>862</v>
      </c>
      <c r="H6" s="11">
        <v>1200</v>
      </c>
      <c r="I6" s="11">
        <v>1184</v>
      </c>
    </row>
    <row r="7" spans="1:9" x14ac:dyDescent="0.2">
      <c r="A7" s="11" t="s">
        <v>6</v>
      </c>
      <c r="B7" s="10" t="s">
        <v>0</v>
      </c>
      <c r="C7" s="11">
        <v>8573</v>
      </c>
      <c r="D7" s="11">
        <v>15755</v>
      </c>
      <c r="E7" s="11">
        <v>16335</v>
      </c>
      <c r="F7" s="11">
        <v>14893</v>
      </c>
      <c r="G7" s="11">
        <v>16954</v>
      </c>
      <c r="H7" s="11">
        <v>17294</v>
      </c>
      <c r="I7" s="11">
        <v>14368</v>
      </c>
    </row>
    <row r="8" spans="1:9" x14ac:dyDescent="0.2">
      <c r="A8" s="11" t="s">
        <v>7</v>
      </c>
      <c r="B8" s="10" t="s">
        <v>0</v>
      </c>
      <c r="C8" s="11">
        <v>1551</v>
      </c>
      <c r="D8" s="11">
        <v>3014</v>
      </c>
      <c r="E8" s="11">
        <v>3109</v>
      </c>
      <c r="F8" s="11">
        <v>2573</v>
      </c>
      <c r="G8" s="11">
        <v>2744</v>
      </c>
      <c r="H8" s="11">
        <v>3541</v>
      </c>
      <c r="I8" s="11">
        <v>3216</v>
      </c>
    </row>
    <row r="9" spans="1:9" x14ac:dyDescent="0.2">
      <c r="A9" s="11" t="s">
        <v>8</v>
      </c>
      <c r="B9" s="10" t="s">
        <v>0</v>
      </c>
      <c r="C9" s="11">
        <v>494</v>
      </c>
      <c r="D9" s="11">
        <v>1054</v>
      </c>
      <c r="E9" s="11">
        <v>1066</v>
      </c>
      <c r="F9" s="11">
        <v>893</v>
      </c>
      <c r="G9" s="11">
        <v>1199</v>
      </c>
      <c r="H9" s="11">
        <v>1612</v>
      </c>
      <c r="I9" s="11">
        <v>1481</v>
      </c>
    </row>
    <row r="10" spans="1:9" x14ac:dyDescent="0.2">
      <c r="A10" s="11" t="s">
        <v>9</v>
      </c>
      <c r="B10" s="10" t="s">
        <v>0</v>
      </c>
      <c r="C10" s="11">
        <v>15819</v>
      </c>
      <c r="D10" s="11">
        <v>28090</v>
      </c>
      <c r="E10" s="11">
        <v>30175</v>
      </c>
      <c r="F10" s="11">
        <v>27029</v>
      </c>
      <c r="G10" s="11">
        <v>31346</v>
      </c>
      <c r="H10" s="11">
        <v>34540</v>
      </c>
      <c r="I10" s="11">
        <v>26700</v>
      </c>
    </row>
    <row r="11" spans="1:9" x14ac:dyDescent="0.2">
      <c r="A11" s="11" t="s">
        <v>10</v>
      </c>
      <c r="B11" s="10" t="s">
        <v>0</v>
      </c>
      <c r="C11" s="11">
        <v>2982</v>
      </c>
      <c r="D11" s="11">
        <v>5246</v>
      </c>
      <c r="E11" s="11">
        <v>5922</v>
      </c>
      <c r="F11" s="11">
        <v>4988</v>
      </c>
      <c r="G11" s="11">
        <v>5802</v>
      </c>
      <c r="H11" s="11">
        <v>7556</v>
      </c>
      <c r="I11" s="11">
        <v>6542</v>
      </c>
    </row>
    <row r="12" spans="1:9" x14ac:dyDescent="0.2">
      <c r="A12" s="11" t="s">
        <v>11</v>
      </c>
      <c r="B12" s="10" t="s">
        <v>0</v>
      </c>
      <c r="C12" s="11">
        <v>1768</v>
      </c>
      <c r="D12" s="11">
        <v>3357</v>
      </c>
      <c r="E12" s="11">
        <v>3668</v>
      </c>
      <c r="F12" s="11">
        <v>3717</v>
      </c>
      <c r="G12" s="11">
        <v>4707</v>
      </c>
      <c r="H12" s="11">
        <v>6683</v>
      </c>
      <c r="I12" s="11">
        <v>5616</v>
      </c>
    </row>
    <row r="13" spans="1:9" x14ac:dyDescent="0.2">
      <c r="A13" s="11" t="s">
        <v>12</v>
      </c>
      <c r="B13" s="10" t="s">
        <v>0</v>
      </c>
      <c r="C13" s="11">
        <v>32</v>
      </c>
      <c r="D13" s="11">
        <v>69</v>
      </c>
      <c r="E13" s="11">
        <v>76</v>
      </c>
      <c r="F13" s="11">
        <v>63</v>
      </c>
      <c r="G13" s="11">
        <v>114</v>
      </c>
      <c r="H13" s="11">
        <v>168</v>
      </c>
      <c r="I13" s="11">
        <v>144</v>
      </c>
    </row>
    <row r="14" spans="1:9" x14ac:dyDescent="0.2">
      <c r="A14" s="11" t="s">
        <v>13</v>
      </c>
      <c r="B14" s="10" t="s">
        <v>0</v>
      </c>
      <c r="C14" s="11">
        <v>873</v>
      </c>
      <c r="D14" s="11">
        <v>1780</v>
      </c>
      <c r="E14" s="11">
        <v>1923</v>
      </c>
      <c r="F14" s="11">
        <v>1926</v>
      </c>
      <c r="G14" s="11">
        <v>2462</v>
      </c>
      <c r="H14" s="11">
        <v>2860</v>
      </c>
      <c r="I14" s="11">
        <v>2243</v>
      </c>
    </row>
    <row r="15" spans="1:9" x14ac:dyDescent="0.2">
      <c r="A15" s="11" t="s">
        <v>14</v>
      </c>
      <c r="B15" s="10" t="s">
        <v>0</v>
      </c>
      <c r="C15" s="11">
        <v>8009</v>
      </c>
      <c r="D15" s="11">
        <v>8941</v>
      </c>
      <c r="E15" s="11">
        <v>5681</v>
      </c>
      <c r="F15" s="11">
        <v>4590</v>
      </c>
      <c r="G15" s="11">
        <v>4517</v>
      </c>
      <c r="H15" s="11">
        <v>5089</v>
      </c>
      <c r="I15" s="11">
        <v>4634</v>
      </c>
    </row>
    <row r="16" spans="1:9" x14ac:dyDescent="0.2">
      <c r="A16" s="11" t="s">
        <v>15</v>
      </c>
      <c r="B16" s="10" t="s">
        <v>0</v>
      </c>
      <c r="C16" s="11">
        <v>16870</v>
      </c>
      <c r="D16" s="11">
        <v>27036</v>
      </c>
      <c r="E16" s="11">
        <v>26317</v>
      </c>
      <c r="F16" s="11">
        <v>23267</v>
      </c>
      <c r="G16" s="11">
        <v>24141</v>
      </c>
      <c r="H16" s="11">
        <v>24348</v>
      </c>
      <c r="I16" s="11">
        <v>18460</v>
      </c>
    </row>
    <row r="17" spans="1:9" x14ac:dyDescent="0.2">
      <c r="A17" s="11" t="s">
        <v>16</v>
      </c>
      <c r="B17" s="10" t="s">
        <v>0</v>
      </c>
      <c r="C17" s="11">
        <v>324</v>
      </c>
      <c r="D17" s="11">
        <v>621</v>
      </c>
      <c r="E17" s="11">
        <v>612</v>
      </c>
      <c r="F17" s="11">
        <v>576</v>
      </c>
      <c r="G17" s="11">
        <v>740</v>
      </c>
      <c r="H17" s="11">
        <v>1162</v>
      </c>
      <c r="I17" s="11">
        <v>1035</v>
      </c>
    </row>
    <row r="18" spans="1:9" x14ac:dyDescent="0.2">
      <c r="A18" s="11" t="s">
        <v>17</v>
      </c>
      <c r="B18" s="10" t="s">
        <v>0</v>
      </c>
      <c r="C18" s="11">
        <v>693</v>
      </c>
      <c r="D18" s="11">
        <v>1368</v>
      </c>
      <c r="E18" s="11">
        <v>1462</v>
      </c>
      <c r="F18" s="11">
        <v>1532</v>
      </c>
      <c r="G18" s="11">
        <v>1975</v>
      </c>
      <c r="H18" s="11">
        <v>2580</v>
      </c>
      <c r="I18" s="11">
        <v>2456</v>
      </c>
    </row>
    <row r="19" spans="1:9" x14ac:dyDescent="0.2">
      <c r="A19" s="11" t="s">
        <v>18</v>
      </c>
      <c r="B19" s="10" t="s">
        <v>0</v>
      </c>
      <c r="C19" s="11">
        <v>386</v>
      </c>
      <c r="D19" s="11">
        <v>845</v>
      </c>
      <c r="E19" s="11">
        <v>771</v>
      </c>
      <c r="F19" s="11">
        <v>756</v>
      </c>
      <c r="G19" s="11">
        <v>908</v>
      </c>
      <c r="H19" s="11">
        <v>1299</v>
      </c>
      <c r="I19" s="11">
        <v>1099</v>
      </c>
    </row>
    <row r="20" spans="1:9" x14ac:dyDescent="0.2">
      <c r="A20" s="11" t="s">
        <v>19</v>
      </c>
      <c r="B20" s="10" t="s">
        <v>0</v>
      </c>
      <c r="C20" s="11">
        <v>1253</v>
      </c>
      <c r="D20" s="11">
        <v>1716</v>
      </c>
      <c r="E20" s="11">
        <v>1665</v>
      </c>
      <c r="F20" s="11">
        <v>1467</v>
      </c>
      <c r="G20" s="11">
        <v>1641</v>
      </c>
      <c r="H20" s="11">
        <v>2179</v>
      </c>
      <c r="I20" s="11">
        <v>1895</v>
      </c>
    </row>
    <row r="21" spans="1:9" x14ac:dyDescent="0.2">
      <c r="A21" s="11" t="s">
        <v>20</v>
      </c>
      <c r="B21" s="10" t="s">
        <v>0</v>
      </c>
      <c r="C21" s="11">
        <v>1081</v>
      </c>
      <c r="D21" s="11">
        <v>1802</v>
      </c>
      <c r="E21" s="11">
        <v>1772</v>
      </c>
      <c r="F21" s="11">
        <v>1727</v>
      </c>
      <c r="G21" s="11">
        <v>2192</v>
      </c>
      <c r="H21" s="11">
        <v>3054</v>
      </c>
      <c r="I21" s="11">
        <v>2833</v>
      </c>
    </row>
    <row r="22" spans="1:9" x14ac:dyDescent="0.2">
      <c r="A22" s="11" t="s">
        <v>21</v>
      </c>
      <c r="B22" s="10" t="s">
        <v>0</v>
      </c>
      <c r="C22" s="11">
        <v>6277</v>
      </c>
      <c r="D22" s="11">
        <v>10214</v>
      </c>
      <c r="E22" s="11">
        <v>10839</v>
      </c>
      <c r="F22" s="11">
        <v>8589</v>
      </c>
      <c r="G22" s="11">
        <v>8024</v>
      </c>
      <c r="H22" s="11">
        <v>9057</v>
      </c>
      <c r="I22" s="11">
        <v>8197</v>
      </c>
    </row>
    <row r="23" spans="1:9" x14ac:dyDescent="0.2">
      <c r="A23" s="11" t="s">
        <v>22</v>
      </c>
      <c r="B23" s="10" t="s">
        <v>0</v>
      </c>
      <c r="C23" s="11">
        <v>7234</v>
      </c>
      <c r="D23" s="11">
        <v>15452</v>
      </c>
      <c r="E23" s="11">
        <v>15093</v>
      </c>
      <c r="F23" s="11">
        <v>12770</v>
      </c>
      <c r="G23" s="11">
        <v>13036</v>
      </c>
      <c r="H23" s="11">
        <v>13070</v>
      </c>
      <c r="I23" s="11">
        <v>8968</v>
      </c>
    </row>
    <row r="24" spans="1:9" x14ac:dyDescent="0.2">
      <c r="A24" s="11" t="s">
        <v>23</v>
      </c>
      <c r="B24" s="10" t="s">
        <v>0</v>
      </c>
      <c r="C24" s="11">
        <v>19461</v>
      </c>
      <c r="D24" s="11">
        <v>35007</v>
      </c>
      <c r="E24" s="11">
        <v>38569</v>
      </c>
      <c r="F24" s="11">
        <v>30508</v>
      </c>
      <c r="G24" s="11">
        <v>29502</v>
      </c>
      <c r="H24" s="11">
        <v>28951</v>
      </c>
      <c r="I24" s="11">
        <v>20420</v>
      </c>
    </row>
    <row r="25" spans="1:9" x14ac:dyDescent="0.2">
      <c r="A25" s="11" t="s">
        <v>24</v>
      </c>
      <c r="B25" s="10" t="s">
        <v>0</v>
      </c>
      <c r="C25" s="11">
        <v>325</v>
      </c>
      <c r="D25" s="11">
        <v>600</v>
      </c>
      <c r="E25" s="11">
        <v>659</v>
      </c>
      <c r="F25" s="11">
        <v>648</v>
      </c>
      <c r="G25" s="11">
        <v>1030</v>
      </c>
      <c r="H25" s="11">
        <v>1335</v>
      </c>
      <c r="I25" s="11">
        <v>1217</v>
      </c>
    </row>
    <row r="26" spans="1:9" x14ac:dyDescent="0.2">
      <c r="A26" s="11" t="s">
        <v>25</v>
      </c>
      <c r="B26" s="10" t="s">
        <v>0</v>
      </c>
      <c r="C26" s="11">
        <v>5607</v>
      </c>
      <c r="D26" s="11">
        <v>11281</v>
      </c>
      <c r="E26" s="11">
        <v>11144</v>
      </c>
      <c r="F26" s="11">
        <v>10159</v>
      </c>
      <c r="G26" s="11">
        <v>11785</v>
      </c>
      <c r="H26" s="11">
        <v>14929</v>
      </c>
      <c r="I26" s="11">
        <v>11708</v>
      </c>
    </row>
    <row r="27" spans="1:9" x14ac:dyDescent="0.2">
      <c r="A27" s="11" t="s">
        <v>26</v>
      </c>
      <c r="B27" s="10" t="s">
        <v>0</v>
      </c>
      <c r="C27" s="11">
        <v>1369</v>
      </c>
      <c r="D27" s="11">
        <v>2943</v>
      </c>
      <c r="E27" s="11">
        <v>3520</v>
      </c>
      <c r="F27" s="11">
        <v>3836</v>
      </c>
      <c r="G27" s="11">
        <v>5107</v>
      </c>
      <c r="H27" s="11">
        <v>6907</v>
      </c>
      <c r="I27" s="11">
        <v>5936</v>
      </c>
    </row>
    <row r="28" spans="1:9" x14ac:dyDescent="0.2">
      <c r="A28" s="11" t="s">
        <v>27</v>
      </c>
      <c r="B28" s="10" t="s">
        <v>0</v>
      </c>
      <c r="C28" s="11">
        <v>17</v>
      </c>
      <c r="D28" s="11">
        <v>46</v>
      </c>
      <c r="E28" s="11">
        <v>53</v>
      </c>
      <c r="F28" s="11">
        <v>70</v>
      </c>
      <c r="G28" s="11">
        <v>145</v>
      </c>
      <c r="H28" s="11">
        <v>242</v>
      </c>
      <c r="I28" s="11">
        <v>200</v>
      </c>
    </row>
    <row r="29" spans="1:9" x14ac:dyDescent="0.2">
      <c r="A29" s="11" t="s">
        <v>28</v>
      </c>
      <c r="B29" s="10" t="s">
        <v>0</v>
      </c>
      <c r="C29" s="11">
        <v>2035</v>
      </c>
      <c r="D29" s="11">
        <v>3655</v>
      </c>
      <c r="E29" s="11">
        <v>3430</v>
      </c>
      <c r="F29" s="11">
        <v>3091</v>
      </c>
      <c r="G29" s="11">
        <v>3256</v>
      </c>
      <c r="H29" s="11">
        <v>3961</v>
      </c>
      <c r="I29" s="11">
        <v>3986</v>
      </c>
    </row>
    <row r="30" spans="1:9" x14ac:dyDescent="0.2">
      <c r="A30" s="11" t="s">
        <v>29</v>
      </c>
      <c r="B30" s="10" t="s">
        <v>0</v>
      </c>
      <c r="C30" s="11">
        <v>79</v>
      </c>
      <c r="D30" s="11">
        <v>139</v>
      </c>
      <c r="E30" s="11">
        <v>159</v>
      </c>
      <c r="F30" s="11">
        <v>182</v>
      </c>
      <c r="G30" s="11">
        <v>242</v>
      </c>
      <c r="H30" s="11">
        <v>293</v>
      </c>
      <c r="I30" s="11">
        <v>381</v>
      </c>
    </row>
    <row r="31" spans="1:9" x14ac:dyDescent="0.2">
      <c r="A31" s="11" t="s">
        <v>30</v>
      </c>
      <c r="B31" s="10" t="s">
        <v>0</v>
      </c>
      <c r="C31" s="11">
        <v>292</v>
      </c>
      <c r="D31" s="11">
        <v>681</v>
      </c>
      <c r="E31" s="11">
        <v>825</v>
      </c>
      <c r="F31" s="11">
        <v>954</v>
      </c>
      <c r="G31" s="11">
        <v>1301</v>
      </c>
      <c r="H31" s="11">
        <v>1836</v>
      </c>
      <c r="I31" s="11">
        <v>1525</v>
      </c>
    </row>
    <row r="32" spans="1:9" x14ac:dyDescent="0.2">
      <c r="A32" s="11" t="s">
        <v>31</v>
      </c>
      <c r="B32" s="10" t="s">
        <v>0</v>
      </c>
      <c r="C32" s="11">
        <v>619</v>
      </c>
      <c r="D32" s="11">
        <v>842</v>
      </c>
      <c r="E32" s="11">
        <v>618</v>
      </c>
      <c r="F32" s="11">
        <v>708</v>
      </c>
      <c r="G32" s="11">
        <v>871</v>
      </c>
      <c r="H32" s="11">
        <v>1226</v>
      </c>
      <c r="I32" s="11">
        <v>1166</v>
      </c>
    </row>
    <row r="33" spans="1:9" x14ac:dyDescent="0.2">
      <c r="A33" s="11" t="s">
        <v>32</v>
      </c>
      <c r="B33" s="10" t="s">
        <v>0</v>
      </c>
      <c r="C33" s="11">
        <v>1329</v>
      </c>
      <c r="D33" s="11">
        <v>1817</v>
      </c>
      <c r="E33" s="11">
        <v>1537</v>
      </c>
      <c r="F33" s="11">
        <v>1516</v>
      </c>
      <c r="G33" s="11">
        <v>2118</v>
      </c>
      <c r="H33" s="11">
        <v>3050</v>
      </c>
      <c r="I33" s="11">
        <v>2619</v>
      </c>
    </row>
    <row r="34" spans="1:9" x14ac:dyDescent="0.2">
      <c r="A34" s="11" t="s">
        <v>33</v>
      </c>
      <c r="B34" s="10" t="s">
        <v>0</v>
      </c>
      <c r="C34" s="11">
        <v>357</v>
      </c>
      <c r="D34" s="11">
        <v>617</v>
      </c>
      <c r="E34" s="11">
        <v>654</v>
      </c>
      <c r="F34" s="11">
        <v>666</v>
      </c>
      <c r="G34" s="11">
        <v>803</v>
      </c>
      <c r="H34" s="11">
        <v>1273</v>
      </c>
      <c r="I34" s="11">
        <v>1059</v>
      </c>
    </row>
    <row r="35" spans="1:9" x14ac:dyDescent="0.2">
      <c r="A35" s="11" t="s">
        <v>34</v>
      </c>
      <c r="B35" s="10" t="s">
        <v>0</v>
      </c>
      <c r="C35" s="11">
        <v>143</v>
      </c>
      <c r="D35" s="11">
        <v>239</v>
      </c>
      <c r="E35" s="11">
        <v>301</v>
      </c>
      <c r="F35" s="11">
        <v>315</v>
      </c>
      <c r="G35" s="11">
        <v>417</v>
      </c>
      <c r="H35" s="11">
        <v>605</v>
      </c>
      <c r="I35" s="11">
        <v>530</v>
      </c>
    </row>
    <row r="36" spans="1:9" x14ac:dyDescent="0.2">
      <c r="A36" s="11" t="s">
        <v>35</v>
      </c>
      <c r="B36" s="10" t="s">
        <v>0</v>
      </c>
      <c r="C36" s="11">
        <v>5142</v>
      </c>
      <c r="D36" s="11">
        <v>10493</v>
      </c>
      <c r="E36" s="11">
        <v>11651</v>
      </c>
      <c r="F36" s="11">
        <v>10245</v>
      </c>
      <c r="G36" s="11">
        <v>12566</v>
      </c>
      <c r="H36" s="11">
        <v>14094</v>
      </c>
      <c r="I36" s="11">
        <v>12065</v>
      </c>
    </row>
    <row r="37" spans="1:9" x14ac:dyDescent="0.2">
      <c r="A37" s="11" t="s">
        <v>36</v>
      </c>
      <c r="B37" s="10" t="s">
        <v>0</v>
      </c>
      <c r="C37" s="11">
        <v>9879</v>
      </c>
      <c r="D37" s="11">
        <v>19887</v>
      </c>
      <c r="E37" s="11">
        <v>19518</v>
      </c>
      <c r="F37" s="11">
        <v>15143</v>
      </c>
      <c r="G37" s="11">
        <v>15280</v>
      </c>
      <c r="H37" s="11">
        <v>17354</v>
      </c>
      <c r="I37" s="11">
        <v>15153</v>
      </c>
    </row>
    <row r="38" spans="1:9" x14ac:dyDescent="0.2">
      <c r="A38" s="11" t="s">
        <v>37</v>
      </c>
      <c r="B38" s="10" t="s">
        <v>0</v>
      </c>
      <c r="C38" s="11">
        <v>1184</v>
      </c>
      <c r="D38" s="11">
        <v>2391</v>
      </c>
      <c r="E38" s="11">
        <v>2467</v>
      </c>
      <c r="F38" s="11">
        <v>2467</v>
      </c>
      <c r="G38" s="11">
        <v>3283</v>
      </c>
      <c r="H38" s="11">
        <v>4227</v>
      </c>
      <c r="I38" s="11">
        <v>3689</v>
      </c>
    </row>
    <row r="39" spans="1:9" x14ac:dyDescent="0.2">
      <c r="A39" s="11" t="s">
        <v>38</v>
      </c>
      <c r="B39" s="10" t="s">
        <v>0</v>
      </c>
      <c r="C39" s="11">
        <v>2061</v>
      </c>
      <c r="D39" s="11">
        <v>3714</v>
      </c>
      <c r="E39" s="11">
        <v>4019</v>
      </c>
      <c r="F39" s="11">
        <v>3653</v>
      </c>
      <c r="G39" s="11">
        <v>3843</v>
      </c>
      <c r="H39" s="11">
        <v>4225</v>
      </c>
      <c r="I39" s="11">
        <v>3809</v>
      </c>
    </row>
    <row r="40" spans="1:9" x14ac:dyDescent="0.2">
      <c r="A40" s="11" t="s">
        <v>39</v>
      </c>
      <c r="B40" s="10" t="s">
        <v>0</v>
      </c>
      <c r="C40" s="11">
        <v>9195</v>
      </c>
      <c r="D40" s="11">
        <v>18166</v>
      </c>
      <c r="E40" s="11">
        <v>18530</v>
      </c>
      <c r="F40" s="11">
        <v>16641</v>
      </c>
      <c r="G40" s="11">
        <v>17114</v>
      </c>
      <c r="H40" s="11">
        <v>17362</v>
      </c>
      <c r="I40" s="11">
        <v>13953</v>
      </c>
    </row>
    <row r="41" spans="1:9" x14ac:dyDescent="0.2">
      <c r="A41" s="11" t="s">
        <v>40</v>
      </c>
      <c r="B41" s="10" t="s">
        <v>0</v>
      </c>
      <c r="C41" s="11">
        <v>5767</v>
      </c>
      <c r="D41" s="11">
        <v>11967</v>
      </c>
      <c r="E41" s="11">
        <v>12961</v>
      </c>
      <c r="F41" s="11">
        <v>11859</v>
      </c>
      <c r="G41" s="11">
        <v>13768</v>
      </c>
      <c r="H41" s="11">
        <v>15083</v>
      </c>
      <c r="I41" s="11">
        <v>12712</v>
      </c>
    </row>
    <row r="42" spans="1:9" x14ac:dyDescent="0.2">
      <c r="A42" s="11" t="s">
        <v>41</v>
      </c>
      <c r="B42" s="10" t="s">
        <v>0</v>
      </c>
      <c r="C42" s="11">
        <v>1402</v>
      </c>
      <c r="D42" s="11">
        <v>2881</v>
      </c>
      <c r="E42" s="11">
        <v>2822</v>
      </c>
      <c r="F42" s="11">
        <v>2337</v>
      </c>
      <c r="G42" s="11">
        <v>2599</v>
      </c>
      <c r="H42" s="11">
        <v>3387</v>
      </c>
      <c r="I42" s="11">
        <v>2718</v>
      </c>
    </row>
    <row r="43" spans="1:9" x14ac:dyDescent="0.2">
      <c r="A43" s="11" t="s">
        <v>42</v>
      </c>
      <c r="B43" s="10" t="s">
        <v>0</v>
      </c>
      <c r="C43" s="11">
        <v>377</v>
      </c>
      <c r="D43" s="11">
        <v>724</v>
      </c>
      <c r="E43" s="11">
        <v>690</v>
      </c>
      <c r="F43" s="11">
        <v>642</v>
      </c>
      <c r="G43" s="11">
        <v>790</v>
      </c>
      <c r="H43" s="11">
        <v>1122</v>
      </c>
      <c r="I43" s="11">
        <v>941</v>
      </c>
    </row>
    <row r="44" spans="1:9" x14ac:dyDescent="0.2">
      <c r="A44" s="11" t="s">
        <v>43</v>
      </c>
      <c r="B44" s="10" t="s">
        <v>0</v>
      </c>
      <c r="C44" s="11">
        <v>1397</v>
      </c>
      <c r="D44" s="11">
        <v>2680</v>
      </c>
      <c r="E44" s="11">
        <v>2945</v>
      </c>
      <c r="F44" s="11">
        <v>2787</v>
      </c>
      <c r="G44" s="11">
        <v>3708</v>
      </c>
      <c r="H44" s="11">
        <v>5258</v>
      </c>
      <c r="I44" s="11">
        <v>4404</v>
      </c>
    </row>
    <row r="45" spans="1:9" x14ac:dyDescent="0.2">
      <c r="A45" s="11" t="s">
        <v>44</v>
      </c>
      <c r="B45" s="10" t="s">
        <v>0</v>
      </c>
      <c r="C45" s="11">
        <v>326</v>
      </c>
      <c r="D45" s="11">
        <v>686</v>
      </c>
      <c r="E45" s="11">
        <v>752</v>
      </c>
      <c r="F45" s="11">
        <v>695</v>
      </c>
      <c r="G45" s="11">
        <v>794</v>
      </c>
      <c r="H45" s="11">
        <v>1022</v>
      </c>
      <c r="I45" s="11">
        <v>1090</v>
      </c>
    </row>
    <row r="46" spans="1:9" x14ac:dyDescent="0.2">
      <c r="A46" s="11" t="s">
        <v>45</v>
      </c>
      <c r="B46" s="10" t="s">
        <v>0</v>
      </c>
      <c r="C46" s="11">
        <v>4137</v>
      </c>
      <c r="D46" s="11">
        <v>7297</v>
      </c>
      <c r="E46" s="11">
        <v>6696</v>
      </c>
      <c r="F46" s="11">
        <v>6911</v>
      </c>
      <c r="G46" s="11">
        <v>9140</v>
      </c>
      <c r="H46" s="11">
        <v>8689</v>
      </c>
      <c r="I46" s="11">
        <v>5449</v>
      </c>
    </row>
    <row r="47" spans="1:9" x14ac:dyDescent="0.2">
      <c r="A47" s="11" t="s">
        <v>46</v>
      </c>
      <c r="B47" s="10" t="s">
        <v>0</v>
      </c>
      <c r="C47" s="11">
        <v>27047</v>
      </c>
      <c r="D47" s="11">
        <v>49013</v>
      </c>
      <c r="E47" s="11">
        <v>53817</v>
      </c>
      <c r="F47" s="11">
        <v>45350</v>
      </c>
      <c r="G47" s="11">
        <v>44795</v>
      </c>
      <c r="H47" s="11">
        <v>46253</v>
      </c>
      <c r="I47" s="11">
        <v>38235</v>
      </c>
    </row>
    <row r="48" spans="1:9" x14ac:dyDescent="0.2">
      <c r="A48" s="11" t="s">
        <v>47</v>
      </c>
      <c r="B48" s="10" t="s">
        <v>0</v>
      </c>
      <c r="C48" s="11">
        <v>242</v>
      </c>
      <c r="D48" s="11">
        <v>575</v>
      </c>
      <c r="E48" s="11">
        <v>624</v>
      </c>
      <c r="F48" s="11">
        <v>432</v>
      </c>
      <c r="G48" s="11">
        <v>518</v>
      </c>
      <c r="H48" s="11">
        <v>715</v>
      </c>
      <c r="I48" s="11">
        <v>645</v>
      </c>
    </row>
    <row r="49" spans="1:9" x14ac:dyDescent="0.2">
      <c r="A49" s="11" t="s">
        <v>48</v>
      </c>
      <c r="B49" s="10" t="s">
        <v>0</v>
      </c>
      <c r="C49" s="11">
        <v>9977</v>
      </c>
      <c r="D49" s="11">
        <v>15010</v>
      </c>
      <c r="E49" s="11">
        <v>14283</v>
      </c>
      <c r="F49" s="11">
        <v>12900</v>
      </c>
      <c r="G49" s="11">
        <v>14351</v>
      </c>
      <c r="H49" s="11">
        <v>15757</v>
      </c>
      <c r="I49" s="11">
        <v>13315</v>
      </c>
    </row>
    <row r="50" spans="1:9" x14ac:dyDescent="0.2">
      <c r="A50" s="11" t="s">
        <v>49</v>
      </c>
      <c r="B50" s="10" t="s">
        <v>0</v>
      </c>
      <c r="C50" s="11">
        <v>879</v>
      </c>
      <c r="D50" s="11">
        <v>1886</v>
      </c>
      <c r="E50" s="11">
        <v>2191</v>
      </c>
      <c r="F50" s="11">
        <v>2075</v>
      </c>
      <c r="G50" s="11">
        <v>2376</v>
      </c>
      <c r="H50" s="11">
        <v>3201</v>
      </c>
      <c r="I50" s="11">
        <v>2718</v>
      </c>
    </row>
    <row r="51" spans="1:9" x14ac:dyDescent="0.2">
      <c r="A51" s="11" t="s">
        <v>50</v>
      </c>
      <c r="B51" s="10" t="s">
        <v>0</v>
      </c>
      <c r="C51" s="11">
        <v>457</v>
      </c>
      <c r="D51" s="11">
        <v>806</v>
      </c>
      <c r="E51" s="11">
        <v>900</v>
      </c>
      <c r="F51" s="11">
        <v>812</v>
      </c>
      <c r="G51" s="11">
        <v>966</v>
      </c>
      <c r="H51" s="11">
        <v>1117</v>
      </c>
      <c r="I51" s="11">
        <v>927</v>
      </c>
    </row>
    <row r="52" spans="1:9" x14ac:dyDescent="0.2">
      <c r="A52" s="11" t="s">
        <v>51</v>
      </c>
      <c r="B52" s="10" t="s">
        <v>0</v>
      </c>
      <c r="C52" s="11">
        <v>61972</v>
      </c>
      <c r="D52" s="11">
        <v>176953</v>
      </c>
      <c r="E52" s="11">
        <v>154471</v>
      </c>
      <c r="F52" s="11">
        <v>102426</v>
      </c>
      <c r="G52" s="11">
        <v>109389</v>
      </c>
      <c r="H52" s="11">
        <v>98418</v>
      </c>
      <c r="I52" s="11">
        <v>70728</v>
      </c>
    </row>
    <row r="53" spans="1:9" x14ac:dyDescent="0.2">
      <c r="A53" s="11" t="s">
        <v>52</v>
      </c>
      <c r="B53" s="10" t="s">
        <v>0</v>
      </c>
      <c r="C53" s="11">
        <v>973</v>
      </c>
      <c r="D53" s="11">
        <v>1769</v>
      </c>
      <c r="E53" s="11">
        <v>1719</v>
      </c>
      <c r="F53" s="11">
        <v>1763</v>
      </c>
      <c r="G53" s="11">
        <v>2486</v>
      </c>
      <c r="H53" s="11">
        <v>2808</v>
      </c>
      <c r="I53" s="11">
        <v>2026</v>
      </c>
    </row>
    <row r="54" spans="1:9" x14ac:dyDescent="0.2">
      <c r="A54" s="11" t="s">
        <v>53</v>
      </c>
      <c r="B54" s="10" t="s">
        <v>0</v>
      </c>
      <c r="C54" s="11">
        <v>106</v>
      </c>
      <c r="D54" s="11">
        <v>144</v>
      </c>
      <c r="E54" s="11">
        <v>205</v>
      </c>
      <c r="F54" s="11">
        <v>198</v>
      </c>
      <c r="G54" s="11">
        <v>289</v>
      </c>
      <c r="H54" s="11">
        <v>432</v>
      </c>
      <c r="I54" s="11">
        <v>365</v>
      </c>
    </row>
    <row r="55" spans="1:9" x14ac:dyDescent="0.2">
      <c r="A55" s="11" t="s">
        <v>54</v>
      </c>
      <c r="B55" s="10" t="s">
        <v>0</v>
      </c>
      <c r="C55" s="11">
        <v>1519</v>
      </c>
      <c r="D55" s="11">
        <v>3269</v>
      </c>
      <c r="E55" s="11">
        <v>3638</v>
      </c>
      <c r="F55" s="11">
        <v>3525</v>
      </c>
      <c r="G55" s="11">
        <v>4209</v>
      </c>
      <c r="H55" s="11">
        <v>5114</v>
      </c>
      <c r="I55" s="11">
        <v>4093</v>
      </c>
    </row>
    <row r="56" spans="1:9" x14ac:dyDescent="0.2">
      <c r="A56" s="11" t="s">
        <v>55</v>
      </c>
      <c r="B56" s="10" t="s">
        <v>0</v>
      </c>
      <c r="C56" s="11">
        <v>627</v>
      </c>
      <c r="D56" s="11">
        <v>696</v>
      </c>
      <c r="E56" s="11">
        <v>640</v>
      </c>
      <c r="F56" s="11">
        <v>582</v>
      </c>
      <c r="G56" s="11">
        <v>686</v>
      </c>
      <c r="H56" s="11">
        <v>861</v>
      </c>
      <c r="I56" s="11">
        <v>789</v>
      </c>
    </row>
    <row r="57" spans="1:9" x14ac:dyDescent="0.2">
      <c r="A57" s="11" t="s">
        <v>56</v>
      </c>
      <c r="B57" s="10" t="s">
        <v>0</v>
      </c>
      <c r="C57" s="11">
        <v>498</v>
      </c>
      <c r="D57" s="11">
        <v>1048</v>
      </c>
      <c r="E57" s="11">
        <v>1329</v>
      </c>
      <c r="F57" s="11">
        <v>1257</v>
      </c>
      <c r="G57" s="11">
        <v>1643</v>
      </c>
      <c r="H57" s="11">
        <v>2458</v>
      </c>
      <c r="I57" s="11">
        <v>2286</v>
      </c>
    </row>
    <row r="58" spans="1:9" x14ac:dyDescent="0.2">
      <c r="A58" s="11" t="s">
        <v>57</v>
      </c>
      <c r="B58" s="10" t="s">
        <v>0</v>
      </c>
      <c r="C58" s="11">
        <v>41</v>
      </c>
      <c r="D58" s="11">
        <v>82</v>
      </c>
      <c r="E58" s="11">
        <v>97</v>
      </c>
      <c r="F58" s="11">
        <v>103</v>
      </c>
      <c r="G58" s="11">
        <v>166</v>
      </c>
      <c r="H58" s="11">
        <v>306</v>
      </c>
      <c r="I58" s="11">
        <v>268</v>
      </c>
    </row>
    <row r="59" spans="1:9" x14ac:dyDescent="0.2">
      <c r="A59" s="11" t="s">
        <v>58</v>
      </c>
      <c r="B59" s="10" t="s">
        <v>0</v>
      </c>
      <c r="C59" s="11">
        <v>359</v>
      </c>
      <c r="D59" s="11">
        <v>713</v>
      </c>
      <c r="E59" s="11">
        <v>783</v>
      </c>
      <c r="F59" s="11">
        <v>747</v>
      </c>
      <c r="G59" s="11">
        <v>1060</v>
      </c>
      <c r="H59" s="11">
        <v>1382</v>
      </c>
      <c r="I59" s="11">
        <v>1216</v>
      </c>
    </row>
    <row r="60" spans="1:9" x14ac:dyDescent="0.2">
      <c r="A60" s="11" t="s">
        <v>59</v>
      </c>
      <c r="B60" s="10" t="s">
        <v>0</v>
      </c>
      <c r="C60" s="11">
        <v>396</v>
      </c>
      <c r="D60" s="11">
        <v>602</v>
      </c>
      <c r="E60" s="11">
        <v>630</v>
      </c>
      <c r="F60" s="11">
        <v>596</v>
      </c>
      <c r="G60" s="11">
        <v>741</v>
      </c>
      <c r="H60" s="11">
        <v>1028</v>
      </c>
      <c r="I60" s="11">
        <v>932</v>
      </c>
    </row>
    <row r="61" spans="1:9" x14ac:dyDescent="0.2">
      <c r="A61" s="11" t="s">
        <v>60</v>
      </c>
      <c r="B61" s="10" t="s">
        <v>0</v>
      </c>
      <c r="C61" s="11">
        <v>1494</v>
      </c>
      <c r="D61" s="11">
        <v>1368</v>
      </c>
      <c r="E61" s="11">
        <v>1004</v>
      </c>
      <c r="F61" s="11">
        <v>857</v>
      </c>
      <c r="G61" s="11">
        <v>901</v>
      </c>
      <c r="H61" s="11">
        <v>1071</v>
      </c>
      <c r="I61" s="11">
        <v>1070</v>
      </c>
    </row>
    <row r="62" spans="1:9" x14ac:dyDescent="0.2">
      <c r="A62" s="11" t="s">
        <v>61</v>
      </c>
      <c r="B62" s="10" t="s">
        <v>0</v>
      </c>
      <c r="C62" s="11">
        <v>490</v>
      </c>
      <c r="D62" s="11">
        <v>877</v>
      </c>
      <c r="E62" s="11">
        <v>1016</v>
      </c>
      <c r="F62" s="11">
        <v>952</v>
      </c>
      <c r="G62" s="11">
        <v>1214</v>
      </c>
      <c r="H62" s="11">
        <v>1947</v>
      </c>
      <c r="I62" s="11">
        <v>1554</v>
      </c>
    </row>
    <row r="63" spans="1:9" x14ac:dyDescent="0.2">
      <c r="A63" s="11" t="s">
        <v>62</v>
      </c>
      <c r="B63" s="10" t="s">
        <v>0</v>
      </c>
      <c r="C63" s="11">
        <v>380</v>
      </c>
      <c r="D63" s="11">
        <v>646</v>
      </c>
      <c r="E63" s="11">
        <v>765</v>
      </c>
      <c r="F63" s="11">
        <v>709</v>
      </c>
      <c r="G63" s="11">
        <v>1069</v>
      </c>
      <c r="H63" s="11">
        <v>1499</v>
      </c>
      <c r="I63" s="11">
        <v>1293</v>
      </c>
    </row>
    <row r="64" spans="1:9" x14ac:dyDescent="0.2">
      <c r="A64" s="11" t="s">
        <v>63</v>
      </c>
      <c r="B64" s="10" t="s">
        <v>0</v>
      </c>
      <c r="C64" s="11">
        <v>3130</v>
      </c>
      <c r="D64" s="11">
        <v>5900</v>
      </c>
      <c r="E64" s="11">
        <v>7074</v>
      </c>
      <c r="F64" s="11">
        <v>6607</v>
      </c>
      <c r="G64" s="11">
        <v>8628</v>
      </c>
      <c r="H64" s="11">
        <v>11537</v>
      </c>
      <c r="I64" s="11">
        <v>10018</v>
      </c>
    </row>
    <row r="65" spans="1:9" x14ac:dyDescent="0.2">
      <c r="A65" s="11" t="s">
        <v>64</v>
      </c>
      <c r="B65" s="10" t="s">
        <v>0</v>
      </c>
      <c r="C65" s="11">
        <v>496</v>
      </c>
      <c r="D65" s="11">
        <v>1000</v>
      </c>
      <c r="E65" s="11">
        <v>1185</v>
      </c>
      <c r="F65" s="11">
        <v>1086</v>
      </c>
      <c r="G65" s="11">
        <v>1436</v>
      </c>
      <c r="H65" s="11">
        <v>1914</v>
      </c>
      <c r="I65" s="11">
        <v>1549</v>
      </c>
    </row>
    <row r="66" spans="1:9" x14ac:dyDescent="0.2">
      <c r="A66" s="11" t="s">
        <v>65</v>
      </c>
      <c r="B66" s="10" t="s">
        <v>0</v>
      </c>
      <c r="C66" s="11">
        <v>5318</v>
      </c>
      <c r="D66" s="11">
        <v>9980</v>
      </c>
      <c r="E66" s="11">
        <v>11240</v>
      </c>
      <c r="F66" s="11">
        <v>10615</v>
      </c>
      <c r="G66" s="11">
        <v>13752</v>
      </c>
      <c r="H66" s="11">
        <v>18955</v>
      </c>
      <c r="I66" s="11">
        <v>17047</v>
      </c>
    </row>
    <row r="67" spans="1:9" x14ac:dyDescent="0.2">
      <c r="A67" s="11" t="s">
        <v>66</v>
      </c>
      <c r="B67" s="10" t="s">
        <v>0</v>
      </c>
      <c r="C67" s="11">
        <v>331</v>
      </c>
      <c r="D67" s="11">
        <v>612</v>
      </c>
      <c r="E67" s="11">
        <v>663</v>
      </c>
      <c r="F67" s="11">
        <v>610</v>
      </c>
      <c r="G67" s="11">
        <v>762</v>
      </c>
      <c r="H67" s="11">
        <v>983</v>
      </c>
      <c r="I67" s="11">
        <v>727</v>
      </c>
    </row>
    <row r="68" spans="1:9" ht="13.5" thickBot="1" x14ac:dyDescent="0.25">
      <c r="A68" s="13" t="s">
        <v>67</v>
      </c>
      <c r="B68" s="12" t="s">
        <v>0</v>
      </c>
      <c r="C68" s="11">
        <v>8054</v>
      </c>
      <c r="D68" s="11">
        <v>15110</v>
      </c>
      <c r="E68" s="11">
        <v>15767</v>
      </c>
      <c r="F68" s="11">
        <v>14086</v>
      </c>
      <c r="G68" s="11">
        <v>14477</v>
      </c>
      <c r="H68" s="11">
        <v>15518</v>
      </c>
      <c r="I68" s="11">
        <v>12958</v>
      </c>
    </row>
    <row r="69" spans="1:9" x14ac:dyDescent="0.2">
      <c r="A69" s="32" t="s">
        <v>68</v>
      </c>
      <c r="C69" s="14">
        <f>SUM(C2:C68)</f>
        <v>319170</v>
      </c>
      <c r="D69" s="14">
        <f>SUM(D2:D68)</f>
        <v>657407</v>
      </c>
      <c r="E69" s="14">
        <f t="shared" ref="E69:I69" si="0">SUM(E2:E68)</f>
        <v>644569</v>
      </c>
      <c r="F69" s="14">
        <f t="shared" si="0"/>
        <v>519347</v>
      </c>
      <c r="G69" s="14">
        <f t="shared" si="0"/>
        <v>568603</v>
      </c>
      <c r="H69" s="14">
        <f t="shared" si="0"/>
        <v>623538</v>
      </c>
      <c r="I69" s="14">
        <f t="shared" si="0"/>
        <v>501178</v>
      </c>
    </row>
    <row r="70" spans="1:9" x14ac:dyDescent="0.2">
      <c r="C70" s="17">
        <f>C69/$C$73</f>
        <v>8.3251343571359257E-2</v>
      </c>
      <c r="D70" s="17">
        <f t="shared" ref="D70:I70" si="1">D69/$C$73</f>
        <v>0.17147606611904809</v>
      </c>
      <c r="E70" s="17">
        <f t="shared" si="1"/>
        <v>0.16812744078217712</v>
      </c>
      <c r="F70" s="17">
        <f t="shared" si="1"/>
        <v>0.13546491064246238</v>
      </c>
      <c r="G70" s="17">
        <f t="shared" si="1"/>
        <v>0.14831269764923266</v>
      </c>
      <c r="H70" s="17">
        <f t="shared" si="1"/>
        <v>0.16264177794842313</v>
      </c>
      <c r="I70" s="17">
        <f t="shared" si="1"/>
        <v>0.13072576328729735</v>
      </c>
    </row>
    <row r="73" spans="1:9" x14ac:dyDescent="0.2">
      <c r="A73" s="32" t="s">
        <v>80</v>
      </c>
      <c r="C73" s="16">
        <f>SUM(C69:I69)</f>
        <v>3833812</v>
      </c>
    </row>
    <row r="75" spans="1:9" x14ac:dyDescent="0.2">
      <c r="I75" s="10"/>
    </row>
    <row r="82" spans="3:6" x14ac:dyDescent="0.2">
      <c r="F82" s="11"/>
    </row>
    <row r="83" spans="3:6" x14ac:dyDescent="0.2">
      <c r="F83" s="11"/>
    </row>
    <row r="84" spans="3:6" x14ac:dyDescent="0.2">
      <c r="C84" s="11"/>
      <c r="F84" s="11"/>
    </row>
    <row r="85" spans="3:6" x14ac:dyDescent="0.2">
      <c r="C85" s="11"/>
      <c r="F85" s="11"/>
    </row>
    <row r="87" spans="3:6" x14ac:dyDescent="0.2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3" sqref="L13"/>
    </sheetView>
  </sheetViews>
  <sheetFormatPr defaultColWidth="9.140625" defaultRowHeight="12.75" x14ac:dyDescent="0.2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133</v>
      </c>
      <c r="B2" s="10" t="s">
        <v>70</v>
      </c>
      <c r="C2" s="52">
        <v>2856</v>
      </c>
      <c r="D2" s="52">
        <v>5241</v>
      </c>
      <c r="E2" s="52">
        <v>5993</v>
      </c>
      <c r="F2" s="52">
        <v>6032</v>
      </c>
      <c r="G2" s="52">
        <v>9155</v>
      </c>
      <c r="H2" s="52">
        <v>8462</v>
      </c>
      <c r="I2" s="52">
        <v>6218</v>
      </c>
      <c r="J2" s="10"/>
    </row>
    <row r="3" spans="1:10" x14ac:dyDescent="0.2">
      <c r="A3" s="11" t="s">
        <v>2</v>
      </c>
      <c r="B3" s="10" t="s">
        <v>70</v>
      </c>
      <c r="C3" s="52">
        <v>19308</v>
      </c>
      <c r="D3" s="52">
        <v>38784</v>
      </c>
      <c r="E3" s="52">
        <v>39183</v>
      </c>
      <c r="F3" s="52">
        <v>36803</v>
      </c>
      <c r="G3" s="52">
        <v>48265</v>
      </c>
      <c r="H3" s="52">
        <v>46570</v>
      </c>
      <c r="I3" s="52">
        <v>34985</v>
      </c>
    </row>
    <row r="4" spans="1:10" x14ac:dyDescent="0.2">
      <c r="A4" s="11" t="s">
        <v>3</v>
      </c>
      <c r="B4" s="10" t="s">
        <v>70</v>
      </c>
      <c r="C4" s="52">
        <v>2011</v>
      </c>
      <c r="D4" s="52">
        <v>3466</v>
      </c>
      <c r="E4" s="52">
        <v>3916</v>
      </c>
      <c r="F4" s="52">
        <v>4202</v>
      </c>
      <c r="G4" s="52">
        <v>5277</v>
      </c>
      <c r="H4" s="52">
        <v>5022</v>
      </c>
      <c r="I4" s="52">
        <v>3746</v>
      </c>
    </row>
    <row r="5" spans="1:10" x14ac:dyDescent="0.2">
      <c r="A5" s="11" t="s">
        <v>4</v>
      </c>
      <c r="B5" s="10" t="s">
        <v>70</v>
      </c>
      <c r="C5" s="52">
        <v>3531</v>
      </c>
      <c r="D5" s="52">
        <v>6742</v>
      </c>
      <c r="E5" s="52">
        <v>7900</v>
      </c>
      <c r="F5" s="52">
        <v>7719</v>
      </c>
      <c r="G5" s="52">
        <v>10065</v>
      </c>
      <c r="H5" s="52">
        <v>9397</v>
      </c>
      <c r="I5" s="52">
        <v>6582</v>
      </c>
    </row>
    <row r="6" spans="1:10" x14ac:dyDescent="0.2">
      <c r="A6" s="11" t="s">
        <v>5</v>
      </c>
      <c r="B6" s="10" t="s">
        <v>70</v>
      </c>
      <c r="C6" s="52">
        <v>1690</v>
      </c>
      <c r="D6" s="52">
        <v>3101</v>
      </c>
      <c r="E6" s="52">
        <v>3240</v>
      </c>
      <c r="F6" s="52">
        <v>3642</v>
      </c>
      <c r="G6" s="52">
        <v>4729</v>
      </c>
      <c r="H6" s="52">
        <v>4737</v>
      </c>
      <c r="I6" s="52">
        <v>3432</v>
      </c>
    </row>
    <row r="7" spans="1:10" x14ac:dyDescent="0.2">
      <c r="A7" s="11" t="s">
        <v>6</v>
      </c>
      <c r="B7" s="10" t="s">
        <v>70</v>
      </c>
      <c r="C7" s="52">
        <v>8258</v>
      </c>
      <c r="D7" s="52">
        <v>14663</v>
      </c>
      <c r="E7" s="52">
        <v>16820</v>
      </c>
      <c r="F7" s="52">
        <v>17534</v>
      </c>
      <c r="G7" s="52">
        <v>23993</v>
      </c>
      <c r="H7" s="52">
        <v>20674</v>
      </c>
      <c r="I7" s="52">
        <v>16190</v>
      </c>
    </row>
    <row r="8" spans="1:10" x14ac:dyDescent="0.2">
      <c r="A8" s="11" t="s">
        <v>7</v>
      </c>
      <c r="B8" s="10" t="s">
        <v>70</v>
      </c>
      <c r="C8" s="52">
        <v>3623</v>
      </c>
      <c r="D8" s="52">
        <v>5851</v>
      </c>
      <c r="E8" s="52">
        <v>6891</v>
      </c>
      <c r="F8" s="52">
        <v>7765</v>
      </c>
      <c r="G8" s="52">
        <v>9503</v>
      </c>
      <c r="H8" s="52">
        <v>9263</v>
      </c>
      <c r="I8" s="52">
        <v>7824</v>
      </c>
    </row>
    <row r="9" spans="1:10" x14ac:dyDescent="0.2">
      <c r="A9" s="11" t="s">
        <v>8</v>
      </c>
      <c r="B9" s="10" t="s">
        <v>70</v>
      </c>
      <c r="C9" s="52">
        <v>1867</v>
      </c>
      <c r="D9" s="52">
        <v>3153</v>
      </c>
      <c r="E9" s="52">
        <v>3606</v>
      </c>
      <c r="F9" s="52">
        <v>3676</v>
      </c>
      <c r="G9" s="52">
        <v>4972</v>
      </c>
      <c r="H9" s="52">
        <v>4608</v>
      </c>
      <c r="I9" s="52">
        <v>3742</v>
      </c>
    </row>
    <row r="10" spans="1:10" x14ac:dyDescent="0.2">
      <c r="A10" s="11" t="s">
        <v>9</v>
      </c>
      <c r="B10" s="10" t="s">
        <v>70</v>
      </c>
      <c r="C10" s="52">
        <v>14394</v>
      </c>
      <c r="D10" s="52">
        <v>24186</v>
      </c>
      <c r="E10" s="52">
        <v>26498</v>
      </c>
      <c r="F10" s="52">
        <v>28844</v>
      </c>
      <c r="G10" s="52">
        <v>42179</v>
      </c>
      <c r="H10" s="52">
        <v>37349</v>
      </c>
      <c r="I10" s="52">
        <v>28918</v>
      </c>
    </row>
    <row r="11" spans="1:10" x14ac:dyDescent="0.2">
      <c r="A11" s="11" t="s">
        <v>10</v>
      </c>
      <c r="B11" s="10" t="s">
        <v>70</v>
      </c>
      <c r="C11" s="52">
        <v>5999</v>
      </c>
      <c r="D11" s="52">
        <v>10860</v>
      </c>
      <c r="E11" s="52">
        <v>12180</v>
      </c>
      <c r="F11" s="52">
        <v>12324</v>
      </c>
      <c r="G11" s="52">
        <v>16388</v>
      </c>
      <c r="H11" s="52">
        <v>14539</v>
      </c>
      <c r="I11" s="52">
        <v>10585</v>
      </c>
    </row>
    <row r="12" spans="1:10" x14ac:dyDescent="0.2">
      <c r="A12" s="11" t="s">
        <v>11</v>
      </c>
      <c r="B12" s="10" t="s">
        <v>70</v>
      </c>
      <c r="C12" s="52">
        <v>3655</v>
      </c>
      <c r="D12" s="52">
        <v>5771</v>
      </c>
      <c r="E12" s="52">
        <v>6360</v>
      </c>
      <c r="F12" s="52">
        <v>7229</v>
      </c>
      <c r="G12" s="52">
        <v>8589</v>
      </c>
      <c r="H12" s="52">
        <v>8549</v>
      </c>
      <c r="I12" s="52">
        <v>6393</v>
      </c>
    </row>
    <row r="13" spans="1:10" x14ac:dyDescent="0.2">
      <c r="A13" s="11" t="s">
        <v>12</v>
      </c>
      <c r="B13" s="10" t="s">
        <v>70</v>
      </c>
      <c r="C13" s="52">
        <v>92</v>
      </c>
      <c r="D13" s="52">
        <v>155</v>
      </c>
      <c r="E13" s="52">
        <v>215</v>
      </c>
      <c r="F13" s="52">
        <v>237</v>
      </c>
      <c r="G13" s="52">
        <v>376</v>
      </c>
      <c r="H13" s="52">
        <v>415</v>
      </c>
      <c r="I13" s="52">
        <v>349</v>
      </c>
    </row>
    <row r="14" spans="1:10" x14ac:dyDescent="0.2">
      <c r="A14" s="11" t="s">
        <v>13</v>
      </c>
      <c r="B14" s="10" t="s">
        <v>70</v>
      </c>
      <c r="C14" s="52">
        <v>1563</v>
      </c>
      <c r="D14" s="52">
        <v>2841</v>
      </c>
      <c r="E14" s="52">
        <v>3305</v>
      </c>
      <c r="F14" s="52">
        <v>3664</v>
      </c>
      <c r="G14" s="52">
        <v>5018</v>
      </c>
      <c r="H14" s="52">
        <v>4445</v>
      </c>
      <c r="I14" s="52">
        <v>3020</v>
      </c>
    </row>
    <row r="15" spans="1:10" x14ac:dyDescent="0.2">
      <c r="A15" s="11" t="s">
        <v>14</v>
      </c>
      <c r="B15" s="10" t="s">
        <v>70</v>
      </c>
      <c r="C15" s="52">
        <v>5617</v>
      </c>
      <c r="D15" s="52">
        <v>5789</v>
      </c>
      <c r="E15" s="52">
        <v>5237</v>
      </c>
      <c r="F15" s="52">
        <v>5294</v>
      </c>
      <c r="G15" s="52">
        <v>7449</v>
      </c>
      <c r="H15" s="52">
        <v>6848</v>
      </c>
      <c r="I15" s="52">
        <v>5666</v>
      </c>
    </row>
    <row r="16" spans="1:10" x14ac:dyDescent="0.2">
      <c r="A16" s="11" t="s">
        <v>15</v>
      </c>
      <c r="B16" s="10" t="s">
        <v>70</v>
      </c>
      <c r="C16" s="52">
        <v>11170</v>
      </c>
      <c r="D16" s="52">
        <v>18994</v>
      </c>
      <c r="E16" s="52">
        <v>19653</v>
      </c>
      <c r="F16" s="52">
        <v>21875</v>
      </c>
      <c r="G16" s="52">
        <v>31354</v>
      </c>
      <c r="H16" s="52">
        <v>27082</v>
      </c>
      <c r="I16" s="52">
        <v>22046</v>
      </c>
    </row>
    <row r="17" spans="1:9" x14ac:dyDescent="0.2">
      <c r="A17" s="11" t="s">
        <v>16</v>
      </c>
      <c r="B17" s="10" t="s">
        <v>70</v>
      </c>
      <c r="C17" s="52">
        <v>1131</v>
      </c>
      <c r="D17" s="52">
        <v>1901</v>
      </c>
      <c r="E17" s="52">
        <v>2122</v>
      </c>
      <c r="F17" s="52">
        <v>2377</v>
      </c>
      <c r="G17" s="52">
        <v>3102</v>
      </c>
      <c r="H17" s="52">
        <v>2797</v>
      </c>
      <c r="I17" s="52">
        <v>2140</v>
      </c>
    </row>
    <row r="18" spans="1:9" x14ac:dyDescent="0.2">
      <c r="A18" s="11" t="s">
        <v>17</v>
      </c>
      <c r="B18" s="10" t="s">
        <v>70</v>
      </c>
      <c r="C18" s="52">
        <v>2077</v>
      </c>
      <c r="D18" s="52">
        <v>3904</v>
      </c>
      <c r="E18" s="52">
        <v>4376</v>
      </c>
      <c r="F18" s="52">
        <v>4969</v>
      </c>
      <c r="G18" s="52">
        <v>6301</v>
      </c>
      <c r="H18" s="52">
        <v>5693</v>
      </c>
      <c r="I18" s="52">
        <v>4124</v>
      </c>
    </row>
    <row r="19" spans="1:9" x14ac:dyDescent="0.2">
      <c r="A19" s="11" t="s">
        <v>18</v>
      </c>
      <c r="B19" s="10" t="s">
        <v>70</v>
      </c>
      <c r="C19" s="52">
        <v>999</v>
      </c>
      <c r="D19" s="52">
        <v>1740</v>
      </c>
      <c r="E19" s="52">
        <v>1861</v>
      </c>
      <c r="F19" s="52">
        <v>2103</v>
      </c>
      <c r="G19" s="52">
        <v>2525</v>
      </c>
      <c r="H19" s="52">
        <v>2326</v>
      </c>
      <c r="I19" s="52">
        <v>1766</v>
      </c>
    </row>
    <row r="20" spans="1:9" x14ac:dyDescent="0.2">
      <c r="A20" s="11" t="s">
        <v>19</v>
      </c>
      <c r="B20" s="10" t="s">
        <v>70</v>
      </c>
      <c r="C20" s="52">
        <v>1743</v>
      </c>
      <c r="D20" s="52">
        <v>2860</v>
      </c>
      <c r="E20" s="52">
        <v>3024</v>
      </c>
      <c r="F20" s="52">
        <v>3357</v>
      </c>
      <c r="G20" s="52">
        <v>4285</v>
      </c>
      <c r="H20" s="52">
        <v>4053</v>
      </c>
      <c r="I20" s="52">
        <v>3129</v>
      </c>
    </row>
    <row r="21" spans="1:9" x14ac:dyDescent="0.2">
      <c r="A21" s="11" t="s">
        <v>20</v>
      </c>
      <c r="B21" s="10" t="s">
        <v>70</v>
      </c>
      <c r="C21" s="52">
        <v>2194</v>
      </c>
      <c r="D21" s="52">
        <v>3780</v>
      </c>
      <c r="E21" s="52">
        <v>4325</v>
      </c>
      <c r="F21" s="52">
        <v>4638</v>
      </c>
      <c r="G21" s="52">
        <v>6218</v>
      </c>
      <c r="H21" s="52">
        <v>5955</v>
      </c>
      <c r="I21" s="52">
        <v>4742</v>
      </c>
    </row>
    <row r="22" spans="1:9" x14ac:dyDescent="0.2">
      <c r="A22" s="11" t="s">
        <v>21</v>
      </c>
      <c r="B22" s="10" t="s">
        <v>70</v>
      </c>
      <c r="C22" s="52">
        <v>5952</v>
      </c>
      <c r="D22" s="52">
        <v>10935</v>
      </c>
      <c r="E22" s="52">
        <v>12428</v>
      </c>
      <c r="F22" s="52">
        <v>12884</v>
      </c>
      <c r="G22" s="52">
        <v>16877</v>
      </c>
      <c r="H22" s="52">
        <v>15666</v>
      </c>
      <c r="I22" s="52">
        <v>13675</v>
      </c>
    </row>
    <row r="23" spans="1:9" x14ac:dyDescent="0.2">
      <c r="A23" s="11" t="s">
        <v>22</v>
      </c>
      <c r="B23" s="10" t="s">
        <v>70</v>
      </c>
      <c r="C23" s="52">
        <v>4941</v>
      </c>
      <c r="D23" s="52">
        <v>9865</v>
      </c>
      <c r="E23" s="52">
        <v>10860</v>
      </c>
      <c r="F23" s="52">
        <v>11110</v>
      </c>
      <c r="G23" s="52">
        <v>14832</v>
      </c>
      <c r="H23" s="52">
        <v>13966</v>
      </c>
      <c r="I23" s="52">
        <v>10660</v>
      </c>
    </row>
    <row r="24" spans="1:9" x14ac:dyDescent="0.2">
      <c r="A24" s="11" t="s">
        <v>23</v>
      </c>
      <c r="B24" s="10" t="s">
        <v>70</v>
      </c>
      <c r="C24" s="52">
        <v>9788</v>
      </c>
      <c r="D24" s="52">
        <v>17785</v>
      </c>
      <c r="E24" s="52">
        <v>19803</v>
      </c>
      <c r="F24" s="52">
        <v>19770</v>
      </c>
      <c r="G24" s="52">
        <v>28222</v>
      </c>
      <c r="H24" s="52">
        <v>26996</v>
      </c>
      <c r="I24" s="52">
        <v>21148</v>
      </c>
    </row>
    <row r="25" spans="1:9" x14ac:dyDescent="0.2">
      <c r="A25" s="11" t="s">
        <v>24</v>
      </c>
      <c r="B25" s="10" t="s">
        <v>70</v>
      </c>
      <c r="C25" s="52">
        <v>849</v>
      </c>
      <c r="D25" s="52">
        <v>1492</v>
      </c>
      <c r="E25" s="52">
        <v>1637</v>
      </c>
      <c r="F25" s="52">
        <v>1758</v>
      </c>
      <c r="G25" s="52">
        <v>2518</v>
      </c>
      <c r="H25" s="52">
        <v>2292</v>
      </c>
      <c r="I25" s="52">
        <v>1580</v>
      </c>
    </row>
    <row r="26" spans="1:9" x14ac:dyDescent="0.2">
      <c r="A26" s="11" t="s">
        <v>25</v>
      </c>
      <c r="B26" s="10" t="s">
        <v>70</v>
      </c>
      <c r="C26" s="52">
        <v>5549</v>
      </c>
      <c r="D26" s="52">
        <v>9433</v>
      </c>
      <c r="E26" s="52">
        <v>10284</v>
      </c>
      <c r="F26" s="52">
        <v>10841</v>
      </c>
      <c r="G26" s="52">
        <v>13828</v>
      </c>
      <c r="H26" s="52">
        <v>12068</v>
      </c>
      <c r="I26" s="52">
        <v>9046</v>
      </c>
    </row>
    <row r="27" spans="1:9" x14ac:dyDescent="0.2">
      <c r="A27" s="11" t="s">
        <v>26</v>
      </c>
      <c r="B27" s="10" t="s">
        <v>70</v>
      </c>
      <c r="C27" s="52">
        <v>2889</v>
      </c>
      <c r="D27" s="52">
        <v>5834</v>
      </c>
      <c r="E27" s="52">
        <v>6204</v>
      </c>
      <c r="F27" s="52">
        <v>6783</v>
      </c>
      <c r="G27" s="52">
        <v>7919</v>
      </c>
      <c r="H27" s="52">
        <v>6892</v>
      </c>
      <c r="I27" s="52">
        <v>4762</v>
      </c>
    </row>
    <row r="28" spans="1:9" x14ac:dyDescent="0.2">
      <c r="A28" s="11" t="s">
        <v>27</v>
      </c>
      <c r="B28" s="10" t="s">
        <v>70</v>
      </c>
      <c r="C28" s="52">
        <v>104</v>
      </c>
      <c r="D28" s="52">
        <v>139</v>
      </c>
      <c r="E28" s="52">
        <v>192</v>
      </c>
      <c r="F28" s="52">
        <v>280</v>
      </c>
      <c r="G28" s="52">
        <v>439</v>
      </c>
      <c r="H28" s="52">
        <v>500</v>
      </c>
      <c r="I28" s="52">
        <v>378</v>
      </c>
    </row>
    <row r="29" spans="1:9" x14ac:dyDescent="0.2">
      <c r="A29" s="11" t="s">
        <v>28</v>
      </c>
      <c r="B29" s="10" t="s">
        <v>70</v>
      </c>
      <c r="C29" s="52">
        <v>4321</v>
      </c>
      <c r="D29" s="52">
        <v>8118</v>
      </c>
      <c r="E29" s="52">
        <v>9062</v>
      </c>
      <c r="F29" s="52">
        <v>9874</v>
      </c>
      <c r="G29" s="52">
        <v>12490</v>
      </c>
      <c r="H29" s="52">
        <v>11145</v>
      </c>
      <c r="I29" s="52">
        <v>9396</v>
      </c>
    </row>
    <row r="30" spans="1:9" x14ac:dyDescent="0.2">
      <c r="A30" s="11" t="s">
        <v>29</v>
      </c>
      <c r="B30" s="10" t="s">
        <v>70</v>
      </c>
      <c r="C30" s="52">
        <v>545</v>
      </c>
      <c r="D30" s="52">
        <v>991</v>
      </c>
      <c r="E30" s="52">
        <v>1010</v>
      </c>
      <c r="F30" s="52">
        <v>1152</v>
      </c>
      <c r="G30" s="52">
        <v>1476</v>
      </c>
      <c r="H30" s="52">
        <v>1330</v>
      </c>
      <c r="I30" s="52">
        <v>983</v>
      </c>
    </row>
    <row r="31" spans="1:9" x14ac:dyDescent="0.2">
      <c r="A31" s="11" t="s">
        <v>30</v>
      </c>
      <c r="B31" s="10" t="s">
        <v>70</v>
      </c>
      <c r="C31" s="52">
        <v>1004</v>
      </c>
      <c r="D31" s="52">
        <v>1758</v>
      </c>
      <c r="E31" s="52">
        <v>1771</v>
      </c>
      <c r="F31" s="52">
        <v>2073</v>
      </c>
      <c r="G31" s="52">
        <v>2221</v>
      </c>
      <c r="H31" s="52">
        <v>1943</v>
      </c>
      <c r="I31" s="52">
        <v>1347</v>
      </c>
    </row>
    <row r="32" spans="1:9" x14ac:dyDescent="0.2">
      <c r="A32" s="11" t="s">
        <v>31</v>
      </c>
      <c r="B32" s="10" t="s">
        <v>70</v>
      </c>
      <c r="C32" s="52">
        <v>1409</v>
      </c>
      <c r="D32" s="52">
        <v>2309</v>
      </c>
      <c r="E32" s="52">
        <v>2487</v>
      </c>
      <c r="F32" s="52">
        <v>2789</v>
      </c>
      <c r="G32" s="52">
        <v>3698</v>
      </c>
      <c r="H32" s="52">
        <v>3488</v>
      </c>
      <c r="I32" s="52">
        <v>2778</v>
      </c>
    </row>
    <row r="33" spans="1:9" x14ac:dyDescent="0.2">
      <c r="A33" s="11" t="s">
        <v>32</v>
      </c>
      <c r="B33" s="10" t="s">
        <v>70</v>
      </c>
      <c r="C33" s="52">
        <v>2473</v>
      </c>
      <c r="D33" s="52">
        <v>3567</v>
      </c>
      <c r="E33" s="52">
        <v>3974</v>
      </c>
      <c r="F33" s="52">
        <v>4422</v>
      </c>
      <c r="G33" s="52">
        <v>5379</v>
      </c>
      <c r="H33" s="52">
        <v>5216</v>
      </c>
      <c r="I33" s="52">
        <v>3863</v>
      </c>
    </row>
    <row r="34" spans="1:9" x14ac:dyDescent="0.2">
      <c r="A34" s="11" t="s">
        <v>33</v>
      </c>
      <c r="B34" s="10" t="s">
        <v>70</v>
      </c>
      <c r="C34" s="52">
        <v>1394</v>
      </c>
      <c r="D34" s="52">
        <v>2361</v>
      </c>
      <c r="E34" s="52">
        <v>2834</v>
      </c>
      <c r="F34" s="52">
        <v>2863</v>
      </c>
      <c r="G34" s="52">
        <v>3718</v>
      </c>
      <c r="H34" s="52">
        <v>3601</v>
      </c>
      <c r="I34" s="52">
        <v>2693</v>
      </c>
    </row>
    <row r="35" spans="1:9" x14ac:dyDescent="0.2">
      <c r="A35" s="11" t="s">
        <v>34</v>
      </c>
      <c r="B35" s="10" t="s">
        <v>70</v>
      </c>
      <c r="C35" s="52">
        <v>694</v>
      </c>
      <c r="D35" s="52">
        <v>1264</v>
      </c>
      <c r="E35" s="52">
        <v>1371</v>
      </c>
      <c r="F35" s="52">
        <v>1518</v>
      </c>
      <c r="G35" s="52">
        <v>1978</v>
      </c>
      <c r="H35" s="52">
        <v>1784</v>
      </c>
      <c r="I35" s="52">
        <v>1421</v>
      </c>
    </row>
    <row r="36" spans="1:9" x14ac:dyDescent="0.2">
      <c r="A36" s="11" t="s">
        <v>35</v>
      </c>
      <c r="B36" s="10" t="s">
        <v>70</v>
      </c>
      <c r="C36" s="52">
        <v>4309</v>
      </c>
      <c r="D36" s="52">
        <v>7255</v>
      </c>
      <c r="E36" s="52">
        <v>7812</v>
      </c>
      <c r="F36" s="52">
        <v>8230</v>
      </c>
      <c r="G36" s="52">
        <v>10022</v>
      </c>
      <c r="H36" s="52">
        <v>8237</v>
      </c>
      <c r="I36" s="52">
        <v>6410</v>
      </c>
    </row>
    <row r="37" spans="1:9" x14ac:dyDescent="0.2">
      <c r="A37" s="11" t="s">
        <v>36</v>
      </c>
      <c r="B37" s="10" t="s">
        <v>70</v>
      </c>
      <c r="C37" s="52">
        <v>13242</v>
      </c>
      <c r="D37" s="52">
        <v>24467</v>
      </c>
      <c r="E37" s="52">
        <v>26185</v>
      </c>
      <c r="F37" s="52">
        <v>25337</v>
      </c>
      <c r="G37" s="52">
        <v>32961</v>
      </c>
      <c r="H37" s="52">
        <v>32689</v>
      </c>
      <c r="I37" s="52">
        <v>28965</v>
      </c>
    </row>
    <row r="38" spans="1:9" x14ac:dyDescent="0.2">
      <c r="A38" s="11" t="s">
        <v>37</v>
      </c>
      <c r="B38" s="10" t="s">
        <v>70</v>
      </c>
      <c r="C38" s="52">
        <v>2420</v>
      </c>
      <c r="D38" s="52">
        <v>3832</v>
      </c>
      <c r="E38" s="52">
        <v>4272</v>
      </c>
      <c r="F38" s="52">
        <v>4614</v>
      </c>
      <c r="G38" s="52">
        <v>5536</v>
      </c>
      <c r="H38" s="52">
        <v>5362</v>
      </c>
      <c r="I38" s="52">
        <v>4117</v>
      </c>
    </row>
    <row r="39" spans="1:9" x14ac:dyDescent="0.2">
      <c r="A39" s="11" t="s">
        <v>38</v>
      </c>
      <c r="B39" s="10" t="s">
        <v>70</v>
      </c>
      <c r="C39" s="52">
        <v>3500</v>
      </c>
      <c r="D39" s="52">
        <v>6196</v>
      </c>
      <c r="E39" s="52">
        <v>7129</v>
      </c>
      <c r="F39" s="52">
        <v>7792</v>
      </c>
      <c r="G39" s="52">
        <v>9917</v>
      </c>
      <c r="H39" s="52">
        <v>9690</v>
      </c>
      <c r="I39" s="52">
        <v>8429</v>
      </c>
    </row>
    <row r="40" spans="1:9" x14ac:dyDescent="0.2">
      <c r="A40" s="11" t="s">
        <v>39</v>
      </c>
      <c r="B40" s="10" t="s">
        <v>70</v>
      </c>
      <c r="C40" s="52">
        <v>6083</v>
      </c>
      <c r="D40" s="52">
        <v>11542</v>
      </c>
      <c r="E40" s="52">
        <v>12613</v>
      </c>
      <c r="F40" s="52">
        <v>13268</v>
      </c>
      <c r="G40" s="52">
        <v>17470</v>
      </c>
      <c r="H40" s="52">
        <v>15953</v>
      </c>
      <c r="I40" s="52">
        <v>12841</v>
      </c>
    </row>
    <row r="41" spans="1:9" x14ac:dyDescent="0.2">
      <c r="A41" s="11" t="s">
        <v>40</v>
      </c>
      <c r="B41" s="10" t="s">
        <v>70</v>
      </c>
      <c r="C41" s="52">
        <v>6060</v>
      </c>
      <c r="D41" s="52">
        <v>11289</v>
      </c>
      <c r="E41" s="52">
        <v>13132</v>
      </c>
      <c r="F41" s="52">
        <v>13995</v>
      </c>
      <c r="G41" s="52">
        <v>18435</v>
      </c>
      <c r="H41" s="52">
        <v>15569</v>
      </c>
      <c r="I41" s="52">
        <v>12723</v>
      </c>
    </row>
    <row r="42" spans="1:9" x14ac:dyDescent="0.2">
      <c r="A42" s="11" t="s">
        <v>41</v>
      </c>
      <c r="B42" s="10" t="s">
        <v>70</v>
      </c>
      <c r="C42" s="52">
        <v>2936</v>
      </c>
      <c r="D42" s="52">
        <v>4941</v>
      </c>
      <c r="E42" s="52">
        <v>6323</v>
      </c>
      <c r="F42" s="52">
        <v>6377</v>
      </c>
      <c r="G42" s="52">
        <v>8254</v>
      </c>
      <c r="H42" s="52">
        <v>8459</v>
      </c>
      <c r="I42" s="52">
        <v>6593</v>
      </c>
    </row>
    <row r="43" spans="1:9" x14ac:dyDescent="0.2">
      <c r="A43" s="11" t="s">
        <v>42</v>
      </c>
      <c r="B43" s="10" t="s">
        <v>70</v>
      </c>
      <c r="C43" s="52">
        <v>1071</v>
      </c>
      <c r="D43" s="52">
        <v>1861</v>
      </c>
      <c r="E43" s="52">
        <v>2173</v>
      </c>
      <c r="F43" s="52">
        <v>2452</v>
      </c>
      <c r="G43" s="52">
        <v>3211</v>
      </c>
      <c r="H43" s="52">
        <v>3080</v>
      </c>
      <c r="I43" s="52">
        <v>2317</v>
      </c>
    </row>
    <row r="44" spans="1:9" x14ac:dyDescent="0.2">
      <c r="A44" s="11" t="s">
        <v>43</v>
      </c>
      <c r="B44" s="10" t="s">
        <v>70</v>
      </c>
      <c r="C44" s="52">
        <v>3012</v>
      </c>
      <c r="D44" s="52">
        <v>5010</v>
      </c>
      <c r="E44" s="52">
        <v>4984</v>
      </c>
      <c r="F44" s="52">
        <v>5510</v>
      </c>
      <c r="G44" s="52">
        <v>7218</v>
      </c>
      <c r="H44" s="52">
        <v>6969</v>
      </c>
      <c r="I44" s="52">
        <v>5623</v>
      </c>
    </row>
    <row r="45" spans="1:9" x14ac:dyDescent="0.2">
      <c r="A45" s="11" t="s">
        <v>44</v>
      </c>
      <c r="B45" s="10" t="s">
        <v>70</v>
      </c>
      <c r="C45" s="52">
        <v>1163</v>
      </c>
      <c r="D45" s="52">
        <v>2354</v>
      </c>
      <c r="E45" s="52">
        <v>2470</v>
      </c>
      <c r="F45" s="52">
        <v>2701</v>
      </c>
      <c r="G45" s="52">
        <v>3737</v>
      </c>
      <c r="H45" s="52">
        <v>3380</v>
      </c>
      <c r="I45" s="52">
        <v>2825</v>
      </c>
    </row>
    <row r="46" spans="1:9" x14ac:dyDescent="0.2">
      <c r="A46" s="11" t="s">
        <v>45</v>
      </c>
      <c r="B46" s="10" t="s">
        <v>70</v>
      </c>
      <c r="C46" s="52">
        <v>2609</v>
      </c>
      <c r="D46" s="52">
        <v>5170</v>
      </c>
      <c r="E46" s="52">
        <v>6167</v>
      </c>
      <c r="F46" s="52">
        <v>6463</v>
      </c>
      <c r="G46" s="52">
        <v>9398</v>
      </c>
      <c r="H46" s="52">
        <v>8278</v>
      </c>
      <c r="I46" s="52">
        <v>5130</v>
      </c>
    </row>
    <row r="47" spans="1:9" x14ac:dyDescent="0.2">
      <c r="A47" s="11" t="s">
        <v>46</v>
      </c>
      <c r="B47" s="10" t="s">
        <v>70</v>
      </c>
      <c r="C47" s="52">
        <v>14435</v>
      </c>
      <c r="D47" s="52">
        <v>26033</v>
      </c>
      <c r="E47" s="52">
        <v>28156</v>
      </c>
      <c r="F47" s="52">
        <v>29322</v>
      </c>
      <c r="G47" s="52">
        <v>41434</v>
      </c>
      <c r="H47" s="52">
        <v>37472</v>
      </c>
      <c r="I47" s="52">
        <v>31343</v>
      </c>
    </row>
    <row r="48" spans="1:9" x14ac:dyDescent="0.2">
      <c r="A48" s="11" t="s">
        <v>47</v>
      </c>
      <c r="B48" s="10" t="s">
        <v>70</v>
      </c>
      <c r="C48" s="52">
        <v>418</v>
      </c>
      <c r="D48" s="52">
        <v>811</v>
      </c>
      <c r="E48" s="52">
        <v>936</v>
      </c>
      <c r="F48" s="52">
        <v>876</v>
      </c>
      <c r="G48" s="52">
        <v>1233</v>
      </c>
      <c r="H48" s="52">
        <v>1226</v>
      </c>
      <c r="I48" s="52">
        <v>1060</v>
      </c>
    </row>
    <row r="49" spans="1:9" x14ac:dyDescent="0.2">
      <c r="A49" s="11" t="s">
        <v>48</v>
      </c>
      <c r="B49" s="10" t="s">
        <v>70</v>
      </c>
      <c r="C49" s="52">
        <v>6285</v>
      </c>
      <c r="D49" s="52">
        <v>11265</v>
      </c>
      <c r="E49" s="52">
        <v>11818</v>
      </c>
      <c r="F49" s="52">
        <v>12553</v>
      </c>
      <c r="G49" s="52">
        <v>17474</v>
      </c>
      <c r="H49" s="52">
        <v>15365</v>
      </c>
      <c r="I49" s="52">
        <v>12153</v>
      </c>
    </row>
    <row r="50" spans="1:9" x14ac:dyDescent="0.2">
      <c r="A50" s="11" t="s">
        <v>49</v>
      </c>
      <c r="B50" s="10" t="s">
        <v>70</v>
      </c>
      <c r="C50" s="52">
        <v>2029</v>
      </c>
      <c r="D50" s="52">
        <v>3662</v>
      </c>
      <c r="E50" s="52">
        <v>4618</v>
      </c>
      <c r="F50" s="52">
        <v>4821</v>
      </c>
      <c r="G50" s="52">
        <v>6226</v>
      </c>
      <c r="H50" s="52">
        <v>5938</v>
      </c>
      <c r="I50" s="52">
        <v>4657</v>
      </c>
    </row>
    <row r="51" spans="1:9" x14ac:dyDescent="0.2">
      <c r="A51" s="11" t="s">
        <v>50</v>
      </c>
      <c r="B51" s="10" t="s">
        <v>70</v>
      </c>
      <c r="C51" s="52">
        <v>1449</v>
      </c>
      <c r="D51" s="52">
        <v>2629</v>
      </c>
      <c r="E51" s="52">
        <v>3036</v>
      </c>
      <c r="F51" s="52">
        <v>3260</v>
      </c>
      <c r="G51" s="52">
        <v>4270</v>
      </c>
      <c r="H51" s="52">
        <v>3776</v>
      </c>
      <c r="I51" s="52">
        <v>2561</v>
      </c>
    </row>
    <row r="52" spans="1:9" x14ac:dyDescent="0.2">
      <c r="A52" s="11" t="s">
        <v>51</v>
      </c>
      <c r="B52" s="10" t="s">
        <v>70</v>
      </c>
      <c r="C52" s="52">
        <v>10238</v>
      </c>
      <c r="D52" s="52">
        <v>25991</v>
      </c>
      <c r="E52" s="52">
        <v>23549</v>
      </c>
      <c r="F52" s="52">
        <v>18702</v>
      </c>
      <c r="G52" s="52">
        <v>20753</v>
      </c>
      <c r="H52" s="52">
        <v>18008</v>
      </c>
      <c r="I52" s="52">
        <v>14203</v>
      </c>
    </row>
    <row r="53" spans="1:9" x14ac:dyDescent="0.2">
      <c r="A53" s="11" t="s">
        <v>52</v>
      </c>
      <c r="B53" s="10" t="s">
        <v>70</v>
      </c>
      <c r="C53" s="52">
        <v>1266</v>
      </c>
      <c r="D53" s="52">
        <v>2423</v>
      </c>
      <c r="E53" s="52">
        <v>2959</v>
      </c>
      <c r="F53" s="52">
        <v>3257</v>
      </c>
      <c r="G53" s="52">
        <v>5235</v>
      </c>
      <c r="H53" s="52">
        <v>4620</v>
      </c>
      <c r="I53" s="52">
        <v>3186</v>
      </c>
    </row>
    <row r="54" spans="1:9" x14ac:dyDescent="0.2">
      <c r="A54" s="11" t="s">
        <v>53</v>
      </c>
      <c r="B54" s="10" t="s">
        <v>70</v>
      </c>
      <c r="C54" s="52">
        <v>521</v>
      </c>
      <c r="D54" s="52">
        <v>936</v>
      </c>
      <c r="E54" s="52">
        <v>1038</v>
      </c>
      <c r="F54" s="52">
        <v>1077</v>
      </c>
      <c r="G54" s="52">
        <v>1571</v>
      </c>
      <c r="H54" s="52">
        <v>1602</v>
      </c>
      <c r="I54" s="52">
        <v>1290</v>
      </c>
    </row>
    <row r="55" spans="1:9" x14ac:dyDescent="0.2">
      <c r="A55" s="11" t="s">
        <v>54</v>
      </c>
      <c r="B55" s="10" t="s">
        <v>70</v>
      </c>
      <c r="C55" s="52">
        <v>3743</v>
      </c>
      <c r="D55" s="52">
        <v>6286</v>
      </c>
      <c r="E55" s="52">
        <v>7376</v>
      </c>
      <c r="F55" s="52">
        <v>8405</v>
      </c>
      <c r="G55" s="52">
        <v>10555</v>
      </c>
      <c r="H55" s="52">
        <v>9584</v>
      </c>
      <c r="I55" s="52">
        <v>7242</v>
      </c>
    </row>
    <row r="56" spans="1:9" x14ac:dyDescent="0.2">
      <c r="A56" s="11" t="s">
        <v>55</v>
      </c>
      <c r="B56" s="10" t="s">
        <v>70</v>
      </c>
      <c r="C56" s="52">
        <v>1253</v>
      </c>
      <c r="D56" s="52">
        <v>1870</v>
      </c>
      <c r="E56" s="52">
        <v>2243</v>
      </c>
      <c r="F56" s="52">
        <v>2371</v>
      </c>
      <c r="G56" s="52">
        <v>3045</v>
      </c>
      <c r="H56" s="52">
        <v>2822</v>
      </c>
      <c r="I56" s="52">
        <v>2364</v>
      </c>
    </row>
    <row r="57" spans="1:9" x14ac:dyDescent="0.2">
      <c r="A57" s="11" t="s">
        <v>56</v>
      </c>
      <c r="B57" s="10" t="s">
        <v>70</v>
      </c>
      <c r="C57" s="52">
        <v>2327</v>
      </c>
      <c r="D57" s="52">
        <v>3938</v>
      </c>
      <c r="E57" s="52">
        <v>4381</v>
      </c>
      <c r="F57" s="52">
        <v>4924</v>
      </c>
      <c r="G57" s="52">
        <v>6275</v>
      </c>
      <c r="H57" s="52">
        <v>6299</v>
      </c>
      <c r="I57" s="52">
        <v>4704</v>
      </c>
    </row>
    <row r="58" spans="1:9" x14ac:dyDescent="0.2">
      <c r="A58" s="11" t="s">
        <v>57</v>
      </c>
      <c r="B58" s="10" t="s">
        <v>70</v>
      </c>
      <c r="C58" s="52">
        <v>156</v>
      </c>
      <c r="D58" s="52">
        <v>265</v>
      </c>
      <c r="E58" s="52">
        <v>362</v>
      </c>
      <c r="F58" s="52">
        <v>374</v>
      </c>
      <c r="G58" s="52">
        <v>563</v>
      </c>
      <c r="H58" s="52">
        <v>659</v>
      </c>
      <c r="I58" s="52">
        <v>465</v>
      </c>
    </row>
    <row r="59" spans="1:9" x14ac:dyDescent="0.2">
      <c r="A59" s="11" t="s">
        <v>58</v>
      </c>
      <c r="B59" s="10" t="s">
        <v>70</v>
      </c>
      <c r="C59" s="52">
        <v>1175</v>
      </c>
      <c r="D59" s="52">
        <v>2161</v>
      </c>
      <c r="E59" s="52">
        <v>2407</v>
      </c>
      <c r="F59" s="52">
        <v>2379</v>
      </c>
      <c r="G59" s="52">
        <v>3489</v>
      </c>
      <c r="H59" s="52">
        <v>3338</v>
      </c>
      <c r="I59" s="52">
        <v>2628</v>
      </c>
    </row>
    <row r="60" spans="1:9" x14ac:dyDescent="0.2">
      <c r="A60" s="11" t="s">
        <v>59</v>
      </c>
      <c r="B60" s="10" t="s">
        <v>70</v>
      </c>
      <c r="C60" s="52">
        <v>1120</v>
      </c>
      <c r="D60" s="52">
        <v>1977</v>
      </c>
      <c r="E60" s="52">
        <v>2458</v>
      </c>
      <c r="F60" s="52">
        <v>2549</v>
      </c>
      <c r="G60" s="52">
        <v>3494</v>
      </c>
      <c r="H60" s="52">
        <v>3582</v>
      </c>
      <c r="I60" s="52">
        <v>2936</v>
      </c>
    </row>
    <row r="61" spans="1:9" x14ac:dyDescent="0.2">
      <c r="A61" s="11" t="s">
        <v>60</v>
      </c>
      <c r="B61" s="10" t="s">
        <v>70</v>
      </c>
      <c r="C61" s="52">
        <v>1375</v>
      </c>
      <c r="D61" s="52">
        <v>1756</v>
      </c>
      <c r="E61" s="52">
        <v>1915</v>
      </c>
      <c r="F61" s="52">
        <v>1983</v>
      </c>
      <c r="G61" s="52">
        <v>2642</v>
      </c>
      <c r="H61" s="52">
        <v>2406</v>
      </c>
      <c r="I61" s="52">
        <v>2337</v>
      </c>
    </row>
    <row r="62" spans="1:9" x14ac:dyDescent="0.2">
      <c r="A62" s="11" t="s">
        <v>61</v>
      </c>
      <c r="B62" s="10" t="s">
        <v>70</v>
      </c>
      <c r="C62" s="52">
        <v>1264</v>
      </c>
      <c r="D62" s="52">
        <v>2225</v>
      </c>
      <c r="E62" s="52">
        <v>2716</v>
      </c>
      <c r="F62" s="52">
        <v>3049</v>
      </c>
      <c r="G62" s="52">
        <v>3887</v>
      </c>
      <c r="H62" s="52">
        <v>4039</v>
      </c>
      <c r="I62" s="52">
        <v>2994</v>
      </c>
    </row>
    <row r="63" spans="1:9" x14ac:dyDescent="0.2">
      <c r="A63" s="11" t="s">
        <v>62</v>
      </c>
      <c r="B63" s="10" t="s">
        <v>70</v>
      </c>
      <c r="C63" s="52">
        <v>1009</v>
      </c>
      <c r="D63" s="52">
        <v>1733</v>
      </c>
      <c r="E63" s="52">
        <v>2061</v>
      </c>
      <c r="F63" s="52">
        <v>2180</v>
      </c>
      <c r="G63" s="52">
        <v>3087</v>
      </c>
      <c r="H63" s="52">
        <v>3020</v>
      </c>
      <c r="I63" s="52">
        <v>2172</v>
      </c>
    </row>
    <row r="64" spans="1:9" x14ac:dyDescent="0.2">
      <c r="A64" s="11" t="s">
        <v>63</v>
      </c>
      <c r="B64" s="10" t="s">
        <v>70</v>
      </c>
      <c r="C64" s="52">
        <v>5447</v>
      </c>
      <c r="D64" s="52">
        <v>9721</v>
      </c>
      <c r="E64" s="52">
        <v>11167</v>
      </c>
      <c r="F64" s="52">
        <v>11594</v>
      </c>
      <c r="G64" s="52">
        <v>13855</v>
      </c>
      <c r="H64" s="52">
        <v>12502</v>
      </c>
      <c r="I64" s="52">
        <v>8688</v>
      </c>
    </row>
    <row r="65" spans="1:9" x14ac:dyDescent="0.2">
      <c r="A65" s="11" t="s">
        <v>64</v>
      </c>
      <c r="B65" s="10" t="s">
        <v>70</v>
      </c>
      <c r="C65" s="52">
        <v>1324</v>
      </c>
      <c r="D65" s="52">
        <v>2489</v>
      </c>
      <c r="E65" s="52">
        <v>2781</v>
      </c>
      <c r="F65" s="52">
        <v>2894</v>
      </c>
      <c r="G65" s="52">
        <v>4522</v>
      </c>
      <c r="H65" s="52">
        <v>4369</v>
      </c>
      <c r="I65" s="52">
        <v>3315</v>
      </c>
    </row>
    <row r="66" spans="1:9" x14ac:dyDescent="0.2">
      <c r="A66" s="11" t="s">
        <v>65</v>
      </c>
      <c r="B66" s="10" t="s">
        <v>70</v>
      </c>
      <c r="C66" s="52">
        <v>9107</v>
      </c>
      <c r="D66" s="52">
        <v>16480</v>
      </c>
      <c r="E66" s="52">
        <v>18335</v>
      </c>
      <c r="F66" s="52">
        <v>19341</v>
      </c>
      <c r="G66" s="52">
        <v>25934</v>
      </c>
      <c r="H66" s="52">
        <v>23706</v>
      </c>
      <c r="I66" s="52">
        <v>18022</v>
      </c>
    </row>
    <row r="67" spans="1:9" x14ac:dyDescent="0.2">
      <c r="A67" s="11" t="s">
        <v>66</v>
      </c>
      <c r="B67" s="10" t="s">
        <v>70</v>
      </c>
      <c r="C67" s="52">
        <v>756</v>
      </c>
      <c r="D67" s="52">
        <v>1378</v>
      </c>
      <c r="E67" s="52">
        <v>1537</v>
      </c>
      <c r="F67" s="52">
        <v>1751</v>
      </c>
      <c r="G67" s="52">
        <v>2151</v>
      </c>
      <c r="H67" s="52">
        <v>2057</v>
      </c>
      <c r="I67" s="52">
        <v>1710</v>
      </c>
    </row>
    <row r="68" spans="1:9" ht="13.5" thickBot="1" x14ac:dyDescent="0.25">
      <c r="A68" s="13" t="s">
        <v>67</v>
      </c>
      <c r="B68" s="12" t="s">
        <v>70</v>
      </c>
      <c r="C68" s="52">
        <v>11396</v>
      </c>
      <c r="D68" s="52">
        <v>21511</v>
      </c>
      <c r="E68" s="52">
        <v>25160</v>
      </c>
      <c r="F68" s="52">
        <v>25591</v>
      </c>
      <c r="G68" s="52">
        <v>34405</v>
      </c>
      <c r="H68" s="52">
        <v>28807</v>
      </c>
      <c r="I68" s="52">
        <v>21435</v>
      </c>
    </row>
    <row r="69" spans="1:9" x14ac:dyDescent="0.2">
      <c r="A69" s="32" t="s">
        <v>68</v>
      </c>
      <c r="C69" s="14">
        <f>SUM(C2:C68)</f>
        <v>260188</v>
      </c>
      <c r="D69" s="14">
        <f t="shared" ref="D69:I69" si="0">SUM(D2:D68)</f>
        <v>471090</v>
      </c>
      <c r="E69" s="14">
        <f t="shared" si="0"/>
        <v>514891</v>
      </c>
      <c r="F69" s="14">
        <f t="shared" si="0"/>
        <v>532393</v>
      </c>
      <c r="G69" s="14">
        <f t="shared" si="0"/>
        <v>707597</v>
      </c>
      <c r="H69" s="14">
        <f t="shared" si="0"/>
        <v>648534</v>
      </c>
      <c r="I69" s="14">
        <f t="shared" si="0"/>
        <v>506765</v>
      </c>
    </row>
    <row r="70" spans="1:9" x14ac:dyDescent="0.2">
      <c r="C70" s="17">
        <f>C69/$C$72</f>
        <v>7.1451599881146508E-2</v>
      </c>
      <c r="D70" s="17">
        <f t="shared" ref="D70:I70" si="1">D69/$C$72</f>
        <v>0.12936851118425641</v>
      </c>
      <c r="E70" s="17">
        <f t="shared" si="1"/>
        <v>0.14139693496396225</v>
      </c>
      <c r="F70" s="17">
        <f t="shared" si="1"/>
        <v>0.1462032515547344</v>
      </c>
      <c r="G70" s="17">
        <f t="shared" si="1"/>
        <v>0.19431694667355767</v>
      </c>
      <c r="H70" s="17">
        <f t="shared" si="1"/>
        <v>0.17809734452518744</v>
      </c>
      <c r="I70" s="17">
        <f t="shared" si="1"/>
        <v>0.13916541121715534</v>
      </c>
    </row>
    <row r="72" spans="1:9" x14ac:dyDescent="0.2">
      <c r="A72" s="32" t="s">
        <v>80</v>
      </c>
      <c r="C72" s="16">
        <f>SUM(C69:I69)</f>
        <v>3641458</v>
      </c>
    </row>
    <row r="75" spans="1:9" x14ac:dyDescent="0.2">
      <c r="I75" s="10"/>
    </row>
    <row r="80" spans="1:9" x14ac:dyDescent="0.2">
      <c r="H80" s="11"/>
    </row>
    <row r="81" spans="3:8" x14ac:dyDescent="0.2">
      <c r="H81" s="11"/>
    </row>
    <row r="82" spans="3:8" x14ac:dyDescent="0.2">
      <c r="H82" s="11"/>
    </row>
    <row r="83" spans="3:8" x14ac:dyDescent="0.2">
      <c r="H83" s="11"/>
    </row>
    <row r="84" spans="3:8" x14ac:dyDescent="0.2">
      <c r="H84" s="11"/>
    </row>
    <row r="85" spans="3:8" x14ac:dyDescent="0.2">
      <c r="H85" s="11"/>
    </row>
    <row r="86" spans="3:8" x14ac:dyDescent="0.2">
      <c r="C86" s="11"/>
    </row>
    <row r="87" spans="3:8" x14ac:dyDescent="0.2">
      <c r="C87" s="11"/>
    </row>
    <row r="88" spans="3:8" x14ac:dyDescent="0.2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A4" sqref="A4"/>
    </sheetView>
  </sheetViews>
  <sheetFormatPr defaultColWidth="9.140625" defaultRowHeight="12.75" x14ac:dyDescent="0.2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7" customWidth="1"/>
    <col min="8" max="16384" width="9.140625" style="11"/>
  </cols>
  <sheetData>
    <row r="1" spans="1:7" x14ac:dyDescent="0.2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">
      <c r="A3" s="11" t="s">
        <v>132</v>
      </c>
      <c r="B3" s="69">
        <v>17719</v>
      </c>
      <c r="C3" s="70">
        <v>1389</v>
      </c>
      <c r="D3" s="69">
        <v>42080</v>
      </c>
      <c r="E3" s="70">
        <v>1877</v>
      </c>
      <c r="F3" s="72">
        <v>11950</v>
      </c>
      <c r="G3" s="74">
        <v>1215</v>
      </c>
    </row>
    <row r="4" spans="1:7" x14ac:dyDescent="0.2">
      <c r="A4" s="11" t="s">
        <v>2</v>
      </c>
      <c r="B4" s="69">
        <v>471130</v>
      </c>
      <c r="C4" s="70">
        <v>31299</v>
      </c>
      <c r="D4" s="69">
        <v>252869</v>
      </c>
      <c r="E4" s="70">
        <v>11029</v>
      </c>
      <c r="F4" s="72">
        <v>136097</v>
      </c>
      <c r="G4" s="75">
        <v>13027</v>
      </c>
    </row>
    <row r="5" spans="1:7" x14ac:dyDescent="0.2">
      <c r="A5" s="11" t="s">
        <v>3</v>
      </c>
      <c r="B5" s="69">
        <v>10283</v>
      </c>
      <c r="C5" s="70">
        <v>415</v>
      </c>
      <c r="D5" s="69">
        <v>27023</v>
      </c>
      <c r="E5" s="70">
        <v>617</v>
      </c>
      <c r="F5" s="72">
        <v>4972</v>
      </c>
      <c r="G5" s="75">
        <v>265</v>
      </c>
    </row>
    <row r="6" spans="1:7" x14ac:dyDescent="0.2">
      <c r="A6" s="11" t="s">
        <v>4</v>
      </c>
      <c r="B6" s="69">
        <v>43701</v>
      </c>
      <c r="C6" s="70">
        <v>2141</v>
      </c>
      <c r="D6" s="69">
        <v>50201</v>
      </c>
      <c r="E6" s="70">
        <v>1735</v>
      </c>
      <c r="F6" s="72">
        <v>15207</v>
      </c>
      <c r="G6" s="75">
        <v>1215</v>
      </c>
    </row>
    <row r="7" spans="1:7" x14ac:dyDescent="0.2">
      <c r="A7" s="11" t="s">
        <v>5</v>
      </c>
      <c r="B7" s="69">
        <v>5103</v>
      </c>
      <c r="C7" s="70">
        <v>180</v>
      </c>
      <c r="D7" s="69">
        <v>24156</v>
      </c>
      <c r="E7" s="70">
        <v>415</v>
      </c>
      <c r="F7" s="72">
        <v>3027</v>
      </c>
      <c r="G7" s="75">
        <v>145</v>
      </c>
    </row>
    <row r="8" spans="1:7" x14ac:dyDescent="0.2">
      <c r="A8" s="11" t="s">
        <v>6</v>
      </c>
      <c r="B8" s="69">
        <v>98273</v>
      </c>
      <c r="C8" s="70">
        <v>5899</v>
      </c>
      <c r="D8" s="69">
        <v>114627</v>
      </c>
      <c r="E8" s="70">
        <v>3505</v>
      </c>
      <c r="F8" s="72">
        <v>47550</v>
      </c>
      <c r="G8" s="75">
        <v>3498</v>
      </c>
    </row>
    <row r="9" spans="1:7" x14ac:dyDescent="0.2">
      <c r="A9" s="11" t="s">
        <v>7</v>
      </c>
      <c r="B9" s="69">
        <v>18367</v>
      </c>
      <c r="C9" s="70">
        <v>1381</v>
      </c>
      <c r="D9" s="69">
        <v>48827</v>
      </c>
      <c r="E9" s="70">
        <v>1893</v>
      </c>
      <c r="F9" s="72">
        <v>10013</v>
      </c>
      <c r="G9" s="75">
        <v>1049</v>
      </c>
    </row>
    <row r="10" spans="1:7" x14ac:dyDescent="0.2">
      <c r="A10" s="11" t="s">
        <v>8</v>
      </c>
      <c r="B10" s="69">
        <v>7331</v>
      </c>
      <c r="C10" s="70">
        <v>468</v>
      </c>
      <c r="D10" s="69">
        <v>24699</v>
      </c>
      <c r="E10" s="70">
        <v>925</v>
      </c>
      <c r="F10" s="72">
        <v>4963</v>
      </c>
      <c r="G10" s="75">
        <v>390</v>
      </c>
    </row>
    <row r="11" spans="1:7" x14ac:dyDescent="0.2">
      <c r="A11" s="11" t="s">
        <v>9</v>
      </c>
      <c r="B11" s="69">
        <v>180421</v>
      </c>
      <c r="C11" s="70">
        <v>13278</v>
      </c>
      <c r="D11" s="69">
        <v>192625</v>
      </c>
      <c r="E11" s="70">
        <v>9743</v>
      </c>
      <c r="F11" s="72">
        <v>79947</v>
      </c>
      <c r="G11" s="75">
        <v>7680</v>
      </c>
    </row>
    <row r="12" spans="1:7" x14ac:dyDescent="0.2">
      <c r="A12" s="11" t="s">
        <v>10</v>
      </c>
      <c r="B12" s="69">
        <v>37304</v>
      </c>
      <c r="C12" s="70">
        <v>1734</v>
      </c>
      <c r="D12" s="69">
        <v>80349</v>
      </c>
      <c r="E12" s="70">
        <v>2526</v>
      </c>
      <c r="F12" s="72">
        <v>19832</v>
      </c>
      <c r="G12" s="75">
        <v>1418</v>
      </c>
    </row>
    <row r="13" spans="1:7" x14ac:dyDescent="0.2">
      <c r="A13" s="11" t="s">
        <v>11</v>
      </c>
      <c r="B13" s="69">
        <v>28364</v>
      </c>
      <c r="C13" s="70">
        <v>1152</v>
      </c>
      <c r="D13" s="69">
        <v>45473</v>
      </c>
      <c r="E13" s="70">
        <v>1073</v>
      </c>
      <c r="F13" s="72">
        <v>9287</v>
      </c>
      <c r="G13" s="75">
        <v>608</v>
      </c>
    </row>
    <row r="14" spans="1:7" x14ac:dyDescent="0.2">
      <c r="A14" s="11" t="s">
        <v>12</v>
      </c>
      <c r="B14" s="69">
        <v>638</v>
      </c>
      <c r="C14" s="70">
        <v>28</v>
      </c>
      <c r="D14" s="69">
        <v>1786</v>
      </c>
      <c r="E14" s="70">
        <v>53</v>
      </c>
      <c r="F14" s="72">
        <v>350</v>
      </c>
      <c r="G14" s="75">
        <v>22</v>
      </c>
    </row>
    <row r="15" spans="1:7" x14ac:dyDescent="0.2">
      <c r="A15" s="11" t="s">
        <v>13</v>
      </c>
      <c r="B15" s="69">
        <v>13320</v>
      </c>
      <c r="C15" s="70">
        <v>747</v>
      </c>
      <c r="D15" s="69">
        <v>23010</v>
      </c>
      <c r="E15" s="70">
        <v>846</v>
      </c>
      <c r="F15" s="72">
        <v>7079</v>
      </c>
      <c r="G15" s="75">
        <v>563</v>
      </c>
    </row>
    <row r="16" spans="1:7" x14ac:dyDescent="0.2">
      <c r="A16" s="11" t="s">
        <v>14</v>
      </c>
      <c r="B16" s="69">
        <v>35457</v>
      </c>
      <c r="C16" s="70">
        <v>6004</v>
      </c>
      <c r="D16" s="69">
        <v>38473</v>
      </c>
      <c r="E16" s="70">
        <v>3427</v>
      </c>
      <c r="F16" s="72">
        <v>15555</v>
      </c>
      <c r="G16" s="75">
        <v>3132</v>
      </c>
    </row>
    <row r="17" spans="1:7" x14ac:dyDescent="0.2">
      <c r="A17" s="11" t="s">
        <v>15</v>
      </c>
      <c r="B17" s="69">
        <v>152789</v>
      </c>
      <c r="C17" s="70">
        <v>7650</v>
      </c>
      <c r="D17" s="69">
        <v>146917</v>
      </c>
      <c r="E17" s="70">
        <v>5257</v>
      </c>
      <c r="F17" s="72">
        <v>71855</v>
      </c>
      <c r="G17" s="75">
        <v>4276</v>
      </c>
    </row>
    <row r="18" spans="1:7" x14ac:dyDescent="0.2">
      <c r="A18" s="11" t="s">
        <v>16</v>
      </c>
      <c r="B18" s="69">
        <v>4722</v>
      </c>
      <c r="C18" s="70">
        <v>348</v>
      </c>
      <c r="D18" s="69">
        <v>14948</v>
      </c>
      <c r="E18" s="70">
        <v>622</v>
      </c>
      <c r="F18" s="72">
        <v>2462</v>
      </c>
      <c r="G18" s="75">
        <v>257</v>
      </c>
    </row>
    <row r="19" spans="1:7" x14ac:dyDescent="0.2">
      <c r="A19" s="11" t="s">
        <v>17</v>
      </c>
      <c r="B19" s="69">
        <v>11267</v>
      </c>
      <c r="C19" s="70">
        <v>799</v>
      </c>
      <c r="D19" s="69">
        <v>30104</v>
      </c>
      <c r="E19" s="70">
        <v>1340</v>
      </c>
      <c r="F19" s="72">
        <v>5436</v>
      </c>
      <c r="G19" s="75">
        <v>625</v>
      </c>
    </row>
    <row r="20" spans="1:7" x14ac:dyDescent="0.2">
      <c r="A20" s="11" t="s">
        <v>18</v>
      </c>
      <c r="B20" s="69">
        <v>5781</v>
      </c>
      <c r="C20" s="70">
        <v>283</v>
      </c>
      <c r="D20" s="69">
        <v>12934</v>
      </c>
      <c r="E20" s="70">
        <v>386</v>
      </c>
      <c r="F20" s="72">
        <v>2925</v>
      </c>
      <c r="G20" s="75">
        <v>210</v>
      </c>
    </row>
    <row r="21" spans="1:7" x14ac:dyDescent="0.2">
      <c r="A21" s="11" t="s">
        <v>19</v>
      </c>
      <c r="B21" s="69">
        <v>11166</v>
      </c>
      <c r="C21" s="70">
        <v>650</v>
      </c>
      <c r="D21" s="69">
        <v>21833</v>
      </c>
      <c r="E21" s="70">
        <v>618</v>
      </c>
      <c r="F21" s="72">
        <v>5870</v>
      </c>
      <c r="G21" s="75">
        <v>449</v>
      </c>
    </row>
    <row r="22" spans="1:7" x14ac:dyDescent="0.2">
      <c r="A22" s="11" t="s">
        <v>20</v>
      </c>
      <c r="B22" s="69">
        <v>13443</v>
      </c>
      <c r="C22" s="70">
        <v>1018</v>
      </c>
      <c r="D22" s="69">
        <v>30733</v>
      </c>
      <c r="E22" s="70">
        <v>1119</v>
      </c>
      <c r="F22" s="72">
        <v>6155</v>
      </c>
      <c r="G22" s="75">
        <v>591</v>
      </c>
    </row>
    <row r="23" spans="1:7" x14ac:dyDescent="0.2">
      <c r="A23" s="11" t="s">
        <v>21</v>
      </c>
      <c r="B23" s="69">
        <v>57574</v>
      </c>
      <c r="C23" s="70">
        <v>3623</v>
      </c>
      <c r="D23" s="69">
        <v>85100</v>
      </c>
      <c r="E23" s="70">
        <v>3317</v>
      </c>
      <c r="F23" s="72">
        <v>30621</v>
      </c>
      <c r="G23" s="75">
        <v>2483</v>
      </c>
    </row>
    <row r="24" spans="1:7" x14ac:dyDescent="0.2">
      <c r="A24" s="11" t="s">
        <v>22</v>
      </c>
      <c r="B24" s="69">
        <v>77724</v>
      </c>
      <c r="C24" s="70">
        <v>7899</v>
      </c>
      <c r="D24" s="69">
        <v>71786</v>
      </c>
      <c r="E24" s="70">
        <v>4448</v>
      </c>
      <c r="F24" s="72">
        <v>33278</v>
      </c>
      <c r="G24" s="75">
        <v>4424</v>
      </c>
    </row>
    <row r="25" spans="1:7" x14ac:dyDescent="0.2">
      <c r="A25" s="11" t="s">
        <v>23</v>
      </c>
      <c r="B25" s="69">
        <v>181620</v>
      </c>
      <c r="C25" s="70">
        <v>20798</v>
      </c>
      <c r="D25" s="69">
        <v>133703</v>
      </c>
      <c r="E25" s="70">
        <v>9809</v>
      </c>
      <c r="F25" s="72">
        <v>56156</v>
      </c>
      <c r="G25" s="75">
        <v>8065</v>
      </c>
    </row>
    <row r="26" spans="1:7" x14ac:dyDescent="0.2">
      <c r="A26" s="11" t="s">
        <v>24</v>
      </c>
      <c r="B26" s="69">
        <v>5592</v>
      </c>
      <c r="C26" s="70">
        <v>222</v>
      </c>
      <c r="D26" s="69">
        <v>11862</v>
      </c>
      <c r="E26" s="70">
        <v>264</v>
      </c>
      <c r="F26" s="72">
        <v>2375</v>
      </c>
      <c r="G26" s="75">
        <v>162</v>
      </c>
    </row>
    <row r="27" spans="1:7" x14ac:dyDescent="0.2">
      <c r="A27" s="11" t="s">
        <v>25</v>
      </c>
      <c r="B27" s="69">
        <v>72093</v>
      </c>
      <c r="C27" s="70">
        <v>4520</v>
      </c>
      <c r="D27" s="69">
        <v>68124</v>
      </c>
      <c r="E27" s="70">
        <v>2925</v>
      </c>
      <c r="F27" s="72">
        <v>24805</v>
      </c>
      <c r="G27" s="75">
        <v>2523</v>
      </c>
    </row>
    <row r="28" spans="1:7" x14ac:dyDescent="0.2">
      <c r="A28" s="11" t="s">
        <v>26</v>
      </c>
      <c r="B28" s="69">
        <v>28153</v>
      </c>
      <c r="C28" s="70">
        <v>1465</v>
      </c>
      <c r="D28" s="69">
        <v>40122</v>
      </c>
      <c r="E28" s="70">
        <v>1161</v>
      </c>
      <c r="F28" s="72">
        <v>8004</v>
      </c>
      <c r="G28" s="75">
        <v>666</v>
      </c>
    </row>
    <row r="29" spans="1:7" x14ac:dyDescent="0.2">
      <c r="A29" s="11" t="s">
        <v>27</v>
      </c>
      <c r="B29" s="69">
        <v>716</v>
      </c>
      <c r="C29" s="70">
        <v>57</v>
      </c>
      <c r="D29" s="69">
        <v>1938</v>
      </c>
      <c r="E29" s="70">
        <v>94</v>
      </c>
      <c r="F29" s="72">
        <v>348</v>
      </c>
      <c r="G29" s="75">
        <v>42</v>
      </c>
    </row>
    <row r="30" spans="1:7" x14ac:dyDescent="0.2">
      <c r="A30" s="11" t="s">
        <v>28</v>
      </c>
      <c r="B30" s="69">
        <v>21592</v>
      </c>
      <c r="C30" s="70">
        <v>1822</v>
      </c>
      <c r="D30" s="69">
        <v>61606</v>
      </c>
      <c r="E30" s="70">
        <v>2800</v>
      </c>
      <c r="F30" s="72">
        <v>15536</v>
      </c>
      <c r="G30" s="75">
        <v>1587</v>
      </c>
    </row>
    <row r="31" spans="1:7" x14ac:dyDescent="0.2">
      <c r="A31" s="11" t="s">
        <v>29</v>
      </c>
      <c r="B31" s="69">
        <v>1354</v>
      </c>
      <c r="C31" s="70">
        <v>121</v>
      </c>
      <c r="D31" s="69">
        <v>7174</v>
      </c>
      <c r="E31" s="70">
        <v>313</v>
      </c>
      <c r="F31" s="72">
        <v>1010</v>
      </c>
      <c r="G31" s="75">
        <v>147</v>
      </c>
    </row>
    <row r="32" spans="1:7" x14ac:dyDescent="0.2">
      <c r="A32" s="11" t="s">
        <v>30</v>
      </c>
      <c r="B32" s="69">
        <v>7025</v>
      </c>
      <c r="C32" s="70">
        <v>389</v>
      </c>
      <c r="D32" s="69">
        <v>11699</v>
      </c>
      <c r="E32" s="70">
        <v>418</v>
      </c>
      <c r="F32" s="72">
        <v>2028</v>
      </c>
      <c r="G32" s="75">
        <v>201</v>
      </c>
    </row>
    <row r="33" spans="1:7" x14ac:dyDescent="0.2">
      <c r="A33" s="11" t="s">
        <v>31</v>
      </c>
      <c r="B33" s="69">
        <v>5539</v>
      </c>
      <c r="C33" s="70">
        <v>511</v>
      </c>
      <c r="D33" s="69">
        <v>18329</v>
      </c>
      <c r="E33" s="70">
        <v>629</v>
      </c>
      <c r="F33" s="72">
        <v>2687</v>
      </c>
      <c r="G33" s="75">
        <v>268</v>
      </c>
    </row>
    <row r="34" spans="1:7" x14ac:dyDescent="0.2">
      <c r="A34" s="11" t="s">
        <v>32</v>
      </c>
      <c r="B34" s="69">
        <v>13615</v>
      </c>
      <c r="C34" s="70">
        <v>371</v>
      </c>
      <c r="D34" s="69">
        <v>28539</v>
      </c>
      <c r="E34" s="70">
        <v>355</v>
      </c>
      <c r="F34" s="72">
        <v>6118</v>
      </c>
      <c r="G34" s="75">
        <v>179</v>
      </c>
    </row>
    <row r="35" spans="1:7" x14ac:dyDescent="0.2">
      <c r="A35" s="11" t="s">
        <v>33</v>
      </c>
      <c r="B35" s="69">
        <v>5192</v>
      </c>
      <c r="C35" s="70">
        <v>237</v>
      </c>
      <c r="D35" s="69">
        <v>18958</v>
      </c>
      <c r="E35" s="70">
        <v>506</v>
      </c>
      <c r="F35" s="72">
        <v>3011</v>
      </c>
      <c r="G35" s="75">
        <v>196</v>
      </c>
    </row>
    <row r="36" spans="1:7" x14ac:dyDescent="0.2">
      <c r="A36" s="11" t="s">
        <v>34</v>
      </c>
      <c r="B36" s="69">
        <v>2421</v>
      </c>
      <c r="C36" s="70">
        <v>129</v>
      </c>
      <c r="D36" s="69">
        <v>9814</v>
      </c>
      <c r="E36" s="70">
        <v>216</v>
      </c>
      <c r="F36" s="72">
        <v>1401</v>
      </c>
      <c r="G36" s="75">
        <v>92</v>
      </c>
    </row>
    <row r="37" spans="1:7" x14ac:dyDescent="0.2">
      <c r="A37" s="11" t="s">
        <v>35</v>
      </c>
      <c r="B37" s="69">
        <v>70798</v>
      </c>
      <c r="C37" s="70">
        <v>5458</v>
      </c>
      <c r="D37" s="69">
        <v>48885</v>
      </c>
      <c r="E37" s="70">
        <v>3390</v>
      </c>
      <c r="F37" s="72">
        <v>17894</v>
      </c>
      <c r="G37" s="75">
        <v>2538</v>
      </c>
    </row>
    <row r="38" spans="1:7" x14ac:dyDescent="0.2">
      <c r="A38" s="11" t="s">
        <v>36</v>
      </c>
      <c r="B38" s="69">
        <v>106313</v>
      </c>
      <c r="C38" s="70">
        <v>5901</v>
      </c>
      <c r="D38" s="69">
        <v>178280</v>
      </c>
      <c r="E38" s="70">
        <v>5566</v>
      </c>
      <c r="F38" s="72">
        <v>62272</v>
      </c>
      <c r="G38" s="75">
        <v>4408</v>
      </c>
    </row>
    <row r="39" spans="1:7" x14ac:dyDescent="0.2">
      <c r="A39" s="11" t="s">
        <v>37</v>
      </c>
      <c r="B39" s="69">
        <v>18718</v>
      </c>
      <c r="C39" s="70">
        <v>990</v>
      </c>
      <c r="D39" s="69">
        <v>29246</v>
      </c>
      <c r="E39" s="70">
        <v>907</v>
      </c>
      <c r="F39" s="72">
        <v>6942</v>
      </c>
      <c r="G39" s="75">
        <v>540</v>
      </c>
    </row>
    <row r="40" spans="1:7" x14ac:dyDescent="0.2">
      <c r="A40" s="11" t="s">
        <v>38</v>
      </c>
      <c r="B40" s="69">
        <v>23676</v>
      </c>
      <c r="C40" s="70">
        <v>1648</v>
      </c>
      <c r="D40" s="69">
        <v>51069</v>
      </c>
      <c r="E40" s="70">
        <v>1584</v>
      </c>
      <c r="F40" s="72">
        <v>14479</v>
      </c>
      <c r="G40" s="75">
        <v>1276</v>
      </c>
    </row>
    <row r="41" spans="1:7" x14ac:dyDescent="0.2">
      <c r="A41" s="11" t="s">
        <v>39</v>
      </c>
      <c r="B41" s="69">
        <v>103938</v>
      </c>
      <c r="C41" s="70">
        <v>7023</v>
      </c>
      <c r="D41" s="69">
        <v>86339</v>
      </c>
      <c r="E41" s="70">
        <v>3431</v>
      </c>
      <c r="F41" s="72">
        <v>48069</v>
      </c>
      <c r="G41" s="75">
        <v>4257</v>
      </c>
    </row>
    <row r="42" spans="1:7" x14ac:dyDescent="0.2">
      <c r="A42" s="11" t="s">
        <v>40</v>
      </c>
      <c r="B42" s="69">
        <v>79429</v>
      </c>
      <c r="C42" s="70">
        <v>4688</v>
      </c>
      <c r="D42" s="69">
        <v>87813</v>
      </c>
      <c r="E42" s="70">
        <v>3391</v>
      </c>
      <c r="F42" s="72">
        <v>28320</v>
      </c>
      <c r="G42" s="75">
        <v>2600</v>
      </c>
    </row>
    <row r="43" spans="1:7" x14ac:dyDescent="0.2">
      <c r="A43" s="11" t="s">
        <v>41</v>
      </c>
      <c r="B43" s="69">
        <v>16642</v>
      </c>
      <c r="C43" s="70">
        <v>1504</v>
      </c>
      <c r="D43" s="69">
        <v>42060</v>
      </c>
      <c r="E43" s="70">
        <v>1823</v>
      </c>
      <c r="F43" s="72">
        <v>9431</v>
      </c>
      <c r="G43" s="75">
        <v>1074</v>
      </c>
    </row>
    <row r="44" spans="1:7" x14ac:dyDescent="0.2">
      <c r="A44" s="11" t="s">
        <v>42</v>
      </c>
      <c r="B44" s="69">
        <v>4986</v>
      </c>
      <c r="C44" s="70">
        <v>300</v>
      </c>
      <c r="D44" s="69">
        <v>15565</v>
      </c>
      <c r="E44" s="70">
        <v>600</v>
      </c>
      <c r="F44" s="72">
        <v>3377</v>
      </c>
      <c r="G44" s="75">
        <v>345</v>
      </c>
    </row>
    <row r="45" spans="1:7" x14ac:dyDescent="0.2">
      <c r="A45" s="11" t="s">
        <v>43</v>
      </c>
      <c r="B45" s="69">
        <v>21915</v>
      </c>
      <c r="C45" s="70">
        <v>1264</v>
      </c>
      <c r="D45" s="69">
        <v>37000</v>
      </c>
      <c r="E45" s="70">
        <v>1326</v>
      </c>
      <c r="F45" s="72">
        <v>9628</v>
      </c>
      <c r="G45" s="75">
        <v>736</v>
      </c>
    </row>
    <row r="46" spans="1:7" x14ac:dyDescent="0.2">
      <c r="A46" s="11" t="s">
        <v>44</v>
      </c>
      <c r="B46" s="69">
        <v>5071</v>
      </c>
      <c r="C46" s="70">
        <v>294</v>
      </c>
      <c r="D46" s="69">
        <v>18045</v>
      </c>
      <c r="E46" s="70">
        <v>585</v>
      </c>
      <c r="F46" s="72">
        <v>2896</v>
      </c>
      <c r="G46" s="75">
        <v>216</v>
      </c>
    </row>
    <row r="47" spans="1:7" x14ac:dyDescent="0.2">
      <c r="A47" s="11" t="s">
        <v>45</v>
      </c>
      <c r="B47" s="69">
        <v>42546</v>
      </c>
      <c r="C47" s="70">
        <v>5773</v>
      </c>
      <c r="D47" s="69">
        <v>40058</v>
      </c>
      <c r="E47" s="70">
        <v>3157</v>
      </c>
      <c r="F47" s="72">
        <v>22058</v>
      </c>
      <c r="G47" s="75">
        <v>3240</v>
      </c>
    </row>
    <row r="48" spans="1:7" x14ac:dyDescent="0.2">
      <c r="A48" s="11" t="s">
        <v>46</v>
      </c>
      <c r="B48" s="69">
        <v>286858</v>
      </c>
      <c r="C48" s="70">
        <v>17652</v>
      </c>
      <c r="D48" s="69">
        <v>198797</v>
      </c>
      <c r="E48" s="70">
        <v>9398</v>
      </c>
      <c r="F48" s="72">
        <v>100357</v>
      </c>
      <c r="G48" s="75">
        <v>8854</v>
      </c>
    </row>
    <row r="49" spans="1:7" x14ac:dyDescent="0.2">
      <c r="A49" s="11" t="s">
        <v>47</v>
      </c>
      <c r="B49" s="69">
        <v>3557</v>
      </c>
      <c r="C49" s="70">
        <v>194</v>
      </c>
      <c r="D49" s="69">
        <v>6355</v>
      </c>
      <c r="E49" s="70">
        <v>205</v>
      </c>
      <c r="F49" s="72">
        <v>1841</v>
      </c>
      <c r="G49" s="75">
        <v>156</v>
      </c>
    </row>
    <row r="50" spans="1:7" x14ac:dyDescent="0.2">
      <c r="A50" s="11" t="s">
        <v>48</v>
      </c>
      <c r="B50" s="69">
        <v>89169</v>
      </c>
      <c r="C50" s="70">
        <v>6424</v>
      </c>
      <c r="D50" s="69">
        <v>83129</v>
      </c>
      <c r="E50" s="70">
        <v>3784</v>
      </c>
      <c r="F50" s="72">
        <v>44513</v>
      </c>
      <c r="G50" s="75">
        <v>4179</v>
      </c>
    </row>
    <row r="51" spans="1:7" x14ac:dyDescent="0.2">
      <c r="A51" s="11" t="s">
        <v>49</v>
      </c>
      <c r="B51" s="69">
        <v>14220</v>
      </c>
      <c r="C51" s="70">
        <v>1106</v>
      </c>
      <c r="D51" s="69">
        <v>30513</v>
      </c>
      <c r="E51" s="70">
        <v>1440</v>
      </c>
      <c r="F51" s="72">
        <v>7242</v>
      </c>
      <c r="G51" s="75">
        <v>764</v>
      </c>
    </row>
    <row r="52" spans="1:7" x14ac:dyDescent="0.2">
      <c r="A52" s="11" t="s">
        <v>50</v>
      </c>
      <c r="B52" s="69">
        <v>5849</v>
      </c>
      <c r="C52" s="70">
        <v>136</v>
      </c>
      <c r="D52" s="69">
        <v>20641</v>
      </c>
      <c r="E52" s="70">
        <v>340</v>
      </c>
      <c r="F52" s="72">
        <v>4040</v>
      </c>
      <c r="G52" s="75">
        <v>171</v>
      </c>
    </row>
    <row r="53" spans="1:7" x14ac:dyDescent="0.2">
      <c r="A53" s="11" t="s">
        <v>51</v>
      </c>
      <c r="B53" s="69">
        <v>688990</v>
      </c>
      <c r="C53" s="70">
        <v>85367</v>
      </c>
      <c r="D53" s="69">
        <v>118462</v>
      </c>
      <c r="E53" s="70">
        <v>12982</v>
      </c>
      <c r="F53" s="72">
        <v>151552</v>
      </c>
      <c r="G53" s="75">
        <v>23337</v>
      </c>
    </row>
    <row r="54" spans="1:7" x14ac:dyDescent="0.2">
      <c r="A54" s="11" t="s">
        <v>52</v>
      </c>
      <c r="B54" s="69">
        <v>12499</v>
      </c>
      <c r="C54" s="70">
        <v>1045</v>
      </c>
      <c r="D54" s="69">
        <v>21728</v>
      </c>
      <c r="E54" s="70">
        <v>1218</v>
      </c>
      <c r="F54" s="72">
        <v>9566</v>
      </c>
      <c r="G54" s="75">
        <v>945</v>
      </c>
    </row>
    <row r="55" spans="1:7" x14ac:dyDescent="0.2">
      <c r="A55" s="11" t="s">
        <v>53</v>
      </c>
      <c r="B55" s="69">
        <v>1648</v>
      </c>
      <c r="C55" s="70">
        <v>91</v>
      </c>
      <c r="D55" s="69">
        <v>7754</v>
      </c>
      <c r="E55" s="70">
        <v>281</v>
      </c>
      <c r="F55" s="72">
        <v>1162</v>
      </c>
      <c r="G55" s="75">
        <v>104</v>
      </c>
    </row>
    <row r="56" spans="1:7" x14ac:dyDescent="0.2">
      <c r="A56" s="11" t="s">
        <v>54</v>
      </c>
      <c r="B56" s="69">
        <v>23572</v>
      </c>
      <c r="C56" s="70">
        <v>1795</v>
      </c>
      <c r="D56" s="69">
        <v>50990</v>
      </c>
      <c r="E56" s="70">
        <v>2201</v>
      </c>
      <c r="F56" s="72">
        <v>12401</v>
      </c>
      <c r="G56" s="75">
        <v>1299</v>
      </c>
    </row>
    <row r="57" spans="1:7" x14ac:dyDescent="0.2">
      <c r="A57" s="11" t="s">
        <v>55</v>
      </c>
      <c r="B57" s="69">
        <v>4556</v>
      </c>
      <c r="C57" s="70">
        <v>325</v>
      </c>
      <c r="D57" s="69">
        <v>15528</v>
      </c>
      <c r="E57" s="70">
        <v>440</v>
      </c>
      <c r="F57" s="72">
        <v>2751</v>
      </c>
      <c r="G57" s="75">
        <v>258</v>
      </c>
    </row>
    <row r="58" spans="1:7" x14ac:dyDescent="0.2">
      <c r="A58" s="11" t="s">
        <v>56</v>
      </c>
      <c r="B58" s="69">
        <v>10129</v>
      </c>
      <c r="C58" s="70">
        <v>390</v>
      </c>
      <c r="D58" s="69">
        <v>32217</v>
      </c>
      <c r="E58" s="70">
        <v>631</v>
      </c>
      <c r="F58" s="72">
        <v>4859</v>
      </c>
      <c r="G58" s="75">
        <v>256</v>
      </c>
    </row>
    <row r="59" spans="1:7" x14ac:dyDescent="0.2">
      <c r="A59" s="11" t="s">
        <v>57</v>
      </c>
      <c r="B59" s="69">
        <v>1026</v>
      </c>
      <c r="C59" s="70">
        <v>37</v>
      </c>
      <c r="D59" s="69">
        <v>2778</v>
      </c>
      <c r="E59" s="70">
        <v>66</v>
      </c>
      <c r="F59" s="72">
        <v>497</v>
      </c>
      <c r="G59" s="75">
        <v>34</v>
      </c>
    </row>
    <row r="60" spans="1:7" x14ac:dyDescent="0.2">
      <c r="A60" s="11" t="s">
        <v>58</v>
      </c>
      <c r="B60" s="69">
        <v>5742</v>
      </c>
      <c r="C60" s="70">
        <v>518</v>
      </c>
      <c r="D60" s="69">
        <v>16692</v>
      </c>
      <c r="E60" s="70">
        <v>885</v>
      </c>
      <c r="F60" s="72">
        <v>3684</v>
      </c>
      <c r="G60" s="75">
        <v>392</v>
      </c>
    </row>
    <row r="61" spans="1:7" x14ac:dyDescent="0.2">
      <c r="A61" s="11" t="s">
        <v>59</v>
      </c>
      <c r="B61" s="69">
        <v>4702</v>
      </c>
      <c r="C61" s="70">
        <v>223</v>
      </c>
      <c r="D61" s="69">
        <v>17554</v>
      </c>
      <c r="E61" s="70">
        <v>562</v>
      </c>
      <c r="F61" s="72">
        <v>3449</v>
      </c>
      <c r="G61" s="75">
        <v>263</v>
      </c>
    </row>
    <row r="62" spans="1:7" x14ac:dyDescent="0.2">
      <c r="A62" s="11" t="s">
        <v>60</v>
      </c>
      <c r="B62" s="69">
        <v>7056</v>
      </c>
      <c r="C62" s="70">
        <v>709</v>
      </c>
      <c r="D62" s="69">
        <v>13782</v>
      </c>
      <c r="E62" s="70">
        <v>632</v>
      </c>
      <c r="F62" s="72">
        <v>3722</v>
      </c>
      <c r="G62" s="75">
        <v>463</v>
      </c>
    </row>
    <row r="63" spans="1:7" x14ac:dyDescent="0.2">
      <c r="A63" s="11" t="s">
        <v>61</v>
      </c>
      <c r="B63" s="69">
        <v>7680</v>
      </c>
      <c r="C63" s="70">
        <v>370</v>
      </c>
      <c r="D63" s="69">
        <v>19561</v>
      </c>
      <c r="E63" s="70">
        <v>613</v>
      </c>
      <c r="F63" s="72">
        <v>4280</v>
      </c>
      <c r="G63" s="75">
        <v>302</v>
      </c>
    </row>
    <row r="64" spans="1:7" x14ac:dyDescent="0.2">
      <c r="A64" s="11" t="s">
        <v>62</v>
      </c>
      <c r="B64" s="69">
        <v>6143</v>
      </c>
      <c r="C64" s="70">
        <v>218</v>
      </c>
      <c r="D64" s="69">
        <v>14834</v>
      </c>
      <c r="E64" s="70">
        <v>428</v>
      </c>
      <c r="F64" s="72">
        <v>3635</v>
      </c>
      <c r="G64" s="75">
        <v>173</v>
      </c>
    </row>
    <row r="65" spans="1:7" x14ac:dyDescent="0.2">
      <c r="A65" s="11" t="s">
        <v>63</v>
      </c>
      <c r="B65" s="69">
        <v>49188</v>
      </c>
      <c r="C65" s="70">
        <v>3706</v>
      </c>
      <c r="D65" s="69">
        <v>69570</v>
      </c>
      <c r="E65" s="70">
        <v>3404</v>
      </c>
      <c r="F65" s="72">
        <v>17638</v>
      </c>
      <c r="G65" s="75">
        <v>2006</v>
      </c>
    </row>
    <row r="66" spans="1:7" x14ac:dyDescent="0.2">
      <c r="A66" s="11" t="s">
        <v>64</v>
      </c>
      <c r="B66" s="69">
        <v>7932</v>
      </c>
      <c r="C66" s="70">
        <v>734</v>
      </c>
      <c r="D66" s="69">
        <v>20463</v>
      </c>
      <c r="E66" s="70">
        <v>1231</v>
      </c>
      <c r="F66" s="72">
        <v>5464</v>
      </c>
      <c r="G66" s="75">
        <v>678</v>
      </c>
    </row>
    <row r="67" spans="1:7" x14ac:dyDescent="0.2">
      <c r="A67" s="11" t="s">
        <v>65</v>
      </c>
      <c r="B67" s="69">
        <v>83450</v>
      </c>
      <c r="C67" s="70">
        <v>3457</v>
      </c>
      <c r="D67" s="69">
        <v>127263</v>
      </c>
      <c r="E67" s="70">
        <v>3662</v>
      </c>
      <c r="F67" s="72">
        <v>30891</v>
      </c>
      <c r="G67" s="75">
        <v>1936</v>
      </c>
    </row>
    <row r="68" spans="1:7" x14ac:dyDescent="0.2">
      <c r="A68" s="11" t="s">
        <v>66</v>
      </c>
      <c r="B68" s="69">
        <v>4356</v>
      </c>
      <c r="C68" s="70">
        <v>332</v>
      </c>
      <c r="D68" s="69">
        <v>10778</v>
      </c>
      <c r="E68" s="70">
        <v>562</v>
      </c>
      <c r="F68" s="72">
        <v>2167</v>
      </c>
      <c r="G68" s="75">
        <v>263</v>
      </c>
    </row>
    <row r="69" spans="1:7" x14ac:dyDescent="0.2">
      <c r="A69" s="19" t="s">
        <v>67</v>
      </c>
      <c r="B69" s="68">
        <v>89894</v>
      </c>
      <c r="C69" s="71">
        <v>6076</v>
      </c>
      <c r="D69" s="68">
        <v>161586</v>
      </c>
      <c r="E69" s="71">
        <v>6719</v>
      </c>
      <c r="F69" s="73">
        <v>56817</v>
      </c>
      <c r="G69" s="76">
        <v>4706</v>
      </c>
    </row>
    <row r="70" spans="1:7" x14ac:dyDescent="0.2">
      <c r="A70" s="32" t="s">
        <v>68</v>
      </c>
      <c r="B70" s="14">
        <f>SUM(B3:B69)</f>
        <v>3549037</v>
      </c>
      <c r="C70" s="14">
        <f t="shared" ref="C70:G70" si="0">SUM(C3:C69)</f>
        <v>284775</v>
      </c>
      <c r="D70" s="14">
        <f t="shared" si="0"/>
        <v>3487756</v>
      </c>
      <c r="E70" s="14">
        <f t="shared" si="0"/>
        <v>153705</v>
      </c>
      <c r="F70" s="14">
        <f t="shared" si="0"/>
        <v>1345804</v>
      </c>
      <c r="G70" s="14">
        <f t="shared" si="0"/>
        <v>134439</v>
      </c>
    </row>
    <row r="71" spans="1:7" x14ac:dyDescent="0.2">
      <c r="G71" s="11"/>
    </row>
    <row r="72" spans="1:7" x14ac:dyDescent="0.2">
      <c r="G72" s="11"/>
    </row>
    <row r="73" spans="1:7" x14ac:dyDescent="0.2">
      <c r="A73" s="32" t="s">
        <v>80</v>
      </c>
      <c r="B73" s="14">
        <f>SUM(B70:G70)</f>
        <v>8955516</v>
      </c>
      <c r="D73" s="11"/>
      <c r="E73" s="11"/>
      <c r="G73" s="11"/>
    </row>
    <row r="74" spans="1:7" x14ac:dyDescent="0.2">
      <c r="D74" s="11"/>
      <c r="E74" s="11"/>
      <c r="G74" s="11"/>
    </row>
    <row r="75" spans="1:7" x14ac:dyDescent="0.2">
      <c r="D75" s="11"/>
      <c r="E75" s="11"/>
      <c r="G75" s="11"/>
    </row>
    <row r="76" spans="1:7" x14ac:dyDescent="0.2">
      <c r="D76" s="11"/>
      <c r="E76" s="11"/>
      <c r="G76" s="11"/>
    </row>
    <row r="77" spans="1:7" x14ac:dyDescent="0.2">
      <c r="D77" s="11"/>
      <c r="E77" s="11"/>
      <c r="G77" s="11"/>
    </row>
    <row r="78" spans="1:7" x14ac:dyDescent="0.2">
      <c r="D78" s="11"/>
      <c r="E78" s="11"/>
      <c r="G78" s="11"/>
    </row>
    <row r="79" spans="1:7" x14ac:dyDescent="0.2">
      <c r="D79" s="11"/>
      <c r="E79" s="11"/>
      <c r="G79" s="11"/>
    </row>
    <row r="80" spans="1:7" x14ac:dyDescent="0.2">
      <c r="D80" s="11"/>
      <c r="E80" s="11"/>
      <c r="G80" s="11"/>
    </row>
    <row r="81" spans="2:7" x14ac:dyDescent="0.2">
      <c r="D81" s="11"/>
      <c r="E81" s="11"/>
      <c r="G81" s="11"/>
    </row>
    <row r="82" spans="2:7" x14ac:dyDescent="0.2">
      <c r="B82" s="11"/>
      <c r="G82" s="11"/>
    </row>
    <row r="83" spans="2:7" x14ac:dyDescent="0.2">
      <c r="B83" s="11"/>
      <c r="G83" s="11"/>
    </row>
    <row r="84" spans="2:7" x14ac:dyDescent="0.2">
      <c r="G84" s="11"/>
    </row>
    <row r="85" spans="2:7" x14ac:dyDescent="0.2">
      <c r="B85" s="11"/>
      <c r="G85" s="11"/>
    </row>
    <row r="86" spans="2:7" x14ac:dyDescent="0.2">
      <c r="B86" s="11"/>
      <c r="G86" s="11"/>
    </row>
    <row r="87" spans="2:7" x14ac:dyDescent="0.2">
      <c r="G87" s="11"/>
    </row>
    <row r="88" spans="2:7" x14ac:dyDescent="0.2">
      <c r="G88" s="11"/>
    </row>
    <row r="89" spans="2:7" x14ac:dyDescent="0.2">
      <c r="G89" s="11"/>
    </row>
    <row r="90" spans="2:7" x14ac:dyDescent="0.2">
      <c r="G90" s="11"/>
    </row>
    <row r="91" spans="2:7" x14ac:dyDescent="0.2">
      <c r="G91" s="11"/>
    </row>
    <row r="92" spans="2:7" x14ac:dyDescent="0.2">
      <c r="G92" s="11"/>
    </row>
    <row r="93" spans="2:7" x14ac:dyDescent="0.2">
      <c r="G93" s="11"/>
    </row>
    <row r="94" spans="2:7" x14ac:dyDescent="0.2">
      <c r="G94" s="11"/>
    </row>
    <row r="95" spans="2:7" x14ac:dyDescent="0.2">
      <c r="G95" s="11"/>
    </row>
    <row r="96" spans="2:7" x14ac:dyDescent="0.2">
      <c r="G96" s="11"/>
    </row>
    <row r="97" spans="7:7" x14ac:dyDescent="0.2">
      <c r="G97" s="11"/>
    </row>
    <row r="98" spans="7:7" x14ac:dyDescent="0.2">
      <c r="G98" s="11"/>
    </row>
    <row r="99" spans="7:7" x14ac:dyDescent="0.2">
      <c r="G99" s="11"/>
    </row>
    <row r="100" spans="7:7" x14ac:dyDescent="0.2">
      <c r="G100" s="11"/>
    </row>
    <row r="101" spans="7:7" x14ac:dyDescent="0.2">
      <c r="G101" s="11"/>
    </row>
    <row r="102" spans="7:7" x14ac:dyDescent="0.2">
      <c r="G102" s="11"/>
    </row>
    <row r="103" spans="7:7" x14ac:dyDescent="0.2">
      <c r="G103" s="11"/>
    </row>
    <row r="104" spans="7:7" x14ac:dyDescent="0.2">
      <c r="G104" s="11"/>
    </row>
    <row r="105" spans="7:7" x14ac:dyDescent="0.2">
      <c r="G105" s="11"/>
    </row>
    <row r="106" spans="7:7" x14ac:dyDescent="0.2">
      <c r="G106" s="11"/>
    </row>
    <row r="107" spans="7:7" x14ac:dyDescent="0.2">
      <c r="G107" s="11"/>
    </row>
    <row r="108" spans="7:7" x14ac:dyDescent="0.2">
      <c r="G108" s="11"/>
    </row>
    <row r="109" spans="7:7" x14ac:dyDescent="0.2">
      <c r="G109" s="11"/>
    </row>
    <row r="110" spans="7:7" x14ac:dyDescent="0.2">
      <c r="G110" s="11"/>
    </row>
    <row r="111" spans="7:7" x14ac:dyDescent="0.2">
      <c r="G111" s="11"/>
    </row>
    <row r="112" spans="7:7" x14ac:dyDescent="0.2">
      <c r="G112" s="11"/>
    </row>
    <row r="113" spans="7:7" x14ac:dyDescent="0.2">
      <c r="G113" s="11"/>
    </row>
    <row r="114" spans="7:7" x14ac:dyDescent="0.2">
      <c r="G114" s="11"/>
    </row>
    <row r="115" spans="7:7" x14ac:dyDescent="0.2">
      <c r="G115" s="11"/>
    </row>
    <row r="116" spans="7:7" x14ac:dyDescent="0.2">
      <c r="G116" s="11"/>
    </row>
    <row r="117" spans="7:7" x14ac:dyDescent="0.2">
      <c r="G117" s="11"/>
    </row>
    <row r="118" spans="7:7" x14ac:dyDescent="0.2">
      <c r="G118" s="11"/>
    </row>
    <row r="119" spans="7:7" x14ac:dyDescent="0.2">
      <c r="G119" s="11"/>
    </row>
    <row r="120" spans="7:7" x14ac:dyDescent="0.2">
      <c r="G120" s="11"/>
    </row>
    <row r="121" spans="7:7" x14ac:dyDescent="0.2">
      <c r="G121" s="11"/>
    </row>
    <row r="122" spans="7:7" x14ac:dyDescent="0.2">
      <c r="G122" s="11"/>
    </row>
    <row r="123" spans="7:7" x14ac:dyDescent="0.2">
      <c r="G123" s="11"/>
    </row>
    <row r="124" spans="7:7" x14ac:dyDescent="0.2">
      <c r="G124" s="11"/>
    </row>
    <row r="125" spans="7:7" x14ac:dyDescent="0.2">
      <c r="G125" s="11"/>
    </row>
    <row r="126" spans="7:7" x14ac:dyDescent="0.2">
      <c r="G126" s="11"/>
    </row>
    <row r="127" spans="7:7" x14ac:dyDescent="0.2">
      <c r="G127" s="11"/>
    </row>
    <row r="128" spans="7:7" x14ac:dyDescent="0.2">
      <c r="G128" s="11"/>
    </row>
    <row r="129" spans="7:7" x14ac:dyDescent="0.2">
      <c r="G129" s="11"/>
    </row>
    <row r="130" spans="7:7" x14ac:dyDescent="0.2">
      <c r="G130" s="11"/>
    </row>
    <row r="131" spans="7:7" x14ac:dyDescent="0.2">
      <c r="G131" s="11"/>
    </row>
    <row r="132" spans="7:7" x14ac:dyDescent="0.2">
      <c r="G132" s="11"/>
    </row>
    <row r="133" spans="7:7" x14ac:dyDescent="0.2">
      <c r="G133" s="11"/>
    </row>
    <row r="134" spans="7:7" x14ac:dyDescent="0.2">
      <c r="G134" s="11"/>
    </row>
    <row r="135" spans="7:7" x14ac:dyDescent="0.2">
      <c r="G135" s="11"/>
    </row>
    <row r="136" spans="7:7" x14ac:dyDescent="0.2">
      <c r="G136" s="11"/>
    </row>
    <row r="137" spans="7:7" x14ac:dyDescent="0.2">
      <c r="G137" s="11"/>
    </row>
    <row r="138" spans="7:7" x14ac:dyDescent="0.2">
      <c r="G138" s="11"/>
    </row>
    <row r="139" spans="7:7" x14ac:dyDescent="0.2">
      <c r="G139" s="11"/>
    </row>
    <row r="140" spans="7:7" x14ac:dyDescent="0.2">
      <c r="G140" s="11"/>
    </row>
    <row r="141" spans="7:7" x14ac:dyDescent="0.2">
      <c r="G141" s="11"/>
    </row>
    <row r="142" spans="7:7" x14ac:dyDescent="0.2">
      <c r="G142" s="11"/>
    </row>
    <row r="143" spans="7:7" x14ac:dyDescent="0.2">
      <c r="G143" s="11"/>
    </row>
    <row r="144" spans="7:7" x14ac:dyDescent="0.2">
      <c r="G144" s="11"/>
    </row>
    <row r="145" spans="7:7" x14ac:dyDescent="0.2">
      <c r="G145" s="11"/>
    </row>
    <row r="146" spans="7:7" x14ac:dyDescent="0.2">
      <c r="G146" s="11"/>
    </row>
    <row r="147" spans="7:7" x14ac:dyDescent="0.2">
      <c r="G147" s="11"/>
    </row>
    <row r="148" spans="7:7" x14ac:dyDescent="0.2">
      <c r="G148" s="11"/>
    </row>
    <row r="149" spans="7:7" x14ac:dyDescent="0.2">
      <c r="G149" s="11"/>
    </row>
    <row r="150" spans="7:7" x14ac:dyDescent="0.2">
      <c r="G150" s="11"/>
    </row>
    <row r="151" spans="7:7" x14ac:dyDescent="0.2">
      <c r="G151" s="11"/>
    </row>
    <row r="152" spans="7:7" x14ac:dyDescent="0.2">
      <c r="G152" s="11"/>
    </row>
    <row r="153" spans="7:7" x14ac:dyDescent="0.2">
      <c r="G153" s="11"/>
    </row>
    <row r="154" spans="7:7" x14ac:dyDescent="0.2">
      <c r="G154" s="11"/>
    </row>
    <row r="155" spans="7:7" x14ac:dyDescent="0.2">
      <c r="G155" s="11"/>
    </row>
    <row r="156" spans="7:7" x14ac:dyDescent="0.2">
      <c r="G156" s="11"/>
    </row>
    <row r="157" spans="7:7" x14ac:dyDescent="0.2">
      <c r="G157" s="11"/>
    </row>
    <row r="158" spans="7:7" x14ac:dyDescent="0.2">
      <c r="G158" s="11"/>
    </row>
    <row r="159" spans="7:7" x14ac:dyDescent="0.2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4.25" x14ac:dyDescent="0.2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 x14ac:dyDescent="0.25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Charpentier, William A.</cp:lastModifiedBy>
  <cp:lastPrinted>2013-07-08T13:20:55Z</cp:lastPrinted>
  <dcterms:created xsi:type="dcterms:W3CDTF">2008-03-11T20:46:20Z</dcterms:created>
  <dcterms:modified xsi:type="dcterms:W3CDTF">2026-05-11T12:55:10Z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