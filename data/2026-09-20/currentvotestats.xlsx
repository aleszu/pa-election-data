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2B6DA965-22F5-44B2-B559-E642754751B4}" xr6:coauthVersionLast="47" xr6:coauthVersionMax="47" xr10:uidLastSave="{00000000-0000-0000-0000-000000000000}"/>
  <bookViews>
    <workbookView xWindow="-28920" yWindow="-12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<sst xmlns="http://schemas.openxmlformats.org/spreadsheetml/2006/main" count="1139" uniqueCount="131">
  <si>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</si>
  <si>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</si>
  <si>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</si>
  <si>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</si>
  <si>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</si>
  <si>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</si>
  <si>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</si>
  <si>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</si>
  <si>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</si>
  <si>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</si>
  <si>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</si>
  <si>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</si>
  <si>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</si>
  <si>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</si>
  <si>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</si>
  <si>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</si>
  <si>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</si>
  <si>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</si>
  <si>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</si>
  <si>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</si>
  <si>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</si>
  <si>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</si>
  <si>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</si>
  <si>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</si>
  <si>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</si>
  <si>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</si>
  <si>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</si>
  <si>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</si>
  <si>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</si>
  <si>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</si>
  <si>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</si>
  <si>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</si>
  <si>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</si>
  <si>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</si>
  <si>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</si>
  <si>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</si>
  <si>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</si>
  <si>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</si>
  <si>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</si>
  <si>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</si>
  <si>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</si>
  <si>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</si>
  <si>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</si>
  <si>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</si>
  <si>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</si>
  <si>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</si>
  <si>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</si>
  <si>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</si>
  <si>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</si>
  <si>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</si>
  <si>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</si>
  <si>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</si>
  <si>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</si>
  <si>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</si>
  <si>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</si>
  <si>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</si>
  <si>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</si>
  <si>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</si>
  <si>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</si>
  <si>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</si>
  <si>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</si>
  <si>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</si>
  <si>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</si>
  <si>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</si>
  <si>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</si>
  <si>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</si>
  <si>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</si>
  <si>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</si>
  <si>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</si>
  <si>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</si>
  <si>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</si>
  <si>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</si>
  <si>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</si>
  <si>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</si>
  <si>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</si>
  <si>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</si>
  <si>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</si>
  <si>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</si>
  <si>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</si>
  <si>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</si>
  <si>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</si>
  <si>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</si>
  <si>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</si>
  <si>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</si>
  <si>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</si>
  <si>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</si>
  <si>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</si>
  <si>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</si>
  <si>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</si>
  <si>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</si>
  <si>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</si>
  <si>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</si>
  <si>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</si>
  <si>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</si>
  <si>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</si>
  <si>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</si>
  <si>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</si>
  <si>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</si>
  <si>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</si>
  <si>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</si>
  <si>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</si>
  <si>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</si>
  <si>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</si>
  <si>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</si>
  <si>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</si>
  <si>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</si>
  <si>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</si>
  <si>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</si>
  <si>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</si>
  <si>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</si>
  <si>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</si>
  <si>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</si>
  <si>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</si>
  <si>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</si>
  <si>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</si>
  <si>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</si>
  <si>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</si>
  <si>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</si>
  <si>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</si>
  <si>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</si>
  <si>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</si>
  <si>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</si>
  <si>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</si>
  <si>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</si>
  <si>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</si>
  <si>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</si>
  <si>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</si>
  <si>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</si>
  <si>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</si>
  <si>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09/14/2026</t>
  </si>
  <si>
    <t>Week Of 09-07-2026 to 09-14-2026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</si>
</sst>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19183</v>
      </c>
      <c r="D3"/>
      <c r="E3">
        <v>44018</v>
      </c>
      <c r="F3"/>
      <c r="G3">
        <v>10734</v>
      </c>
      <c r="H3"/>
      <c r="I3">
        <v>2761</v>
      </c>
      <c r="K3" s="10">
        <f t="shared" ref="K3:K34" si="0">SUM(C3+E3+G3+I3)</f>
        <v>76696</v>
      </c>
    </row>
    <row r="4" spans="1:12" x14ac:dyDescent="0.25">
      <c r="A4" t="s">
        <v>2</v>
      </c>
      <c r="B4" s="1">
        <v>2291</v>
      </c>
      <c r="C4">
        <v>503972</v>
      </c>
      <c r="D4"/>
      <c r="E4">
        <v>262938</v>
      </c>
      <c r="F4"/>
      <c r="G4">
        <v>114960</v>
      </c>
      <c r="H4"/>
      <c r="I4">
        <v>36660</v>
      </c>
      <c r="K4" s="10">
        <f t="shared" si="0"/>
        <v>918530</v>
      </c>
    </row>
    <row r="5" spans="1:12" x14ac:dyDescent="0.25">
      <c r="A5" t="s">
        <v>3</v>
      </c>
      <c r="B5" s="1">
        <v>2292</v>
      </c>
      <c r="C5">
        <v>10631</v>
      </c>
      <c r="D5"/>
      <c r="E5">
        <v>27653</v>
      </c>
      <c r="F5"/>
      <c r="G5">
        <v>3725</v>
      </c>
      <c r="H5"/>
      <c r="I5">
        <v>1583</v>
      </c>
      <c r="K5" s="10">
        <f t="shared" si="0"/>
        <v>43592</v>
      </c>
    </row>
    <row r="6" spans="1:12" x14ac:dyDescent="0.25">
      <c r="A6" t="s">
        <v>4</v>
      </c>
      <c r="B6" s="1">
        <v>2293</v>
      </c>
      <c r="C6">
        <v>45695</v>
      </c>
      <c r="D6"/>
      <c r="E6">
        <v>51870</v>
      </c>
      <c r="F6"/>
      <c r="G6">
        <v>11865</v>
      </c>
      <c r="H6"/>
      <c r="I6">
        <v>4706</v>
      </c>
      <c r="K6" s="10">
        <f t="shared" si="0"/>
        <v>114136</v>
      </c>
    </row>
    <row r="7" spans="1:12" x14ac:dyDescent="0.25">
      <c r="A7" t="s">
        <v>5</v>
      </c>
      <c r="B7" s="1">
        <v>2294</v>
      </c>
      <c r="C7">
        <v>5265</v>
      </c>
      <c r="D7"/>
      <c r="E7">
        <v>24579</v>
      </c>
      <c r="F7"/>
      <c r="G7">
        <v>2317</v>
      </c>
      <c r="H7"/>
      <c r="I7">
        <v>891</v>
      </c>
      <c r="K7" s="10">
        <f t="shared" si="0"/>
        <v>33052</v>
      </c>
    </row>
    <row r="8" spans="1:12" x14ac:dyDescent="0.25">
      <c r="A8" t="s">
        <v>6</v>
      </c>
      <c r="B8" s="1">
        <v>2295</v>
      </c>
      <c r="C8">
        <v>104308</v>
      </c>
      <c r="D8"/>
      <c r="E8">
        <v>117940</v>
      </c>
      <c r="F8"/>
      <c r="G8">
        <v>41840</v>
      </c>
      <c r="H8"/>
      <c r="I8">
        <v>10348</v>
      </c>
      <c r="K8" s="10">
        <f t="shared" si="0"/>
        <v>274436</v>
      </c>
    </row>
    <row r="9" spans="1:12" x14ac:dyDescent="0.25">
      <c r="A9" t="s">
        <v>7</v>
      </c>
      <c r="B9" s="1">
        <v>2296</v>
      </c>
      <c r="C9">
        <v>19803</v>
      </c>
      <c r="D9"/>
      <c r="E9">
        <v>50577</v>
      </c>
      <c r="F9"/>
      <c r="G9">
        <v>8490</v>
      </c>
      <c r="H9"/>
      <c r="I9">
        <v>2699</v>
      </c>
      <c r="K9" s="10">
        <f t="shared" si="0"/>
        <v>81569</v>
      </c>
    </row>
    <row r="10" spans="1:12" x14ac:dyDescent="0.25">
      <c r="A10" t="s">
        <v>8</v>
      </c>
      <c r="B10" s="1">
        <v>2297</v>
      </c>
      <c r="C10">
        <v>7820</v>
      </c>
      <c r="D10"/>
      <c r="E10">
        <v>25645</v>
      </c>
      <c r="F10"/>
      <c r="G10">
        <v>3917</v>
      </c>
      <c r="H10"/>
      <c r="I10">
        <v>1532</v>
      </c>
      <c r="K10" s="10">
        <f t="shared" si="0"/>
        <v>38914</v>
      </c>
    </row>
    <row r="11" spans="1:12" x14ac:dyDescent="0.25">
      <c r="A11" t="s">
        <v>9</v>
      </c>
      <c r="B11" s="1">
        <v>2298</v>
      </c>
      <c r="C11">
        <v>194142</v>
      </c>
      <c r="D11"/>
      <c r="E11">
        <v>201685</v>
      </c>
      <c r="F11"/>
      <c r="G11">
        <v>70862</v>
      </c>
      <c r="H11"/>
      <c r="I11">
        <v>18247</v>
      </c>
      <c r="K11" s="10">
        <f t="shared" si="0"/>
        <v>484936</v>
      </c>
    </row>
    <row r="12" spans="1:12" x14ac:dyDescent="0.25">
      <c r="A12" t="s">
        <v>10</v>
      </c>
      <c r="B12" s="1">
        <v>2299</v>
      </c>
      <c r="C12">
        <v>39262</v>
      </c>
      <c r="D12"/>
      <c r="E12">
        <v>82953</v>
      </c>
      <c r="F12"/>
      <c r="G12">
        <v>16426</v>
      </c>
      <c r="H12"/>
      <c r="I12">
        <v>5140</v>
      </c>
      <c r="K12" s="10">
        <f t="shared" si="0"/>
        <v>143781</v>
      </c>
    </row>
    <row r="13" spans="1:12" x14ac:dyDescent="0.25">
      <c r="A13" t="s">
        <v>11</v>
      </c>
      <c r="B13" s="1">
        <v>2300</v>
      </c>
      <c r="C13">
        <v>29338</v>
      </c>
      <c r="D13"/>
      <c r="E13">
        <v>46475</v>
      </c>
      <c r="F13"/>
      <c r="G13">
        <v>7917</v>
      </c>
      <c r="H13"/>
      <c r="I13">
        <v>2130</v>
      </c>
      <c r="K13" s="10">
        <f t="shared" si="0"/>
        <v>85860</v>
      </c>
    </row>
    <row r="14" spans="1:12" x14ac:dyDescent="0.25">
      <c r="A14" t="s">
        <v>12</v>
      </c>
      <c r="B14" s="1">
        <v>2301</v>
      </c>
      <c r="C14">
        <v>661</v>
      </c>
      <c r="D14"/>
      <c r="E14">
        <v>1841</v>
      </c>
      <c r="F14"/>
      <c r="G14">
        <v>254</v>
      </c>
      <c r="H14"/>
      <c r="I14">
        <v>124</v>
      </c>
      <c r="K14" s="10">
        <f t="shared" si="0"/>
        <v>2880</v>
      </c>
    </row>
    <row r="15" spans="1:12" x14ac:dyDescent="0.25">
      <c r="A15" t="s">
        <v>13</v>
      </c>
      <c r="B15" s="1">
        <v>2302</v>
      </c>
      <c r="C15">
        <v>14066</v>
      </c>
      <c r="D15"/>
      <c r="E15">
        <v>23947</v>
      </c>
      <c r="F15"/>
      <c r="G15">
        <v>5886</v>
      </c>
      <c r="H15"/>
      <c r="I15">
        <v>1889</v>
      </c>
      <c r="K15" s="10">
        <f t="shared" si="0"/>
        <v>45788</v>
      </c>
    </row>
    <row r="16" spans="1:12" x14ac:dyDescent="0.25">
      <c r="A16" t="s">
        <v>14</v>
      </c>
      <c r="B16" s="1">
        <v>2303</v>
      </c>
      <c r="C16">
        <v>41443</v>
      </c>
      <c r="D16"/>
      <c r="E16">
        <v>41760</v>
      </c>
      <c r="F16"/>
      <c r="G16">
        <v>16169</v>
      </c>
      <c r="H16"/>
      <c r="I16">
        <v>2687</v>
      </c>
      <c r="K16" s="10">
        <f t="shared" si="0"/>
        <v>102059</v>
      </c>
    </row>
    <row r="17" spans="1:11" x14ac:dyDescent="0.25">
      <c r="A17" t="s">
        <v>15</v>
      </c>
      <c r="B17" s="1">
        <v>2304</v>
      </c>
      <c r="C17">
        <v>161108</v>
      </c>
      <c r="D17"/>
      <c r="E17">
        <v>151678</v>
      </c>
      <c r="F17"/>
      <c r="G17">
        <v>59003</v>
      </c>
      <c r="H17"/>
      <c r="I17">
        <v>17840</v>
      </c>
      <c r="K17" s="10">
        <f t="shared" si="0"/>
        <v>389629</v>
      </c>
    </row>
    <row r="18" spans="1:11" x14ac:dyDescent="0.25">
      <c r="A18" t="s">
        <v>16</v>
      </c>
      <c r="B18" s="1">
        <v>2305</v>
      </c>
      <c r="C18">
        <v>5042</v>
      </c>
      <c r="D18"/>
      <c r="E18">
        <v>15519</v>
      </c>
      <c r="F18"/>
      <c r="G18">
        <v>2080</v>
      </c>
      <c r="H18"/>
      <c r="I18">
        <v>644</v>
      </c>
      <c r="K18" s="10">
        <f t="shared" si="0"/>
        <v>23285</v>
      </c>
    </row>
    <row r="19" spans="1:11" x14ac:dyDescent="0.25">
      <c r="A19" t="s">
        <v>17</v>
      </c>
      <c r="B19" s="1">
        <v>2306</v>
      </c>
      <c r="C19">
        <v>12022</v>
      </c>
      <c r="D19"/>
      <c r="E19">
        <v>31414</v>
      </c>
      <c r="F19"/>
      <c r="G19">
        <v>4331</v>
      </c>
      <c r="H19"/>
      <c r="I19">
        <v>1787</v>
      </c>
      <c r="K19" s="10">
        <f t="shared" si="0"/>
        <v>49554</v>
      </c>
    </row>
    <row r="20" spans="1:11" x14ac:dyDescent="0.25">
      <c r="A20" t="s">
        <v>18</v>
      </c>
      <c r="B20" s="1">
        <v>2307</v>
      </c>
      <c r="C20">
        <v>6068</v>
      </c>
      <c r="D20"/>
      <c r="E20">
        <v>13259</v>
      </c>
      <c r="F20"/>
      <c r="G20">
        <v>2439</v>
      </c>
      <c r="H20"/>
      <c r="I20">
        <v>739</v>
      </c>
      <c r="K20" s="10">
        <f t="shared" si="0"/>
        <v>22505</v>
      </c>
    </row>
    <row r="21" spans="1:11" x14ac:dyDescent="0.25">
      <c r="A21" t="s">
        <v>19</v>
      </c>
      <c r="B21" s="1">
        <v>2308</v>
      </c>
      <c r="C21">
        <v>11792</v>
      </c>
      <c r="D21"/>
      <c r="E21">
        <v>22455</v>
      </c>
      <c r="F21"/>
      <c r="G21">
        <v>4882</v>
      </c>
      <c r="H21"/>
      <c r="I21">
        <v>1489</v>
      </c>
      <c r="K21" s="10">
        <f t="shared" si="0"/>
        <v>40618</v>
      </c>
    </row>
    <row r="22" spans="1:11" x14ac:dyDescent="0.25">
      <c r="A22" t="s">
        <v>20</v>
      </c>
      <c r="B22" s="1">
        <v>2309</v>
      </c>
      <c r="C22">
        <v>14394</v>
      </c>
      <c r="D22"/>
      <c r="E22">
        <v>31736</v>
      </c>
      <c r="F22"/>
      <c r="G22">
        <v>4961</v>
      </c>
      <c r="H22"/>
      <c r="I22">
        <v>1834</v>
      </c>
      <c r="K22" s="10">
        <f t="shared" si="0"/>
        <v>52925</v>
      </c>
    </row>
    <row r="23" spans="1:11" x14ac:dyDescent="0.25">
      <c r="A23" t="s">
        <v>21</v>
      </c>
      <c r="B23" s="1">
        <v>2310</v>
      </c>
      <c r="C23">
        <v>61806</v>
      </c>
      <c r="D23"/>
      <c r="E23">
        <v>88168</v>
      </c>
      <c r="F23"/>
      <c r="G23">
        <v>27415</v>
      </c>
      <c r="H23"/>
      <c r="I23">
        <v>6497</v>
      </c>
      <c r="K23" s="10">
        <f t="shared" si="0"/>
        <v>183886</v>
      </c>
    </row>
    <row r="24" spans="1:11" x14ac:dyDescent="0.25">
      <c r="A24" t="s">
        <v>22</v>
      </c>
      <c r="B24" s="1">
        <v>2311</v>
      </c>
      <c r="C24">
        <v>86749</v>
      </c>
      <c r="D24"/>
      <c r="E24">
        <v>75895</v>
      </c>
      <c r="F24"/>
      <c r="G24">
        <v>31541</v>
      </c>
      <c r="H24"/>
      <c r="I24">
        <v>7232</v>
      </c>
      <c r="K24" s="10">
        <f t="shared" si="0"/>
        <v>201417</v>
      </c>
    </row>
    <row r="25" spans="1:11" x14ac:dyDescent="0.25">
      <c r="A25" t="s">
        <v>23</v>
      </c>
      <c r="B25" s="1">
        <v>2312</v>
      </c>
      <c r="C25">
        <v>203216</v>
      </c>
      <c r="D25"/>
      <c r="E25">
        <v>142680</v>
      </c>
      <c r="F25"/>
      <c r="G25">
        <v>49720</v>
      </c>
      <c r="H25"/>
      <c r="I25">
        <v>15662</v>
      </c>
      <c r="K25" s="10">
        <f t="shared" si="0"/>
        <v>411278</v>
      </c>
    </row>
    <row r="26" spans="1:11" x14ac:dyDescent="0.25">
      <c r="A26" t="s">
        <v>24</v>
      </c>
      <c r="B26" s="1">
        <v>2313</v>
      </c>
      <c r="C26">
        <v>5761</v>
      </c>
      <c r="D26"/>
      <c r="E26">
        <v>12113</v>
      </c>
      <c r="F26"/>
      <c r="G26">
        <v>1785</v>
      </c>
      <c r="H26"/>
      <c r="I26">
        <v>777</v>
      </c>
      <c r="K26" s="10">
        <f t="shared" si="0"/>
        <v>20436</v>
      </c>
    </row>
    <row r="27" spans="1:11" x14ac:dyDescent="0.25">
      <c r="A27" t="s">
        <v>25</v>
      </c>
      <c r="B27" s="1">
        <v>2314</v>
      </c>
      <c r="C27">
        <v>76410</v>
      </c>
      <c r="D27"/>
      <c r="E27">
        <v>70769</v>
      </c>
      <c r="F27"/>
      <c r="G27">
        <v>20892</v>
      </c>
      <c r="H27"/>
      <c r="I27">
        <v>6646</v>
      </c>
      <c r="K27" s="10">
        <f t="shared" si="0"/>
        <v>174717</v>
      </c>
    </row>
    <row r="28" spans="1:11" x14ac:dyDescent="0.25">
      <c r="A28" t="s">
        <v>26</v>
      </c>
      <c r="B28" s="1">
        <v>2315</v>
      </c>
      <c r="C28">
        <v>29416</v>
      </c>
      <c r="D28"/>
      <c r="E28">
        <v>41317</v>
      </c>
      <c r="F28"/>
      <c r="G28">
        <v>6736</v>
      </c>
      <c r="H28"/>
      <c r="I28">
        <v>2065</v>
      </c>
      <c r="K28" s="10">
        <f t="shared" si="0"/>
        <v>79534</v>
      </c>
    </row>
    <row r="29" spans="1:11" x14ac:dyDescent="0.25">
      <c r="A29" t="s">
        <v>27</v>
      </c>
      <c r="B29" s="1">
        <v>2316</v>
      </c>
      <c r="C29">
        <v>787</v>
      </c>
      <c r="D29"/>
      <c r="E29">
        <v>2060</v>
      </c>
      <c r="F29"/>
      <c r="G29">
        <v>282</v>
      </c>
      <c r="H29"/>
      <c r="I29">
        <v>125</v>
      </c>
      <c r="K29" s="10">
        <f t="shared" si="0"/>
        <v>3254</v>
      </c>
    </row>
    <row r="30" spans="1:11" x14ac:dyDescent="0.25">
      <c r="A30" t="s">
        <v>28</v>
      </c>
      <c r="B30" s="1">
        <v>2317</v>
      </c>
      <c r="C30">
        <v>23522</v>
      </c>
      <c r="D30"/>
      <c r="E30">
        <v>64297</v>
      </c>
      <c r="F30"/>
      <c r="G30">
        <v>14197</v>
      </c>
      <c r="H30"/>
      <c r="I30">
        <v>3426</v>
      </c>
      <c r="K30" s="10">
        <f t="shared" si="0"/>
        <v>105442</v>
      </c>
    </row>
    <row r="31" spans="1:11" x14ac:dyDescent="0.25">
      <c r="A31" t="s">
        <v>29</v>
      </c>
      <c r="B31" s="1">
        <v>2318</v>
      </c>
      <c r="C31">
        <v>1474</v>
      </c>
      <c r="D31"/>
      <c r="E31">
        <v>7462</v>
      </c>
      <c r="F31"/>
      <c r="G31">
        <v>913</v>
      </c>
      <c r="H31"/>
      <c r="I31">
        <v>264</v>
      </c>
      <c r="K31" s="10">
        <f t="shared" si="0"/>
        <v>10113</v>
      </c>
    </row>
    <row r="32" spans="1:11" x14ac:dyDescent="0.25">
      <c r="A32" t="s">
        <v>30</v>
      </c>
      <c r="B32" s="1">
        <v>2319</v>
      </c>
      <c r="C32">
        <v>7340</v>
      </c>
      <c r="D32"/>
      <c r="E32">
        <v>12183</v>
      </c>
      <c r="F32"/>
      <c r="G32">
        <v>1660</v>
      </c>
      <c r="H32"/>
      <c r="I32">
        <v>605</v>
      </c>
      <c r="K32" s="10">
        <f t="shared" si="0"/>
        <v>21788</v>
      </c>
    </row>
    <row r="33" spans="1:11" x14ac:dyDescent="0.25">
      <c r="A33" t="s">
        <v>31</v>
      </c>
      <c r="B33" s="1">
        <v>2320</v>
      </c>
      <c r="C33">
        <v>6009</v>
      </c>
      <c r="D33"/>
      <c r="E33">
        <v>18879</v>
      </c>
      <c r="F33"/>
      <c r="G33">
        <v>2384</v>
      </c>
      <c r="H33"/>
      <c r="I33">
        <v>600</v>
      </c>
      <c r="K33" s="10">
        <f t="shared" si="0"/>
        <v>27872</v>
      </c>
    </row>
    <row r="34" spans="1:11" x14ac:dyDescent="0.25">
      <c r="A34" t="s">
        <v>32</v>
      </c>
      <c r="B34" s="1">
        <v>2321</v>
      </c>
      <c r="C34">
        <v>13856</v>
      </c>
      <c r="D34"/>
      <c r="E34">
        <v>28856</v>
      </c>
      <c r="F34"/>
      <c r="G34">
        <v>4692</v>
      </c>
      <c r="H34"/>
      <c r="I34">
        <v>1685</v>
      </c>
      <c r="K34" s="10">
        <f t="shared" si="0"/>
        <v>49089</v>
      </c>
    </row>
    <row r="35" spans="1:11" x14ac:dyDescent="0.25">
      <c r="A35" t="s">
        <v>33</v>
      </c>
      <c r="B35" s="1">
        <v>2322</v>
      </c>
      <c r="C35">
        <v>5420</v>
      </c>
      <c r="D35"/>
      <c r="E35">
        <v>19404</v>
      </c>
      <c r="F35"/>
      <c r="G35">
        <v>2294</v>
      </c>
      <c r="H35"/>
      <c r="I35">
        <v>932</v>
      </c>
      <c r="K35" s="10">
        <f t="shared" ref="K35:K69" si="1">SUM(C35+E35+G35+I35)</f>
        <v>28050</v>
      </c>
    </row>
    <row r="36" spans="1:11" x14ac:dyDescent="0.25">
      <c r="A36" t="s">
        <v>34</v>
      </c>
      <c r="B36" s="1">
        <v>2323</v>
      </c>
      <c r="C36">
        <v>2537</v>
      </c>
      <c r="D36"/>
      <c r="E36">
        <v>10024</v>
      </c>
      <c r="F36"/>
      <c r="G36">
        <v>1182</v>
      </c>
      <c r="H36"/>
      <c r="I36">
        <v>335</v>
      </c>
      <c r="K36" s="10">
        <f t="shared" si="1"/>
        <v>14078</v>
      </c>
    </row>
    <row r="37" spans="1:11" x14ac:dyDescent="0.25">
      <c r="A37" t="s">
        <v>35</v>
      </c>
      <c r="B37" s="1">
        <v>2324</v>
      </c>
      <c r="C37">
        <v>76860</v>
      </c>
      <c r="D37"/>
      <c r="E37">
        <v>52263</v>
      </c>
      <c r="F37"/>
      <c r="G37">
        <v>17387</v>
      </c>
      <c r="H37"/>
      <c r="I37">
        <v>3518</v>
      </c>
      <c r="K37" s="10">
        <f t="shared" si="1"/>
        <v>150028</v>
      </c>
    </row>
    <row r="38" spans="1:11" x14ac:dyDescent="0.25">
      <c r="A38" t="s">
        <v>36</v>
      </c>
      <c r="B38" s="1">
        <v>2325</v>
      </c>
      <c r="C38">
        <v>113168</v>
      </c>
      <c r="D38"/>
      <c r="E38">
        <v>183631</v>
      </c>
      <c r="F38"/>
      <c r="G38">
        <v>51796</v>
      </c>
      <c r="H38"/>
      <c r="I38">
        <v>16044</v>
      </c>
      <c r="K38" s="10">
        <f t="shared" si="1"/>
        <v>364639</v>
      </c>
    </row>
    <row r="39" spans="1:11" x14ac:dyDescent="0.25">
      <c r="A39" t="s">
        <v>37</v>
      </c>
      <c r="B39" s="1">
        <v>2326</v>
      </c>
      <c r="C39">
        <v>19654</v>
      </c>
      <c r="D39"/>
      <c r="E39">
        <v>30095</v>
      </c>
      <c r="F39"/>
      <c r="G39">
        <v>5657</v>
      </c>
      <c r="H39"/>
      <c r="I39">
        <v>1894</v>
      </c>
      <c r="K39" s="10">
        <f t="shared" si="1"/>
        <v>57300</v>
      </c>
    </row>
    <row r="40" spans="1:11" x14ac:dyDescent="0.25">
      <c r="A40" t="s">
        <v>38</v>
      </c>
      <c r="B40" s="1">
        <v>2327</v>
      </c>
      <c r="C40">
        <v>25466</v>
      </c>
      <c r="D40"/>
      <c r="E40">
        <v>52634</v>
      </c>
      <c r="F40"/>
      <c r="G40">
        <v>12395</v>
      </c>
      <c r="H40"/>
      <c r="I40">
        <v>3677</v>
      </c>
      <c r="K40" s="10">
        <f t="shared" si="1"/>
        <v>94172</v>
      </c>
    </row>
    <row r="41" spans="1:11" x14ac:dyDescent="0.25">
      <c r="A41" t="s">
        <v>39</v>
      </c>
      <c r="B41" s="1">
        <v>2328</v>
      </c>
      <c r="C41">
        <v>111882</v>
      </c>
      <c r="D41"/>
      <c r="E41">
        <v>89450</v>
      </c>
      <c r="F41"/>
      <c r="G41">
        <v>45851</v>
      </c>
      <c r="H41"/>
      <c r="I41">
        <v>7345</v>
      </c>
      <c r="K41" s="10">
        <f t="shared" si="1"/>
        <v>254528</v>
      </c>
    </row>
    <row r="42" spans="1:11" x14ac:dyDescent="0.25">
      <c r="A42" t="s">
        <v>40</v>
      </c>
      <c r="B42" s="1">
        <v>2329</v>
      </c>
      <c r="C42">
        <v>85571</v>
      </c>
      <c r="D42"/>
      <c r="E42">
        <v>90786</v>
      </c>
      <c r="F42"/>
      <c r="G42">
        <v>25919</v>
      </c>
      <c r="H42"/>
      <c r="I42">
        <v>5716</v>
      </c>
      <c r="K42" s="10">
        <f t="shared" si="1"/>
        <v>207992</v>
      </c>
    </row>
    <row r="43" spans="1:11" x14ac:dyDescent="0.25">
      <c r="A43" t="s">
        <v>41</v>
      </c>
      <c r="B43" s="1">
        <v>2330</v>
      </c>
      <c r="C43">
        <v>18212</v>
      </c>
      <c r="D43"/>
      <c r="E43">
        <v>43710</v>
      </c>
      <c r="F43"/>
      <c r="G43">
        <v>8026</v>
      </c>
      <c r="H43"/>
      <c r="I43">
        <v>2711</v>
      </c>
      <c r="K43" s="10">
        <f t="shared" si="1"/>
        <v>72659</v>
      </c>
    </row>
    <row r="44" spans="1:11" x14ac:dyDescent="0.25">
      <c r="A44" t="s">
        <v>91</v>
      </c>
      <c r="B44" s="1">
        <v>2331</v>
      </c>
      <c r="C44">
        <v>5315</v>
      </c>
      <c r="D44"/>
      <c r="E44">
        <v>16218</v>
      </c>
      <c r="F44"/>
      <c r="G44">
        <v>2762</v>
      </c>
      <c r="H44"/>
      <c r="I44">
        <v>1027</v>
      </c>
      <c r="K44" s="10">
        <f t="shared" si="1"/>
        <v>25322</v>
      </c>
    </row>
    <row r="45" spans="1:11" x14ac:dyDescent="0.25">
      <c r="A45" t="s">
        <v>43</v>
      </c>
      <c r="B45" s="1">
        <v>2332</v>
      </c>
      <c r="C45">
        <v>23131</v>
      </c>
      <c r="D45"/>
      <c r="E45">
        <v>38296</v>
      </c>
      <c r="F45"/>
      <c r="G45">
        <v>8446</v>
      </c>
      <c r="H45"/>
      <c r="I45">
        <v>2032</v>
      </c>
      <c r="K45" s="10">
        <f t="shared" si="1"/>
        <v>71905</v>
      </c>
    </row>
    <row r="46" spans="1:11" x14ac:dyDescent="0.25">
      <c r="A46" t="s">
        <v>44</v>
      </c>
      <c r="B46" s="1">
        <v>2333</v>
      </c>
      <c r="C46">
        <v>5385</v>
      </c>
      <c r="D46"/>
      <c r="E46">
        <v>18645</v>
      </c>
      <c r="F46"/>
      <c r="G46">
        <v>2519</v>
      </c>
      <c r="H46"/>
      <c r="I46">
        <v>621</v>
      </c>
      <c r="K46" s="10">
        <f t="shared" si="1"/>
        <v>27170</v>
      </c>
    </row>
    <row r="47" spans="1:11" x14ac:dyDescent="0.25">
      <c r="A47" t="s">
        <v>45</v>
      </c>
      <c r="B47" s="1">
        <v>2334</v>
      </c>
      <c r="C47">
        <v>48644</v>
      </c>
      <c r="D47"/>
      <c r="E47">
        <v>43364</v>
      </c>
      <c r="F47"/>
      <c r="G47">
        <v>20793</v>
      </c>
      <c r="H47"/>
      <c r="I47">
        <v>4984</v>
      </c>
      <c r="K47" s="10">
        <f t="shared" si="1"/>
        <v>117785</v>
      </c>
    </row>
    <row r="48" spans="1:11" x14ac:dyDescent="0.25">
      <c r="A48" t="s">
        <v>46</v>
      </c>
      <c r="B48" s="1">
        <v>2335</v>
      </c>
      <c r="C48">
        <v>305784</v>
      </c>
      <c r="D48"/>
      <c r="E48">
        <v>207553</v>
      </c>
      <c r="F48"/>
      <c r="G48">
        <v>85193</v>
      </c>
      <c r="H48"/>
      <c r="I48">
        <v>25864</v>
      </c>
      <c r="K48" s="10">
        <f t="shared" si="1"/>
        <v>624394</v>
      </c>
    </row>
    <row r="49" spans="1:11" x14ac:dyDescent="0.25">
      <c r="A49" t="s">
        <v>47</v>
      </c>
      <c r="B49" s="1">
        <v>2336</v>
      </c>
      <c r="C49">
        <v>3772</v>
      </c>
      <c r="D49"/>
      <c r="E49">
        <v>6557</v>
      </c>
      <c r="F49"/>
      <c r="G49">
        <v>1625</v>
      </c>
      <c r="H49"/>
      <c r="I49">
        <v>413</v>
      </c>
      <c r="K49" s="10">
        <f t="shared" si="1"/>
        <v>12367</v>
      </c>
    </row>
    <row r="50" spans="1:11" x14ac:dyDescent="0.25">
      <c r="A50" t="s">
        <v>48</v>
      </c>
      <c r="B50" s="1">
        <v>2337</v>
      </c>
      <c r="C50">
        <v>96293</v>
      </c>
      <c r="D50"/>
      <c r="E50">
        <v>86894</v>
      </c>
      <c r="F50"/>
      <c r="G50">
        <v>39977</v>
      </c>
      <c r="H50"/>
      <c r="I50">
        <v>9543</v>
      </c>
      <c r="K50" s="10">
        <f t="shared" si="1"/>
        <v>232707</v>
      </c>
    </row>
    <row r="51" spans="1:11" x14ac:dyDescent="0.25">
      <c r="A51" t="s">
        <v>49</v>
      </c>
      <c r="B51" s="1">
        <v>2338</v>
      </c>
      <c r="C51">
        <v>15315</v>
      </c>
      <c r="D51"/>
      <c r="E51">
        <v>31906</v>
      </c>
      <c r="F51"/>
      <c r="G51">
        <v>5854</v>
      </c>
      <c r="H51"/>
      <c r="I51">
        <v>2235</v>
      </c>
      <c r="K51" s="10">
        <f t="shared" si="1"/>
        <v>55310</v>
      </c>
    </row>
    <row r="52" spans="1:11" x14ac:dyDescent="0.25">
      <c r="A52" t="s">
        <v>50</v>
      </c>
      <c r="B52" s="1">
        <v>2339</v>
      </c>
      <c r="C52">
        <v>6021</v>
      </c>
      <c r="D52"/>
      <c r="E52">
        <v>20922</v>
      </c>
      <c r="F52"/>
      <c r="G52">
        <v>3448</v>
      </c>
      <c r="H52"/>
      <c r="I52">
        <v>853</v>
      </c>
      <c r="K52" s="10">
        <f t="shared" si="1"/>
        <v>31244</v>
      </c>
    </row>
    <row r="53" spans="1:11" x14ac:dyDescent="0.25">
      <c r="A53" t="s">
        <v>51</v>
      </c>
      <c r="B53" s="1">
        <v>2340</v>
      </c>
      <c r="C53">
        <v>780039</v>
      </c>
      <c r="D53"/>
      <c r="E53">
        <v>131233</v>
      </c>
      <c r="F53"/>
      <c r="G53">
        <v>154678</v>
      </c>
      <c r="H53"/>
      <c r="I53">
        <v>26371</v>
      </c>
      <c r="K53" s="10">
        <f t="shared" si="1"/>
        <v>1092321</v>
      </c>
    </row>
    <row r="54" spans="1:11" x14ac:dyDescent="0.25">
      <c r="A54" t="s">
        <v>52</v>
      </c>
      <c r="B54" s="1">
        <v>2341</v>
      </c>
      <c r="C54">
        <v>13625</v>
      </c>
      <c r="D54"/>
      <c r="E54">
        <v>23134</v>
      </c>
      <c r="F54"/>
      <c r="G54">
        <v>8541</v>
      </c>
      <c r="H54"/>
      <c r="I54">
        <v>2141</v>
      </c>
      <c r="K54" s="10">
        <f t="shared" si="1"/>
        <v>47441</v>
      </c>
    </row>
    <row r="55" spans="1:11" x14ac:dyDescent="0.25">
      <c r="A55" t="s">
        <v>53</v>
      </c>
      <c r="B55" s="1">
        <v>2342</v>
      </c>
      <c r="C55">
        <v>1731</v>
      </c>
      <c r="D55"/>
      <c r="E55">
        <v>7987</v>
      </c>
      <c r="F55"/>
      <c r="G55">
        <v>998</v>
      </c>
      <c r="H55"/>
      <c r="I55">
        <v>271</v>
      </c>
      <c r="K55" s="10">
        <f t="shared" si="1"/>
        <v>10987</v>
      </c>
    </row>
    <row r="56" spans="1:11" x14ac:dyDescent="0.25">
      <c r="A56" t="s">
        <v>54</v>
      </c>
      <c r="B56" s="1">
        <v>2343</v>
      </c>
      <c r="C56">
        <v>25374</v>
      </c>
      <c r="D56"/>
      <c r="E56">
        <v>53169</v>
      </c>
      <c r="F56"/>
      <c r="G56">
        <v>10188</v>
      </c>
      <c r="H56"/>
      <c r="I56">
        <v>3761</v>
      </c>
      <c r="K56" s="10">
        <f t="shared" si="1"/>
        <v>92492</v>
      </c>
    </row>
    <row r="57" spans="1:11" x14ac:dyDescent="0.25">
      <c r="A57" t="s">
        <v>55</v>
      </c>
      <c r="B57" s="1">
        <v>2344</v>
      </c>
      <c r="C57">
        <v>4888</v>
      </c>
      <c r="D57"/>
      <c r="E57">
        <v>15941</v>
      </c>
      <c r="F57"/>
      <c r="G57">
        <v>2350</v>
      </c>
      <c r="H57"/>
      <c r="I57">
        <v>671</v>
      </c>
      <c r="K57" s="10">
        <f t="shared" si="1"/>
        <v>23850</v>
      </c>
    </row>
    <row r="58" spans="1:11" x14ac:dyDescent="0.25">
      <c r="A58" t="s">
        <v>56</v>
      </c>
      <c r="B58" s="1">
        <v>2345</v>
      </c>
      <c r="C58">
        <v>10482</v>
      </c>
      <c r="D58"/>
      <c r="E58">
        <v>32798</v>
      </c>
      <c r="F58"/>
      <c r="G58">
        <v>4434</v>
      </c>
      <c r="H58"/>
      <c r="I58">
        <v>773</v>
      </c>
      <c r="K58" s="10">
        <f t="shared" si="1"/>
        <v>48487</v>
      </c>
    </row>
    <row r="59" spans="1:11" x14ac:dyDescent="0.25">
      <c r="A59" t="s">
        <v>57</v>
      </c>
      <c r="B59" s="1">
        <v>2346</v>
      </c>
      <c r="C59">
        <v>1067</v>
      </c>
      <c r="D59"/>
      <c r="E59">
        <v>2851</v>
      </c>
      <c r="F59"/>
      <c r="G59">
        <v>385</v>
      </c>
      <c r="H59"/>
      <c r="I59">
        <v>160</v>
      </c>
      <c r="K59" s="10">
        <f t="shared" si="1"/>
        <v>4463</v>
      </c>
    </row>
    <row r="60" spans="1:11" x14ac:dyDescent="0.25">
      <c r="A60" t="s">
        <v>58</v>
      </c>
      <c r="B60" s="1">
        <v>2347</v>
      </c>
      <c r="C60">
        <v>6135</v>
      </c>
      <c r="D60"/>
      <c r="E60">
        <v>17260</v>
      </c>
      <c r="F60"/>
      <c r="G60">
        <v>2894</v>
      </c>
      <c r="H60"/>
      <c r="I60">
        <v>1120</v>
      </c>
      <c r="K60" s="10">
        <f t="shared" si="1"/>
        <v>27409</v>
      </c>
    </row>
    <row r="61" spans="1:11" x14ac:dyDescent="0.25">
      <c r="A61" t="s">
        <v>59</v>
      </c>
      <c r="B61" s="1">
        <v>2348</v>
      </c>
      <c r="C61">
        <v>4928</v>
      </c>
      <c r="D61"/>
      <c r="E61">
        <v>18105</v>
      </c>
      <c r="F61"/>
      <c r="G61">
        <v>2981</v>
      </c>
      <c r="H61"/>
      <c r="I61">
        <v>797</v>
      </c>
      <c r="K61" s="10">
        <f t="shared" si="1"/>
        <v>26811</v>
      </c>
    </row>
    <row r="62" spans="1:11" x14ac:dyDescent="0.25">
      <c r="A62" t="s">
        <v>60</v>
      </c>
      <c r="B62" s="1">
        <v>2349</v>
      </c>
      <c r="C62">
        <v>7865</v>
      </c>
      <c r="D62"/>
      <c r="E62">
        <v>14384</v>
      </c>
      <c r="F62"/>
      <c r="G62">
        <v>3272</v>
      </c>
      <c r="H62"/>
      <c r="I62">
        <v>979</v>
      </c>
      <c r="K62" s="10">
        <f t="shared" si="1"/>
        <v>26500</v>
      </c>
    </row>
    <row r="63" spans="1:11" x14ac:dyDescent="0.25">
      <c r="A63" t="s">
        <v>61</v>
      </c>
      <c r="B63" s="1">
        <v>2350</v>
      </c>
      <c r="C63">
        <v>8026</v>
      </c>
      <c r="D63"/>
      <c r="E63">
        <v>20128</v>
      </c>
      <c r="F63"/>
      <c r="G63">
        <v>3455</v>
      </c>
      <c r="H63"/>
      <c r="I63">
        <v>1223</v>
      </c>
      <c r="K63" s="10">
        <f t="shared" si="1"/>
        <v>32832</v>
      </c>
    </row>
    <row r="64" spans="1:11" x14ac:dyDescent="0.25">
      <c r="A64" t="s">
        <v>62</v>
      </c>
      <c r="B64" s="1">
        <v>2351</v>
      </c>
      <c r="C64">
        <v>6340</v>
      </c>
      <c r="D64"/>
      <c r="E64">
        <v>15229</v>
      </c>
      <c r="F64"/>
      <c r="G64">
        <v>2605</v>
      </c>
      <c r="H64"/>
      <c r="I64">
        <v>1248</v>
      </c>
      <c r="K64" s="10">
        <f t="shared" si="1"/>
        <v>25422</v>
      </c>
    </row>
    <row r="65" spans="1:11" x14ac:dyDescent="0.25">
      <c r="A65" t="s">
        <v>63</v>
      </c>
      <c r="B65" s="1">
        <v>2352</v>
      </c>
      <c r="C65">
        <v>52573</v>
      </c>
      <c r="D65"/>
      <c r="E65">
        <v>72714</v>
      </c>
      <c r="F65"/>
      <c r="G65">
        <v>15990</v>
      </c>
      <c r="H65"/>
      <c r="I65">
        <v>3769</v>
      </c>
      <c r="K65" s="10">
        <f t="shared" si="1"/>
        <v>145046</v>
      </c>
    </row>
    <row r="66" spans="1:11" x14ac:dyDescent="0.25">
      <c r="A66" t="s">
        <v>64</v>
      </c>
      <c r="B66" s="1">
        <v>2353</v>
      </c>
      <c r="C66">
        <v>8713</v>
      </c>
      <c r="D66"/>
      <c r="E66">
        <v>21740</v>
      </c>
      <c r="F66"/>
      <c r="G66">
        <v>5207</v>
      </c>
      <c r="H66"/>
      <c r="I66">
        <v>1049</v>
      </c>
      <c r="K66" s="10">
        <f t="shared" si="1"/>
        <v>36709</v>
      </c>
    </row>
    <row r="67" spans="1:11" x14ac:dyDescent="0.25">
      <c r="A67" t="s">
        <v>65</v>
      </c>
      <c r="B67" s="1">
        <v>2354</v>
      </c>
      <c r="C67">
        <v>86696</v>
      </c>
      <c r="D67"/>
      <c r="E67">
        <v>130776</v>
      </c>
      <c r="F67"/>
      <c r="G67">
        <v>24047</v>
      </c>
      <c r="H67"/>
      <c r="I67">
        <v>9189</v>
      </c>
      <c r="K67" s="10">
        <f t="shared" si="1"/>
        <v>250708</v>
      </c>
    </row>
    <row r="68" spans="1:11" x14ac:dyDescent="0.25">
      <c r="A68" t="s">
        <v>66</v>
      </c>
      <c r="B68" s="1">
        <v>2355</v>
      </c>
      <c r="C68">
        <v>4694</v>
      </c>
      <c r="D68"/>
      <c r="E68">
        <v>11312</v>
      </c>
      <c r="F68"/>
      <c r="G68">
        <v>1831</v>
      </c>
      <c r="H68"/>
      <c r="I68">
        <v>659</v>
      </c>
      <c r="K68" s="10">
        <f t="shared" si="1"/>
        <v>18496</v>
      </c>
    </row>
    <row r="69" spans="1:11" ht="13.8" thickBot="1" x14ac:dyDescent="0.3">
      <c r="A69" s="2" t="s">
        <v>67</v>
      </c>
      <c r="B69" s="5">
        <v>2356</v>
      </c>
      <c r="C69">
        <v>96665</v>
      </c>
      <c r="D69"/>
      <c r="E69">
        <v>168292</v>
      </c>
      <c r="F69"/>
      <c r="G69">
        <v>54280</v>
      </c>
      <c r="H69"/>
      <c r="I69">
        <v>8901</v>
      </c>
      <c r="J69" s="13"/>
      <c r="K69" s="10">
        <f t="shared" si="1"/>
        <v>328138</v>
      </c>
    </row>
    <row r="70" spans="1:11" ht="21.75" customHeight="1" x14ac:dyDescent="0.25">
      <c r="A70" s="6" t="s">
        <v>68</v>
      </c>
      <c r="C70" s="14">
        <f>SUM(C3:C69)</f>
        <v>3850632</v>
      </c>
      <c r="D70" s="14"/>
      <c r="E70" s="14">
        <f>SUM(E3:E69)</f>
        <v>3634026</v>
      </c>
      <c r="F70" s="14"/>
      <c r="G70" s="14">
        <f>SUM(G3:G69)</f>
        <v>1194535</v>
      </c>
      <c r="H70" s="14"/>
      <c r="I70" s="14">
        <f>SUM(I3:I69)</f>
        <v>314140</v>
      </c>
      <c r="J70" s="14"/>
      <c r="K70" s="44">
        <f>SUM(K3:K69)</f>
        <v>8993333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14" sqref="L14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1</v>
      </c>
      <c r="C4" s="42">
        <v>3</v>
      </c>
      <c r="D4" s="42">
        <v>0</v>
      </c>
      <c r="E4" s="42">
        <v>0</v>
      </c>
      <c r="F4" s="42">
        <v>128</v>
      </c>
      <c r="G4" s="42">
        <v>162</v>
      </c>
      <c r="H4" s="42">
        <v>128</v>
      </c>
      <c r="I4" s="42">
        <v>170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41</v>
      </c>
      <c r="C5" s="42">
        <v>128</v>
      </c>
      <c r="D5" s="42">
        <v>49</v>
      </c>
      <c r="E5" s="42">
        <v>26</v>
      </c>
      <c r="F5" s="42">
        <v>1479</v>
      </c>
      <c r="G5" s="42">
        <v>2758</v>
      </c>
      <c r="H5" s="42">
        <v>1515</v>
      </c>
      <c r="I5" s="42">
        <v>741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2</v>
      </c>
      <c r="C6" s="42">
        <v>1</v>
      </c>
      <c r="D6" s="42">
        <v>3</v>
      </c>
      <c r="E6" s="42">
        <v>0</v>
      </c>
      <c r="F6" s="42">
        <v>42</v>
      </c>
      <c r="G6" s="42">
        <v>37</v>
      </c>
      <c r="H6" s="42">
        <v>118</v>
      </c>
      <c r="I6" s="42">
        <v>44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7</v>
      </c>
      <c r="C7" s="42">
        <v>6</v>
      </c>
      <c r="D7" s="42">
        <v>4</v>
      </c>
      <c r="E7" s="42">
        <v>1</v>
      </c>
      <c r="F7" s="42">
        <v>145</v>
      </c>
      <c r="G7" s="42">
        <v>189</v>
      </c>
      <c r="H7" s="42">
        <v>275</v>
      </c>
      <c r="I7" s="42">
        <v>113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0</v>
      </c>
      <c r="E8" s="42">
        <v>2</v>
      </c>
      <c r="F8" s="42">
        <v>21</v>
      </c>
      <c r="G8" s="42">
        <v>18</v>
      </c>
      <c r="H8" s="42">
        <v>33</v>
      </c>
      <c r="I8" s="42">
        <v>29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16</v>
      </c>
      <c r="C9" s="42">
        <v>31</v>
      </c>
      <c r="D9" s="42">
        <v>15</v>
      </c>
      <c r="E9" s="42">
        <v>15</v>
      </c>
      <c r="F9" s="42">
        <v>587</v>
      </c>
      <c r="G9" s="42">
        <v>892</v>
      </c>
      <c r="H9" s="42">
        <v>721</v>
      </c>
      <c r="I9" s="42">
        <v>571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1</v>
      </c>
      <c r="C10" s="42">
        <v>2</v>
      </c>
      <c r="D10" s="42">
        <v>5</v>
      </c>
      <c r="E10" s="42">
        <v>0</v>
      </c>
      <c r="F10" s="42">
        <v>118</v>
      </c>
      <c r="G10" s="42">
        <v>134</v>
      </c>
      <c r="H10" s="42">
        <v>121</v>
      </c>
      <c r="I10" s="42">
        <v>104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1</v>
      </c>
      <c r="C11" s="42">
        <v>1</v>
      </c>
      <c r="D11" s="42">
        <v>1</v>
      </c>
      <c r="E11" s="42">
        <v>2</v>
      </c>
      <c r="F11" s="42">
        <v>55</v>
      </c>
      <c r="G11" s="42">
        <v>51</v>
      </c>
      <c r="H11" s="42">
        <v>67</v>
      </c>
      <c r="I11" s="42">
        <v>75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34</v>
      </c>
      <c r="C12" s="42">
        <v>55</v>
      </c>
      <c r="D12" s="42">
        <v>24</v>
      </c>
      <c r="E12" s="42">
        <v>26</v>
      </c>
      <c r="F12" s="42">
        <v>1107</v>
      </c>
      <c r="G12" s="42">
        <v>1749</v>
      </c>
      <c r="H12" s="42">
        <v>957</v>
      </c>
      <c r="I12" s="42">
        <v>967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12</v>
      </c>
      <c r="C13" s="42">
        <v>9</v>
      </c>
      <c r="D13" s="42">
        <v>11</v>
      </c>
      <c r="E13" s="42">
        <v>7</v>
      </c>
      <c r="F13" s="42">
        <v>231</v>
      </c>
      <c r="G13" s="42">
        <v>268</v>
      </c>
      <c r="H13" s="42">
        <v>197</v>
      </c>
      <c r="I13" s="42">
        <v>198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1</v>
      </c>
      <c r="C14" s="42">
        <v>3</v>
      </c>
      <c r="D14" s="42">
        <v>4</v>
      </c>
      <c r="E14" s="42">
        <v>1</v>
      </c>
      <c r="F14" s="42">
        <v>116</v>
      </c>
      <c r="G14" s="42">
        <v>99</v>
      </c>
      <c r="H14" s="42">
        <v>260</v>
      </c>
      <c r="I14" s="42">
        <v>97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1</v>
      </c>
      <c r="E15" s="42">
        <v>0</v>
      </c>
      <c r="F15" s="42">
        <v>3</v>
      </c>
      <c r="G15" s="42">
        <v>2</v>
      </c>
      <c r="H15" s="42">
        <v>12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2</v>
      </c>
      <c r="C16" s="42">
        <v>2</v>
      </c>
      <c r="D16" s="42">
        <v>6</v>
      </c>
      <c r="E16" s="42">
        <v>2</v>
      </c>
      <c r="F16" s="42">
        <v>73</v>
      </c>
      <c r="G16" s="42">
        <v>108</v>
      </c>
      <c r="H16" s="42">
        <v>122</v>
      </c>
      <c r="I16" s="42">
        <v>87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2</v>
      </c>
      <c r="C17" s="42">
        <v>5</v>
      </c>
      <c r="D17" s="42">
        <v>2</v>
      </c>
      <c r="E17" s="42">
        <v>1</v>
      </c>
      <c r="F17" s="42">
        <v>151</v>
      </c>
      <c r="G17" s="42">
        <v>208</v>
      </c>
      <c r="H17" s="42">
        <v>81</v>
      </c>
      <c r="I17" s="42">
        <v>106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15</v>
      </c>
      <c r="C18" s="42">
        <v>16</v>
      </c>
      <c r="D18" s="42">
        <v>4</v>
      </c>
      <c r="E18" s="42">
        <v>8</v>
      </c>
      <c r="F18" s="42">
        <v>856</v>
      </c>
      <c r="G18" s="42">
        <v>1401</v>
      </c>
      <c r="H18" s="42">
        <v>463</v>
      </c>
      <c r="I18" s="42">
        <v>656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2</v>
      </c>
      <c r="C19" s="42">
        <v>2</v>
      </c>
      <c r="D19" s="42">
        <v>1</v>
      </c>
      <c r="E19" s="42">
        <v>0</v>
      </c>
      <c r="F19" s="42">
        <v>24</v>
      </c>
      <c r="G19" s="42">
        <v>22</v>
      </c>
      <c r="H19" s="42">
        <v>42</v>
      </c>
      <c r="I19" s="42">
        <v>17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0</v>
      </c>
      <c r="C20" s="42">
        <v>2</v>
      </c>
      <c r="D20" s="42">
        <v>4</v>
      </c>
      <c r="E20" s="42">
        <v>1</v>
      </c>
      <c r="F20" s="42">
        <v>41</v>
      </c>
      <c r="G20" s="42">
        <v>54</v>
      </c>
      <c r="H20" s="42">
        <v>117</v>
      </c>
      <c r="I20" s="42">
        <v>75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1</v>
      </c>
      <c r="C21" s="42">
        <v>3</v>
      </c>
      <c r="D21" s="42">
        <v>0</v>
      </c>
      <c r="E21" s="42">
        <v>1</v>
      </c>
      <c r="F21" s="42">
        <v>33</v>
      </c>
      <c r="G21" s="42">
        <v>43</v>
      </c>
      <c r="H21" s="42">
        <v>40</v>
      </c>
      <c r="I21" s="42">
        <v>38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3</v>
      </c>
      <c r="C22" s="42">
        <v>4</v>
      </c>
      <c r="D22" s="42">
        <v>3</v>
      </c>
      <c r="E22" s="42">
        <v>0</v>
      </c>
      <c r="F22" s="42">
        <v>52</v>
      </c>
      <c r="G22" s="42">
        <v>65</v>
      </c>
      <c r="H22" s="42">
        <v>71</v>
      </c>
      <c r="I22" s="42">
        <v>45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0</v>
      </c>
      <c r="D23" s="42">
        <v>0</v>
      </c>
      <c r="E23" s="42">
        <v>0</v>
      </c>
      <c r="F23" s="42">
        <v>69</v>
      </c>
      <c r="G23" s="42">
        <v>55</v>
      </c>
      <c r="H23" s="42">
        <v>68</v>
      </c>
      <c r="I23" s="42">
        <v>50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5</v>
      </c>
      <c r="C24" s="42">
        <v>15</v>
      </c>
      <c r="D24" s="42">
        <v>3</v>
      </c>
      <c r="E24" s="42">
        <v>10</v>
      </c>
      <c r="F24" s="42">
        <v>476</v>
      </c>
      <c r="G24" s="42">
        <v>689</v>
      </c>
      <c r="H24" s="42">
        <v>310</v>
      </c>
      <c r="I24" s="42">
        <v>427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19</v>
      </c>
      <c r="C25" s="42">
        <v>30</v>
      </c>
      <c r="D25" s="42">
        <v>16</v>
      </c>
      <c r="E25" s="42">
        <v>6</v>
      </c>
      <c r="F25" s="42">
        <v>750</v>
      </c>
      <c r="G25" s="42">
        <v>1433</v>
      </c>
      <c r="H25" s="42">
        <v>441</v>
      </c>
      <c r="I25" s="42">
        <v>378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18</v>
      </c>
      <c r="C26" s="42">
        <v>43</v>
      </c>
      <c r="D26" s="42">
        <v>23</v>
      </c>
      <c r="E26" s="42">
        <v>11</v>
      </c>
      <c r="F26" s="42">
        <v>860</v>
      </c>
      <c r="G26" s="42">
        <v>1094</v>
      </c>
      <c r="H26" s="42">
        <v>547</v>
      </c>
      <c r="I26" s="42">
        <v>304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0</v>
      </c>
      <c r="E27" s="42">
        <v>0</v>
      </c>
      <c r="F27" s="42">
        <v>20</v>
      </c>
      <c r="G27" s="42">
        <v>17</v>
      </c>
      <c r="H27" s="42">
        <v>51</v>
      </c>
      <c r="I27" s="42">
        <v>17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7</v>
      </c>
      <c r="C28" s="42">
        <v>5</v>
      </c>
      <c r="D28" s="42">
        <v>5</v>
      </c>
      <c r="E28" s="42">
        <v>0</v>
      </c>
      <c r="F28" s="42">
        <v>328</v>
      </c>
      <c r="G28" s="42">
        <v>337</v>
      </c>
      <c r="H28" s="42">
        <v>338</v>
      </c>
      <c r="I28" s="42">
        <v>164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3</v>
      </c>
      <c r="C29" s="42">
        <v>3</v>
      </c>
      <c r="D29" s="42">
        <v>3</v>
      </c>
      <c r="E29" s="42">
        <v>3</v>
      </c>
      <c r="F29" s="42">
        <v>117</v>
      </c>
      <c r="G29" s="42">
        <v>93</v>
      </c>
      <c r="H29" s="42">
        <v>289</v>
      </c>
      <c r="I29" s="42">
        <v>96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4</v>
      </c>
      <c r="G30" s="42">
        <v>0</v>
      </c>
      <c r="H30" s="42">
        <v>4</v>
      </c>
      <c r="I30" s="42">
        <v>3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3</v>
      </c>
      <c r="C31" s="42">
        <v>7</v>
      </c>
      <c r="D31" s="42">
        <v>3</v>
      </c>
      <c r="E31" s="42">
        <v>8</v>
      </c>
      <c r="F31" s="42">
        <v>201</v>
      </c>
      <c r="G31" s="42">
        <v>231</v>
      </c>
      <c r="H31" s="42">
        <v>161</v>
      </c>
      <c r="I31" s="42">
        <v>230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1</v>
      </c>
      <c r="E32" s="42">
        <v>0</v>
      </c>
      <c r="F32" s="42">
        <v>7</v>
      </c>
      <c r="G32" s="42">
        <v>3</v>
      </c>
      <c r="H32" s="42">
        <v>19</v>
      </c>
      <c r="I32" s="42">
        <v>15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1</v>
      </c>
      <c r="E33" s="42">
        <v>2</v>
      </c>
      <c r="F33" s="42">
        <v>21</v>
      </c>
      <c r="G33" s="42">
        <v>13</v>
      </c>
      <c r="H33" s="42">
        <v>101</v>
      </c>
      <c r="I33" s="42">
        <v>46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1</v>
      </c>
      <c r="E34" s="42">
        <v>0</v>
      </c>
      <c r="F34" s="42">
        <v>24</v>
      </c>
      <c r="G34" s="42">
        <v>28</v>
      </c>
      <c r="H34" s="42">
        <v>43</v>
      </c>
      <c r="I34" s="42">
        <v>23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0</v>
      </c>
      <c r="C35" s="42">
        <v>1</v>
      </c>
      <c r="D35" s="42">
        <v>0</v>
      </c>
      <c r="E35" s="42">
        <v>0</v>
      </c>
      <c r="F35" s="42">
        <v>45</v>
      </c>
      <c r="G35" s="42">
        <v>53</v>
      </c>
      <c r="H35" s="42">
        <v>90</v>
      </c>
      <c r="I35" s="42">
        <v>67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0</v>
      </c>
      <c r="F36" s="42">
        <v>21</v>
      </c>
      <c r="G36" s="42">
        <v>29</v>
      </c>
      <c r="H36" s="42">
        <v>18</v>
      </c>
      <c r="I36" s="42">
        <v>27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1</v>
      </c>
      <c r="E37" s="42">
        <v>1</v>
      </c>
      <c r="F37" s="42">
        <v>15</v>
      </c>
      <c r="G37" s="42">
        <v>11</v>
      </c>
      <c r="H37" s="42">
        <v>16</v>
      </c>
      <c r="I37" s="42">
        <v>14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19</v>
      </c>
      <c r="C38" s="42">
        <v>14</v>
      </c>
      <c r="D38" s="42">
        <v>12</v>
      </c>
      <c r="E38" s="42">
        <v>2</v>
      </c>
      <c r="F38" s="42">
        <v>474</v>
      </c>
      <c r="G38" s="42">
        <v>473</v>
      </c>
      <c r="H38" s="42">
        <v>448</v>
      </c>
      <c r="I38" s="42">
        <v>167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25</v>
      </c>
      <c r="C39" s="42">
        <v>39</v>
      </c>
      <c r="D39" s="42">
        <v>11</v>
      </c>
      <c r="E39" s="42">
        <v>22</v>
      </c>
      <c r="F39" s="42">
        <v>850</v>
      </c>
      <c r="G39" s="42">
        <v>1289</v>
      </c>
      <c r="H39" s="42">
        <v>631</v>
      </c>
      <c r="I39" s="42">
        <v>878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1</v>
      </c>
      <c r="C40" s="42">
        <v>1</v>
      </c>
      <c r="D40" s="42">
        <v>6</v>
      </c>
      <c r="E40" s="42">
        <v>1</v>
      </c>
      <c r="F40" s="42">
        <v>70</v>
      </c>
      <c r="G40" s="42">
        <v>66</v>
      </c>
      <c r="H40" s="42">
        <v>126</v>
      </c>
      <c r="I40" s="42">
        <v>74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3</v>
      </c>
      <c r="C41" s="42">
        <v>3</v>
      </c>
      <c r="D41" s="42">
        <v>3</v>
      </c>
      <c r="E41" s="42">
        <v>4</v>
      </c>
      <c r="F41" s="42">
        <v>205</v>
      </c>
      <c r="G41" s="42">
        <v>188</v>
      </c>
      <c r="H41" s="42">
        <v>184</v>
      </c>
      <c r="I41" s="42">
        <v>198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15</v>
      </c>
      <c r="C42" s="42">
        <v>32</v>
      </c>
      <c r="D42" s="42">
        <v>11</v>
      </c>
      <c r="E42" s="42">
        <v>16</v>
      </c>
      <c r="F42" s="42">
        <v>734</v>
      </c>
      <c r="G42" s="42">
        <v>1192</v>
      </c>
      <c r="H42" s="42">
        <v>514</v>
      </c>
      <c r="I42" s="42">
        <v>368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31</v>
      </c>
      <c r="C43" s="42">
        <v>38</v>
      </c>
      <c r="D43" s="42">
        <v>16</v>
      </c>
      <c r="E43" s="42">
        <v>5</v>
      </c>
      <c r="F43" s="42">
        <v>572</v>
      </c>
      <c r="G43" s="42">
        <v>788</v>
      </c>
      <c r="H43" s="42">
        <v>623</v>
      </c>
      <c r="I43" s="42">
        <v>282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2</v>
      </c>
      <c r="C44" s="42">
        <v>2</v>
      </c>
      <c r="D44" s="42">
        <v>1</v>
      </c>
      <c r="E44" s="42">
        <v>3</v>
      </c>
      <c r="F44" s="42">
        <v>136</v>
      </c>
      <c r="G44" s="42">
        <v>134</v>
      </c>
      <c r="H44" s="42">
        <v>121</v>
      </c>
      <c r="I44" s="42">
        <v>151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2</v>
      </c>
      <c r="D45" s="42">
        <v>0</v>
      </c>
      <c r="E45" s="42">
        <v>0</v>
      </c>
      <c r="F45" s="42">
        <v>21</v>
      </c>
      <c r="G45" s="42">
        <v>16</v>
      </c>
      <c r="H45" s="42">
        <v>9</v>
      </c>
      <c r="I45" s="42">
        <v>12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0</v>
      </c>
      <c r="C46" s="42">
        <v>7</v>
      </c>
      <c r="D46" s="42">
        <v>2</v>
      </c>
      <c r="E46" s="42">
        <v>2</v>
      </c>
      <c r="F46" s="42">
        <v>84</v>
      </c>
      <c r="G46" s="42">
        <v>121</v>
      </c>
      <c r="H46" s="42">
        <v>130</v>
      </c>
      <c r="I46" s="42">
        <v>79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1</v>
      </c>
      <c r="C47" s="42">
        <v>0</v>
      </c>
      <c r="D47" s="42">
        <v>1</v>
      </c>
      <c r="E47" s="42">
        <v>0</v>
      </c>
      <c r="F47" s="42">
        <v>36</v>
      </c>
      <c r="G47" s="42">
        <v>33</v>
      </c>
      <c r="H47" s="42">
        <v>41</v>
      </c>
      <c r="I47" s="42">
        <v>29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4</v>
      </c>
      <c r="C48" s="42">
        <v>11</v>
      </c>
      <c r="D48" s="42">
        <v>6</v>
      </c>
      <c r="E48" s="42">
        <v>5</v>
      </c>
      <c r="F48" s="42">
        <v>170</v>
      </c>
      <c r="G48" s="42">
        <v>353</v>
      </c>
      <c r="H48" s="42">
        <v>219</v>
      </c>
      <c r="I48" s="42">
        <v>241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35</v>
      </c>
      <c r="C49" s="42">
        <v>56</v>
      </c>
      <c r="D49" s="42">
        <v>28</v>
      </c>
      <c r="E49" s="42">
        <v>25</v>
      </c>
      <c r="F49" s="42">
        <v>1449</v>
      </c>
      <c r="G49" s="42">
        <v>1994</v>
      </c>
      <c r="H49" s="42">
        <v>1060</v>
      </c>
      <c r="I49" s="42">
        <v>888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0</v>
      </c>
      <c r="C50" s="42">
        <v>0</v>
      </c>
      <c r="D50" s="42">
        <v>0</v>
      </c>
      <c r="E50" s="42">
        <v>0</v>
      </c>
      <c r="F50" s="42">
        <v>13</v>
      </c>
      <c r="G50" s="42">
        <v>11</v>
      </c>
      <c r="H50" s="42">
        <v>9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16</v>
      </c>
      <c r="C51" s="42">
        <v>26</v>
      </c>
      <c r="D51" s="42">
        <v>7</v>
      </c>
      <c r="E51" s="42">
        <v>14</v>
      </c>
      <c r="F51" s="42">
        <v>516</v>
      </c>
      <c r="G51" s="42">
        <v>911</v>
      </c>
      <c r="H51" s="42">
        <v>521</v>
      </c>
      <c r="I51" s="42">
        <v>481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0</v>
      </c>
      <c r="C52" s="42">
        <v>0</v>
      </c>
      <c r="D52" s="42">
        <v>1</v>
      </c>
      <c r="E52" s="42">
        <v>1</v>
      </c>
      <c r="F52" s="42">
        <v>75</v>
      </c>
      <c r="G52" s="42">
        <v>75</v>
      </c>
      <c r="H52" s="42">
        <v>95</v>
      </c>
      <c r="I52" s="42">
        <v>56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2</v>
      </c>
      <c r="C53" s="42">
        <v>1</v>
      </c>
      <c r="D53" s="42">
        <v>2</v>
      </c>
      <c r="E53" s="42">
        <v>0</v>
      </c>
      <c r="F53" s="42">
        <v>50</v>
      </c>
      <c r="G53" s="42">
        <v>66</v>
      </c>
      <c r="H53" s="42">
        <v>57</v>
      </c>
      <c r="I53" s="42">
        <v>56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119</v>
      </c>
      <c r="C54" s="42">
        <v>351</v>
      </c>
      <c r="D54" s="42">
        <v>96</v>
      </c>
      <c r="E54" s="42">
        <v>46</v>
      </c>
      <c r="F54" s="42">
        <v>2470</v>
      </c>
      <c r="G54" s="42">
        <v>7522</v>
      </c>
      <c r="H54" s="42">
        <v>2569</v>
      </c>
      <c r="I54" s="42">
        <v>1160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2</v>
      </c>
      <c r="C55" s="42">
        <v>0</v>
      </c>
      <c r="D55" s="42">
        <v>0</v>
      </c>
      <c r="E55" s="42">
        <v>2</v>
      </c>
      <c r="F55" s="42">
        <v>51</v>
      </c>
      <c r="G55" s="42">
        <v>87</v>
      </c>
      <c r="H55" s="42">
        <v>74</v>
      </c>
      <c r="I55" s="42">
        <v>122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6</v>
      </c>
      <c r="G56" s="42">
        <v>6</v>
      </c>
      <c r="H56" s="42">
        <v>13</v>
      </c>
      <c r="I56" s="42">
        <v>16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5</v>
      </c>
      <c r="C57" s="42">
        <v>5</v>
      </c>
      <c r="D57" s="42">
        <v>4</v>
      </c>
      <c r="E57" s="42">
        <v>5</v>
      </c>
      <c r="F57" s="42">
        <v>161</v>
      </c>
      <c r="G57" s="42">
        <v>145</v>
      </c>
      <c r="H57" s="42">
        <v>236</v>
      </c>
      <c r="I57" s="42">
        <v>150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2</v>
      </c>
      <c r="D58" s="42">
        <v>0</v>
      </c>
      <c r="E58" s="42">
        <v>1</v>
      </c>
      <c r="F58" s="42">
        <v>21</v>
      </c>
      <c r="G58" s="42">
        <v>24</v>
      </c>
      <c r="H58" s="42">
        <v>14</v>
      </c>
      <c r="I58" s="42">
        <v>33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0</v>
      </c>
      <c r="D59" s="42">
        <v>2</v>
      </c>
      <c r="E59" s="42">
        <v>1</v>
      </c>
      <c r="F59" s="42">
        <v>57</v>
      </c>
      <c r="G59" s="42">
        <v>55</v>
      </c>
      <c r="H59" s="42">
        <v>140</v>
      </c>
      <c r="I59" s="42">
        <v>95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1</v>
      </c>
      <c r="C61" s="42">
        <v>2</v>
      </c>
      <c r="D61" s="42">
        <v>0</v>
      </c>
      <c r="E61" s="42">
        <v>0</v>
      </c>
      <c r="F61" s="42">
        <v>38</v>
      </c>
      <c r="G61" s="42">
        <v>41</v>
      </c>
      <c r="H61" s="42">
        <v>40</v>
      </c>
      <c r="I61" s="42">
        <v>39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41</v>
      </c>
      <c r="G62" s="42">
        <v>44</v>
      </c>
      <c r="H62" s="42">
        <v>44</v>
      </c>
      <c r="I62" s="42">
        <v>48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0</v>
      </c>
      <c r="D63" s="42">
        <v>1</v>
      </c>
      <c r="E63" s="42">
        <v>0</v>
      </c>
      <c r="F63" s="42">
        <v>24</v>
      </c>
      <c r="G63" s="42">
        <v>37</v>
      </c>
      <c r="H63" s="42">
        <v>24</v>
      </c>
      <c r="I63" s="42">
        <v>22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1</v>
      </c>
      <c r="C64" s="42">
        <v>1</v>
      </c>
      <c r="D64" s="42">
        <v>1</v>
      </c>
      <c r="E64" s="42">
        <v>2</v>
      </c>
      <c r="F64" s="42">
        <v>43</v>
      </c>
      <c r="G64" s="42">
        <v>51</v>
      </c>
      <c r="H64" s="42">
        <v>49</v>
      </c>
      <c r="I64" s="42">
        <v>43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1</v>
      </c>
      <c r="C65" s="42">
        <v>1</v>
      </c>
      <c r="D65" s="42">
        <v>0</v>
      </c>
      <c r="E65" s="42">
        <v>0</v>
      </c>
      <c r="F65" s="42">
        <v>33</v>
      </c>
      <c r="G65" s="42">
        <v>40</v>
      </c>
      <c r="H65" s="42">
        <v>38</v>
      </c>
      <c r="I65" s="42">
        <v>34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4</v>
      </c>
      <c r="C66" s="42">
        <v>3</v>
      </c>
      <c r="D66" s="42">
        <v>4</v>
      </c>
      <c r="E66" s="42">
        <v>4</v>
      </c>
      <c r="F66" s="42">
        <v>195</v>
      </c>
      <c r="G66" s="42">
        <v>210</v>
      </c>
      <c r="H66" s="42">
        <v>338</v>
      </c>
      <c r="I66" s="42">
        <v>198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2</v>
      </c>
      <c r="C67" s="42">
        <v>3</v>
      </c>
      <c r="D67" s="42">
        <v>0</v>
      </c>
      <c r="E67" s="42">
        <v>2</v>
      </c>
      <c r="F67" s="42">
        <v>34</v>
      </c>
      <c r="G67" s="42">
        <v>61</v>
      </c>
      <c r="H67" s="42">
        <v>61</v>
      </c>
      <c r="I67" s="42">
        <v>68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14</v>
      </c>
      <c r="C68" s="42">
        <v>13</v>
      </c>
      <c r="D68" s="42">
        <v>18</v>
      </c>
      <c r="E68" s="42">
        <v>7</v>
      </c>
      <c r="F68" s="42">
        <v>370</v>
      </c>
      <c r="G68" s="42">
        <v>393</v>
      </c>
      <c r="H68" s="42">
        <v>561</v>
      </c>
      <c r="I68" s="42">
        <v>298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1</v>
      </c>
      <c r="C69" s="42">
        <v>0</v>
      </c>
      <c r="D69" s="42">
        <v>1</v>
      </c>
      <c r="E69" s="42">
        <v>2</v>
      </c>
      <c r="F69" s="42">
        <v>38</v>
      </c>
      <c r="G69" s="42">
        <v>37</v>
      </c>
      <c r="H69" s="42">
        <v>42</v>
      </c>
      <c r="I69" s="42">
        <v>33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18</v>
      </c>
      <c r="C70" s="42">
        <v>21</v>
      </c>
      <c r="D70" s="42">
        <v>14</v>
      </c>
      <c r="E70" s="42">
        <v>27</v>
      </c>
      <c r="F70" s="42">
        <v>739</v>
      </c>
      <c r="G70" s="42">
        <v>1145</v>
      </c>
      <c r="H70" s="42">
        <v>562</v>
      </c>
      <c r="I70" s="42">
        <v>746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518</v>
      </c>
      <c r="C71" s="67">
        <f>SUM(C4:C70)</f>
        <v>1011</v>
      </c>
      <c r="D71" s="67">
        <f>SUM(D4:D70)</f>
        <v>442</v>
      </c>
      <c r="E71" s="67">
        <f>SUM(E4:E70)</f>
        <v>333</v>
      </c>
      <c r="F71" s="67">
        <f t="shared" ref="F71:I71" si="0">SUM(F4:F70)</f>
        <v>18003</v>
      </c>
      <c r="G71" s="67">
        <f t="shared" si="0"/>
        <v>29957</v>
      </c>
      <c r="H71" s="67">
        <f t="shared" si="0"/>
        <v>17436</v>
      </c>
      <c r="I71" s="67">
        <f t="shared" si="0"/>
        <v>13070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0" t="s">
        <v>97</v>
      </c>
      <c r="C1" s="81"/>
      <c r="D1" s="81"/>
      <c r="E1" s="81"/>
      <c r="F1" s="82" t="s">
        <v>99</v>
      </c>
      <c r="G1" s="82"/>
      <c r="H1" s="82"/>
      <c r="I1" s="82"/>
      <c r="J1" s="82"/>
      <c r="K1" s="82"/>
      <c r="L1" s="88" t="s">
        <v>94</v>
      </c>
      <c r="M1" s="88"/>
      <c r="N1" s="88"/>
      <c r="O1" s="80" t="s">
        <v>100</v>
      </c>
      <c r="P1" s="80"/>
      <c r="Q1" s="80"/>
      <c r="R1" s="80"/>
      <c r="S1" s="80"/>
      <c r="T1" s="80"/>
      <c r="U1" s="80"/>
      <c r="V1" s="80"/>
      <c r="W1" s="80"/>
      <c r="X1" s="82" t="s">
        <v>101</v>
      </c>
      <c r="Y1" s="82"/>
      <c r="Z1" s="82"/>
      <c r="AA1" s="82"/>
      <c r="AB1" s="42"/>
      <c r="AC1" s="42" t="s">
        <v>105</v>
      </c>
      <c r="AD1" s="42"/>
      <c r="AE1" s="42"/>
      <c r="AF1" s="82" t="s">
        <v>106</v>
      </c>
      <c r="AG1" s="82"/>
      <c r="AH1" s="82"/>
      <c r="AI1" s="82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6" t="s">
        <v>117</v>
      </c>
      <c r="BA1" s="86"/>
      <c r="BB1" s="86"/>
      <c r="BC1" s="86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4" t="s">
        <v>127</v>
      </c>
      <c r="BQ1" s="84"/>
      <c r="BR1" s="84"/>
      <c r="BS1" s="84"/>
      <c r="BT1" s="84"/>
      <c r="BU1" s="84"/>
      <c r="BV1" s="84"/>
      <c r="BW1" s="84"/>
      <c r="BX1" s="84"/>
    </row>
    <row r="2" spans="1:76" x14ac:dyDescent="0.25">
      <c r="A2" s="42"/>
      <c r="B2" s="81" t="s">
        <v>86</v>
      </c>
      <c r="C2" s="81"/>
      <c r="D2" s="81" t="s">
        <v>87</v>
      </c>
      <c r="E2" s="81"/>
      <c r="F2" s="83" t="s">
        <v>86</v>
      </c>
      <c r="G2" s="83"/>
      <c r="H2" s="83"/>
      <c r="I2" s="83" t="s">
        <v>87</v>
      </c>
      <c r="J2" s="83"/>
      <c r="K2" s="83"/>
      <c r="L2" s="83" t="s">
        <v>93</v>
      </c>
      <c r="M2" s="83"/>
      <c r="N2" s="83"/>
      <c r="O2" s="81" t="s">
        <v>86</v>
      </c>
      <c r="P2" s="81"/>
      <c r="Q2" s="81"/>
      <c r="R2" s="81" t="s">
        <v>87</v>
      </c>
      <c r="S2" s="81"/>
      <c r="T2" s="81"/>
      <c r="U2" s="81" t="s">
        <v>93</v>
      </c>
      <c r="V2" s="81"/>
      <c r="W2" s="81"/>
      <c r="X2" s="82" t="s">
        <v>86</v>
      </c>
      <c r="Y2" s="83"/>
      <c r="Z2" s="83" t="s">
        <v>87</v>
      </c>
      <c r="AA2" s="83"/>
      <c r="AB2" s="81" t="s">
        <v>86</v>
      </c>
      <c r="AC2" s="81"/>
      <c r="AD2" s="81" t="s">
        <v>87</v>
      </c>
      <c r="AE2" s="81"/>
      <c r="AF2" s="82" t="s">
        <v>86</v>
      </c>
      <c r="AG2" s="83"/>
      <c r="AH2" s="83" t="s">
        <v>87</v>
      </c>
      <c r="AI2" s="83"/>
      <c r="AJ2" s="81" t="s">
        <v>86</v>
      </c>
      <c r="AK2" s="81"/>
      <c r="AL2" s="81" t="s">
        <v>87</v>
      </c>
      <c r="AM2" s="81"/>
      <c r="AN2" s="81" t="s">
        <v>86</v>
      </c>
      <c r="AO2" s="81"/>
      <c r="AP2" s="81" t="s">
        <v>87</v>
      </c>
      <c r="AQ2" s="81"/>
      <c r="AR2" s="81" t="s">
        <v>86</v>
      </c>
      <c r="AS2" s="81"/>
      <c r="AT2" s="81" t="s">
        <v>87</v>
      </c>
      <c r="AU2" s="81"/>
      <c r="AV2" s="81" t="s">
        <v>86</v>
      </c>
      <c r="AW2" s="81"/>
      <c r="AX2" s="81" t="s">
        <v>87</v>
      </c>
      <c r="AY2" s="81"/>
      <c r="AZ2" s="87" t="s">
        <v>86</v>
      </c>
      <c r="BA2" s="87"/>
      <c r="BB2" s="87" t="s">
        <v>87</v>
      </c>
      <c r="BC2" s="87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4" t="s">
        <v>86</v>
      </c>
      <c r="BQ2" s="85"/>
      <c r="BR2" s="85"/>
      <c r="BS2" s="84" t="s">
        <v>87</v>
      </c>
      <c r="BT2" s="85"/>
      <c r="BU2" s="85"/>
      <c r="BV2" s="85" t="s">
        <v>93</v>
      </c>
      <c r="BW2" s="85"/>
      <c r="BX2" s="85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H6" sqref="H6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1" t="s">
        <v>130</v>
      </c>
      <c r="C1" s="92"/>
      <c r="D1" s="93" t="s">
        <v>126</v>
      </c>
      <c r="E1" s="94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0</v>
      </c>
      <c r="C3" s="53">
        <v>0</v>
      </c>
      <c r="D3" s="53">
        <v>125</v>
      </c>
      <c r="E3" s="53">
        <v>256</v>
      </c>
    </row>
    <row r="4" spans="1:5" x14ac:dyDescent="0.25">
      <c r="A4" s="42" t="s">
        <v>2</v>
      </c>
      <c r="B4" s="53">
        <v>162</v>
      </c>
      <c r="C4" s="53">
        <v>36</v>
      </c>
      <c r="D4" s="53">
        <v>2351</v>
      </c>
      <c r="E4" s="53">
        <v>1176</v>
      </c>
    </row>
    <row r="5" spans="1:5" x14ac:dyDescent="0.25">
      <c r="A5" s="42" t="s">
        <v>3</v>
      </c>
      <c r="B5" s="53">
        <v>1</v>
      </c>
      <c r="C5" s="53">
        <v>1</v>
      </c>
      <c r="D5" s="53">
        <v>23</v>
      </c>
      <c r="E5" s="53">
        <v>51</v>
      </c>
    </row>
    <row r="6" spans="1:5" x14ac:dyDescent="0.25">
      <c r="A6" s="42" t="s">
        <v>4</v>
      </c>
      <c r="B6" s="53">
        <v>3</v>
      </c>
      <c r="C6" s="53">
        <v>8</v>
      </c>
      <c r="D6" s="53">
        <v>105</v>
      </c>
      <c r="E6" s="53">
        <v>134</v>
      </c>
    </row>
    <row r="7" spans="1:5" x14ac:dyDescent="0.25">
      <c r="A7" s="42" t="s">
        <v>5</v>
      </c>
      <c r="B7" s="53">
        <v>0</v>
      </c>
      <c r="C7" s="53">
        <v>2</v>
      </c>
      <c r="D7" s="53">
        <v>9</v>
      </c>
      <c r="E7" s="53">
        <v>16</v>
      </c>
    </row>
    <row r="8" spans="1:5" x14ac:dyDescent="0.25">
      <c r="A8" s="42" t="s">
        <v>6</v>
      </c>
      <c r="B8" s="53">
        <v>34</v>
      </c>
      <c r="C8" s="53">
        <v>13</v>
      </c>
      <c r="D8" s="53">
        <v>1026</v>
      </c>
      <c r="E8" s="53">
        <v>821</v>
      </c>
    </row>
    <row r="9" spans="1:5" x14ac:dyDescent="0.25">
      <c r="A9" s="42" t="s">
        <v>7</v>
      </c>
      <c r="B9" s="53">
        <v>0</v>
      </c>
      <c r="C9" s="53">
        <v>0</v>
      </c>
      <c r="D9" s="53">
        <v>84</v>
      </c>
      <c r="E9" s="53">
        <v>118</v>
      </c>
    </row>
    <row r="10" spans="1:5" x14ac:dyDescent="0.25">
      <c r="A10" s="42" t="s">
        <v>8</v>
      </c>
      <c r="B10" s="53">
        <v>1</v>
      </c>
      <c r="C10" s="53">
        <v>2</v>
      </c>
      <c r="D10" s="53">
        <v>39</v>
      </c>
      <c r="E10" s="53">
        <v>63</v>
      </c>
    </row>
    <row r="11" spans="1:5" x14ac:dyDescent="0.25">
      <c r="A11" s="42" t="s">
        <v>9</v>
      </c>
      <c r="B11" s="53">
        <v>44</v>
      </c>
      <c r="C11" s="53">
        <v>38</v>
      </c>
      <c r="D11" s="53">
        <v>1280</v>
      </c>
      <c r="E11" s="53">
        <v>1419</v>
      </c>
    </row>
    <row r="12" spans="1:5" x14ac:dyDescent="0.25">
      <c r="A12" s="42" t="s">
        <v>10</v>
      </c>
      <c r="B12" s="53">
        <v>1</v>
      </c>
      <c r="C12" s="53">
        <v>3</v>
      </c>
      <c r="D12" s="53">
        <v>144</v>
      </c>
      <c r="E12" s="53">
        <v>245</v>
      </c>
    </row>
    <row r="13" spans="1:5" x14ac:dyDescent="0.25">
      <c r="A13" s="42" t="s">
        <v>11</v>
      </c>
      <c r="B13" s="53">
        <v>2</v>
      </c>
      <c r="C13" s="53">
        <v>2</v>
      </c>
      <c r="D13" s="53">
        <v>105</v>
      </c>
      <c r="E13" s="53">
        <v>114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3</v>
      </c>
      <c r="C15" s="53">
        <v>2</v>
      </c>
      <c r="D15" s="53">
        <v>73</v>
      </c>
      <c r="E15" s="53">
        <v>80</v>
      </c>
    </row>
    <row r="16" spans="1:5" x14ac:dyDescent="0.25">
      <c r="A16" s="42" t="s">
        <v>14</v>
      </c>
      <c r="B16" s="53">
        <v>2</v>
      </c>
      <c r="C16" s="53">
        <v>4</v>
      </c>
      <c r="D16" s="53">
        <v>143</v>
      </c>
      <c r="E16" s="53">
        <v>138</v>
      </c>
    </row>
    <row r="17" spans="1:5" x14ac:dyDescent="0.25">
      <c r="A17" s="42" t="s">
        <v>15</v>
      </c>
      <c r="B17" s="53">
        <v>19</v>
      </c>
      <c r="C17" s="53">
        <v>19</v>
      </c>
      <c r="D17" s="53">
        <v>897</v>
      </c>
      <c r="E17" s="53">
        <v>939</v>
      </c>
    </row>
    <row r="18" spans="1:5" x14ac:dyDescent="0.25">
      <c r="A18" s="42" t="s">
        <v>16</v>
      </c>
      <c r="B18" s="53">
        <v>1</v>
      </c>
      <c r="C18" s="53">
        <v>0</v>
      </c>
      <c r="D18" s="53">
        <v>17</v>
      </c>
      <c r="E18" s="53">
        <v>26</v>
      </c>
    </row>
    <row r="19" spans="1:5" x14ac:dyDescent="0.25">
      <c r="A19" s="42" t="s">
        <v>17</v>
      </c>
      <c r="B19" s="53">
        <v>4</v>
      </c>
      <c r="C19" s="53">
        <v>1</v>
      </c>
      <c r="D19" s="53">
        <v>46</v>
      </c>
      <c r="E19" s="53">
        <v>69</v>
      </c>
    </row>
    <row r="20" spans="1:5" x14ac:dyDescent="0.25">
      <c r="A20" s="42" t="s">
        <v>18</v>
      </c>
      <c r="B20" s="53">
        <v>0</v>
      </c>
      <c r="C20" s="53">
        <v>2</v>
      </c>
      <c r="D20" s="53">
        <v>29</v>
      </c>
      <c r="E20" s="53">
        <v>44</v>
      </c>
    </row>
    <row r="21" spans="1:5" x14ac:dyDescent="0.25">
      <c r="A21" s="42" t="s">
        <v>19</v>
      </c>
      <c r="B21" s="53">
        <v>4</v>
      </c>
      <c r="C21" s="53">
        <v>2</v>
      </c>
      <c r="D21" s="53">
        <v>38</v>
      </c>
      <c r="E21" s="53">
        <v>58</v>
      </c>
    </row>
    <row r="22" spans="1:5" x14ac:dyDescent="0.25">
      <c r="A22" s="42" t="s">
        <v>20</v>
      </c>
      <c r="B22" s="53">
        <v>0</v>
      </c>
      <c r="C22" s="53">
        <v>0</v>
      </c>
      <c r="D22" s="53">
        <v>53</v>
      </c>
      <c r="E22" s="53">
        <v>59</v>
      </c>
    </row>
    <row r="23" spans="1:5" x14ac:dyDescent="0.25">
      <c r="A23" s="42" t="s">
        <v>21</v>
      </c>
      <c r="B23" s="53">
        <v>16</v>
      </c>
      <c r="C23" s="53">
        <v>20</v>
      </c>
      <c r="D23" s="53">
        <v>491</v>
      </c>
      <c r="E23" s="53">
        <v>576</v>
      </c>
    </row>
    <row r="24" spans="1:5" x14ac:dyDescent="0.25">
      <c r="A24" s="42" t="s">
        <v>22</v>
      </c>
      <c r="B24" s="53">
        <v>25</v>
      </c>
      <c r="C24" s="53">
        <v>14</v>
      </c>
      <c r="D24" s="53">
        <v>1113</v>
      </c>
      <c r="E24" s="53">
        <v>613</v>
      </c>
    </row>
    <row r="25" spans="1:5" x14ac:dyDescent="0.25">
      <c r="A25" s="42" t="s">
        <v>23</v>
      </c>
      <c r="B25" s="53">
        <v>52</v>
      </c>
      <c r="C25" s="53">
        <v>18</v>
      </c>
      <c r="D25" s="53">
        <v>995</v>
      </c>
      <c r="E25" s="53">
        <v>581</v>
      </c>
    </row>
    <row r="26" spans="1:5" x14ac:dyDescent="0.25">
      <c r="A26" s="42" t="s">
        <v>24</v>
      </c>
      <c r="B26" s="53">
        <v>0</v>
      </c>
      <c r="C26" s="53">
        <v>1</v>
      </c>
      <c r="D26" s="53">
        <v>9</v>
      </c>
      <c r="E26" s="53">
        <v>28</v>
      </c>
    </row>
    <row r="27" spans="1:5" x14ac:dyDescent="0.25">
      <c r="A27" s="42" t="s">
        <v>25</v>
      </c>
      <c r="B27" s="53">
        <v>7</v>
      </c>
      <c r="C27" s="53">
        <v>6</v>
      </c>
      <c r="D27" s="53">
        <v>247</v>
      </c>
      <c r="E27" s="53">
        <v>208</v>
      </c>
    </row>
    <row r="28" spans="1:5" x14ac:dyDescent="0.25">
      <c r="A28" s="42" t="s">
        <v>26</v>
      </c>
      <c r="B28" s="53">
        <v>5</v>
      </c>
      <c r="C28" s="53">
        <v>0</v>
      </c>
      <c r="D28" s="53">
        <v>92</v>
      </c>
      <c r="E28" s="53">
        <v>99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1</v>
      </c>
      <c r="E29" s="53">
        <v>2</v>
      </c>
    </row>
    <row r="30" spans="1:5" x14ac:dyDescent="0.25">
      <c r="A30" s="42" t="s">
        <v>28</v>
      </c>
      <c r="B30" s="53">
        <v>4</v>
      </c>
      <c r="C30" s="53">
        <v>7</v>
      </c>
      <c r="D30" s="53">
        <v>213</v>
      </c>
      <c r="E30" s="53">
        <v>338</v>
      </c>
    </row>
    <row r="31" spans="1:5" x14ac:dyDescent="0.25">
      <c r="A31" s="42" t="s">
        <v>29</v>
      </c>
      <c r="B31" s="53">
        <v>1</v>
      </c>
      <c r="C31" s="53">
        <v>0</v>
      </c>
      <c r="D31" s="53">
        <v>11</v>
      </c>
      <c r="E31" s="53">
        <v>17</v>
      </c>
    </row>
    <row r="32" spans="1:5" x14ac:dyDescent="0.25">
      <c r="A32" s="42" t="s">
        <v>30</v>
      </c>
      <c r="B32" s="53">
        <v>0</v>
      </c>
      <c r="C32" s="53">
        <v>2</v>
      </c>
      <c r="D32" s="53">
        <v>26</v>
      </c>
      <c r="E32" s="53">
        <v>27</v>
      </c>
    </row>
    <row r="33" spans="1:5" x14ac:dyDescent="0.25">
      <c r="A33" s="42" t="s">
        <v>31</v>
      </c>
      <c r="B33" s="53">
        <v>0</v>
      </c>
      <c r="C33" s="53">
        <v>1</v>
      </c>
      <c r="D33" s="53">
        <v>15</v>
      </c>
      <c r="E33" s="53">
        <v>24</v>
      </c>
    </row>
    <row r="34" spans="1:5" x14ac:dyDescent="0.25">
      <c r="A34" s="42" t="s">
        <v>32</v>
      </c>
      <c r="B34" s="53">
        <v>2</v>
      </c>
      <c r="C34" s="53">
        <v>1</v>
      </c>
      <c r="D34" s="53">
        <v>46</v>
      </c>
      <c r="E34" s="53">
        <v>49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7</v>
      </c>
      <c r="E35" s="53">
        <v>22</v>
      </c>
    </row>
    <row r="36" spans="1:5" x14ac:dyDescent="0.25">
      <c r="A36" s="42" t="s">
        <v>34</v>
      </c>
      <c r="B36" s="53">
        <v>1</v>
      </c>
      <c r="C36" s="53">
        <v>0</v>
      </c>
      <c r="D36" s="53">
        <v>17</v>
      </c>
      <c r="E36" s="53">
        <v>14</v>
      </c>
    </row>
    <row r="37" spans="1:5" x14ac:dyDescent="0.25">
      <c r="A37" s="42" t="s">
        <v>35</v>
      </c>
      <c r="B37" s="53">
        <v>10</v>
      </c>
      <c r="C37" s="53">
        <v>6</v>
      </c>
      <c r="D37" s="53">
        <v>346</v>
      </c>
      <c r="E37" s="53">
        <v>275</v>
      </c>
    </row>
    <row r="38" spans="1:5" x14ac:dyDescent="0.25">
      <c r="A38" s="42" t="s">
        <v>36</v>
      </c>
      <c r="B38" s="53">
        <v>20</v>
      </c>
      <c r="C38" s="53">
        <v>18</v>
      </c>
      <c r="D38" s="53">
        <v>1021</v>
      </c>
      <c r="E38" s="53">
        <v>1152</v>
      </c>
    </row>
    <row r="39" spans="1:5" x14ac:dyDescent="0.25">
      <c r="A39" s="42" t="s">
        <v>37</v>
      </c>
      <c r="B39" s="53">
        <v>0</v>
      </c>
      <c r="C39" s="53">
        <v>0</v>
      </c>
      <c r="D39" s="53">
        <v>53</v>
      </c>
      <c r="E39" s="53">
        <v>61</v>
      </c>
    </row>
    <row r="40" spans="1:5" x14ac:dyDescent="0.25">
      <c r="A40" s="42" t="s">
        <v>38</v>
      </c>
      <c r="B40" s="53">
        <v>6</v>
      </c>
      <c r="C40" s="53">
        <v>4</v>
      </c>
      <c r="D40" s="53">
        <v>164</v>
      </c>
      <c r="E40" s="53">
        <v>170</v>
      </c>
    </row>
    <row r="41" spans="1:5" x14ac:dyDescent="0.25">
      <c r="A41" s="42" t="s">
        <v>39</v>
      </c>
      <c r="B41" s="53">
        <v>21</v>
      </c>
      <c r="C41" s="53">
        <v>11</v>
      </c>
      <c r="D41" s="53">
        <v>746</v>
      </c>
      <c r="E41" s="53">
        <v>520</v>
      </c>
    </row>
    <row r="42" spans="1:5" x14ac:dyDescent="0.25">
      <c r="A42" s="42" t="s">
        <v>40</v>
      </c>
      <c r="B42" s="53">
        <v>13</v>
      </c>
      <c r="C42" s="53">
        <v>9</v>
      </c>
      <c r="D42" s="53">
        <v>474</v>
      </c>
      <c r="E42" s="53">
        <v>374</v>
      </c>
    </row>
    <row r="43" spans="1:5" x14ac:dyDescent="0.25">
      <c r="A43" s="42" t="s">
        <v>41</v>
      </c>
      <c r="B43" s="53">
        <v>2</v>
      </c>
      <c r="C43" s="53">
        <v>4</v>
      </c>
      <c r="D43" s="53">
        <v>126</v>
      </c>
      <c r="E43" s="53">
        <v>175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11</v>
      </c>
      <c r="E44" s="53">
        <v>15</v>
      </c>
    </row>
    <row r="45" spans="1:5" x14ac:dyDescent="0.25">
      <c r="A45" s="42" t="s">
        <v>43</v>
      </c>
      <c r="B45" s="53">
        <v>5</v>
      </c>
      <c r="C45" s="53">
        <v>2</v>
      </c>
      <c r="D45" s="53">
        <v>95</v>
      </c>
      <c r="E45" s="53">
        <v>95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11</v>
      </c>
      <c r="E46" s="53">
        <v>30</v>
      </c>
    </row>
    <row r="47" spans="1:5" x14ac:dyDescent="0.25">
      <c r="A47" s="42" t="s">
        <v>45</v>
      </c>
      <c r="B47" s="53">
        <v>8</v>
      </c>
      <c r="C47" s="53">
        <v>6</v>
      </c>
      <c r="D47" s="53">
        <v>303</v>
      </c>
      <c r="E47" s="53">
        <v>226</v>
      </c>
    </row>
    <row r="48" spans="1:5" x14ac:dyDescent="0.25">
      <c r="A48" s="42" t="s">
        <v>46</v>
      </c>
      <c r="B48" s="53">
        <v>67</v>
      </c>
      <c r="C48" s="53">
        <v>37</v>
      </c>
      <c r="D48" s="53">
        <v>1773</v>
      </c>
      <c r="E48" s="53">
        <v>1416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7</v>
      </c>
      <c r="E49" s="53">
        <v>12</v>
      </c>
    </row>
    <row r="50" spans="1:5" x14ac:dyDescent="0.25">
      <c r="A50" s="42" t="s">
        <v>48</v>
      </c>
      <c r="B50" s="53">
        <v>16</v>
      </c>
      <c r="C50" s="53">
        <v>13</v>
      </c>
      <c r="D50" s="53">
        <v>691</v>
      </c>
      <c r="E50" s="53">
        <v>533</v>
      </c>
    </row>
    <row r="51" spans="1:5" x14ac:dyDescent="0.25">
      <c r="A51" s="42" t="s">
        <v>49</v>
      </c>
      <c r="B51" s="53">
        <v>1</v>
      </c>
      <c r="C51" s="53">
        <v>1</v>
      </c>
      <c r="D51" s="53">
        <v>63</v>
      </c>
      <c r="E51" s="53">
        <v>75</v>
      </c>
    </row>
    <row r="52" spans="1:5" x14ac:dyDescent="0.25">
      <c r="A52" s="42" t="s">
        <v>50</v>
      </c>
      <c r="B52" s="53">
        <v>1</v>
      </c>
      <c r="C52" s="53">
        <v>2</v>
      </c>
      <c r="D52" s="53">
        <v>51</v>
      </c>
      <c r="E52" s="53">
        <v>81</v>
      </c>
    </row>
    <row r="53" spans="1:5" x14ac:dyDescent="0.25">
      <c r="A53" s="42" t="s">
        <v>51</v>
      </c>
      <c r="B53" s="53">
        <v>428</v>
      </c>
      <c r="C53" s="53">
        <v>68</v>
      </c>
      <c r="D53" s="53">
        <v>6990</v>
      </c>
      <c r="E53" s="53">
        <v>1575</v>
      </c>
    </row>
    <row r="54" spans="1:5" x14ac:dyDescent="0.25">
      <c r="A54" s="42" t="s">
        <v>52</v>
      </c>
      <c r="B54" s="53">
        <v>1</v>
      </c>
      <c r="C54" s="53">
        <v>0</v>
      </c>
      <c r="D54" s="53">
        <v>75</v>
      </c>
      <c r="E54" s="53">
        <v>98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16</v>
      </c>
    </row>
    <row r="56" spans="1:5" x14ac:dyDescent="0.25">
      <c r="A56" s="42" t="s">
        <v>54</v>
      </c>
      <c r="B56" s="53">
        <v>2</v>
      </c>
      <c r="C56" s="53">
        <v>2</v>
      </c>
      <c r="D56" s="53">
        <v>133</v>
      </c>
      <c r="E56" s="53">
        <v>165</v>
      </c>
    </row>
    <row r="57" spans="1:5" x14ac:dyDescent="0.25">
      <c r="A57" s="42" t="s">
        <v>55</v>
      </c>
      <c r="B57" s="53">
        <v>1</v>
      </c>
      <c r="C57" s="53">
        <v>0</v>
      </c>
      <c r="D57" s="53">
        <v>11</v>
      </c>
      <c r="E57" s="53">
        <v>16</v>
      </c>
    </row>
    <row r="58" spans="1:5" x14ac:dyDescent="0.25">
      <c r="A58" s="42" t="s">
        <v>56</v>
      </c>
      <c r="B58" s="53">
        <v>0</v>
      </c>
      <c r="C58" s="53">
        <v>4</v>
      </c>
      <c r="D58" s="53">
        <v>62</v>
      </c>
      <c r="E58" s="53">
        <v>83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9</v>
      </c>
    </row>
    <row r="60" spans="1:5" x14ac:dyDescent="0.25">
      <c r="A60" s="42" t="s">
        <v>58</v>
      </c>
      <c r="B60" s="53">
        <v>1</v>
      </c>
      <c r="C60" s="53">
        <v>0</v>
      </c>
      <c r="D60" s="53">
        <v>32</v>
      </c>
      <c r="E60" s="53">
        <v>37</v>
      </c>
    </row>
    <row r="61" spans="1:5" x14ac:dyDescent="0.25">
      <c r="A61" s="42" t="s">
        <v>59</v>
      </c>
      <c r="B61" s="53">
        <v>0</v>
      </c>
      <c r="C61" s="53">
        <v>2</v>
      </c>
      <c r="D61" s="53">
        <v>27</v>
      </c>
      <c r="E61" s="53">
        <v>44</v>
      </c>
    </row>
    <row r="62" spans="1:5" x14ac:dyDescent="0.25">
      <c r="A62" s="42" t="s">
        <v>60</v>
      </c>
      <c r="B62" s="53">
        <v>1</v>
      </c>
      <c r="C62" s="53">
        <v>1</v>
      </c>
      <c r="D62" s="53">
        <v>14</v>
      </c>
      <c r="E62" s="53">
        <v>32</v>
      </c>
    </row>
    <row r="63" spans="1:5" x14ac:dyDescent="0.25">
      <c r="A63" s="42" t="s">
        <v>61</v>
      </c>
      <c r="B63" s="53">
        <v>0</v>
      </c>
      <c r="C63" s="53">
        <v>1</v>
      </c>
      <c r="D63" s="53">
        <v>41</v>
      </c>
      <c r="E63" s="53">
        <v>58</v>
      </c>
    </row>
    <row r="64" spans="1:5" x14ac:dyDescent="0.25">
      <c r="A64" s="42" t="s">
        <v>62</v>
      </c>
      <c r="B64" s="53">
        <v>1</v>
      </c>
      <c r="C64" s="53">
        <v>1</v>
      </c>
      <c r="D64" s="53">
        <v>25</v>
      </c>
      <c r="E64" s="53">
        <v>43</v>
      </c>
    </row>
    <row r="65" spans="1:5" x14ac:dyDescent="0.25">
      <c r="A65" s="42" t="s">
        <v>63</v>
      </c>
      <c r="B65" s="53">
        <v>6</v>
      </c>
      <c r="C65" s="53">
        <v>4</v>
      </c>
      <c r="D65" s="53">
        <v>182</v>
      </c>
      <c r="E65" s="53">
        <v>213</v>
      </c>
    </row>
    <row r="66" spans="1:5" x14ac:dyDescent="0.25">
      <c r="A66" s="42" t="s">
        <v>64</v>
      </c>
      <c r="B66" s="53">
        <v>4</v>
      </c>
      <c r="C66" s="53">
        <v>3</v>
      </c>
      <c r="D66" s="53">
        <v>47</v>
      </c>
      <c r="E66" s="53">
        <v>48</v>
      </c>
    </row>
    <row r="67" spans="1:5" x14ac:dyDescent="0.25">
      <c r="A67" s="42" t="s">
        <v>65</v>
      </c>
      <c r="B67" s="53">
        <v>11</v>
      </c>
      <c r="C67" s="53">
        <v>18</v>
      </c>
      <c r="D67" s="53">
        <v>307</v>
      </c>
      <c r="E67" s="53">
        <v>353</v>
      </c>
    </row>
    <row r="68" spans="1:5" x14ac:dyDescent="0.25">
      <c r="A68" s="42" t="s">
        <v>66</v>
      </c>
      <c r="B68" s="53">
        <v>0</v>
      </c>
      <c r="C68" s="53">
        <v>2</v>
      </c>
      <c r="D68" s="53">
        <v>29</v>
      </c>
      <c r="E68" s="53">
        <v>52</v>
      </c>
    </row>
    <row r="69" spans="1:5" x14ac:dyDescent="0.25">
      <c r="A69" s="42" t="s">
        <v>67</v>
      </c>
      <c r="B69" s="53">
        <v>30</v>
      </c>
      <c r="C69" s="53">
        <v>27</v>
      </c>
      <c r="D69" s="53">
        <v>1003</v>
      </c>
      <c r="E69" s="53">
        <v>1002</v>
      </c>
    </row>
    <row r="70" spans="1:5" x14ac:dyDescent="0.25">
      <c r="A70" s="39" t="s">
        <v>68</v>
      </c>
      <c r="B70" s="43">
        <f>SUM(B3:B69)</f>
        <v>1050</v>
      </c>
      <c r="C70" s="43">
        <f>SUM(C3:C69)</f>
        <v>451</v>
      </c>
      <c r="D70" s="43">
        <f t="shared" ref="D70:E70" si="0">SUM(D3:D69)</f>
        <v>24793</v>
      </c>
      <c r="E70" s="43">
        <f t="shared" si="0"/>
        <v>17481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0"/>
      <c r="E137" s="90"/>
    </row>
    <row r="138" spans="4:5" ht="14.4" x14ac:dyDescent="0.25">
      <c r="D138" s="33"/>
      <c r="E138"/>
    </row>
  </sheetData>
  <mergeCells count="68">
    <mergeCell ref="D75:E75"/>
    <mergeCell ref="B1:C1"/>
    <mergeCell ref="D1:E1"/>
    <mergeCell ref="D71:E71"/>
    <mergeCell ref="D73:E73"/>
    <mergeCell ref="D74:E74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4:E124"/>
    <mergeCell ref="D125:E125"/>
    <mergeCell ref="D126:E126"/>
    <mergeCell ref="D127:E127"/>
    <mergeCell ref="D128:E128"/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0" t="s">
        <v>97</v>
      </c>
      <c r="C1" s="80"/>
      <c r="D1" s="82" t="s">
        <v>98</v>
      </c>
      <c r="E1" s="82"/>
      <c r="F1" s="51" t="s">
        <v>96</v>
      </c>
      <c r="G1" s="80" t="s">
        <v>100</v>
      </c>
      <c r="H1" s="80"/>
      <c r="I1" s="80"/>
      <c r="J1" s="82" t="s">
        <v>101</v>
      </c>
      <c r="K1" s="82"/>
      <c r="L1" s="80" t="s">
        <v>105</v>
      </c>
      <c r="M1" s="80"/>
      <c r="N1" s="82" t="s">
        <v>106</v>
      </c>
      <c r="O1" s="82"/>
      <c r="P1" s="80" t="s">
        <v>107</v>
      </c>
      <c r="Q1" s="80"/>
      <c r="R1" s="80" t="s">
        <v>110</v>
      </c>
      <c r="S1" s="80"/>
      <c r="T1" s="80" t="s">
        <v>112</v>
      </c>
      <c r="U1" s="80"/>
      <c r="V1" s="80" t="s">
        <v>113</v>
      </c>
      <c r="W1" s="80"/>
      <c r="X1" s="86" t="s">
        <v>117</v>
      </c>
      <c r="Y1" s="86"/>
      <c r="Z1" s="93" t="s">
        <v>119</v>
      </c>
      <c r="AA1" s="94"/>
      <c r="AB1" s="93" t="s">
        <v>124</v>
      </c>
      <c r="AC1" s="94"/>
      <c r="AD1" s="93" t="s">
        <v>125</v>
      </c>
      <c r="AE1" s="94"/>
      <c r="AF1" s="82" t="s">
        <v>128</v>
      </c>
      <c r="AG1" s="82"/>
      <c r="AH1" s="82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0"/>
      <c r="AA137" s="90"/>
    </row>
    <row r="138" spans="26:27" ht="14.4" x14ac:dyDescent="0.25">
      <c r="Z138" s="33"/>
      <c r="AA138"/>
    </row>
  </sheetData>
  <mergeCells count="81"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Z71:AA71"/>
    <mergeCell ref="Z73:AA73"/>
    <mergeCell ref="Z74:AA74"/>
    <mergeCell ref="Z75:AA75"/>
    <mergeCell ref="Z76:AA76"/>
    <mergeCell ref="Z77:AA77"/>
    <mergeCell ref="Z78:AA78"/>
    <mergeCell ref="Z79:AA79"/>
    <mergeCell ref="Z80:AA80"/>
    <mergeCell ref="Z81:AA81"/>
    <mergeCell ref="Z82:AA82"/>
    <mergeCell ref="Z83:AA83"/>
    <mergeCell ref="Z84:AA84"/>
    <mergeCell ref="Z85:AA85"/>
    <mergeCell ref="Z86:AA86"/>
    <mergeCell ref="Z87:AA87"/>
    <mergeCell ref="Z88:AA88"/>
    <mergeCell ref="Z89:AA89"/>
    <mergeCell ref="Z90:AA90"/>
    <mergeCell ref="Z91:AA91"/>
    <mergeCell ref="Z92:AA92"/>
    <mergeCell ref="Z93:AA93"/>
    <mergeCell ref="Z94:AA94"/>
    <mergeCell ref="Z95:AA95"/>
    <mergeCell ref="Z96:AA96"/>
    <mergeCell ref="Z97:AA97"/>
    <mergeCell ref="Z98:AA98"/>
    <mergeCell ref="Z99:AA99"/>
    <mergeCell ref="Z100:AA100"/>
    <mergeCell ref="Z101:AA101"/>
    <mergeCell ref="Z102:AA102"/>
    <mergeCell ref="Z103:AA103"/>
    <mergeCell ref="Z104:AA104"/>
    <mergeCell ref="Z105:AA105"/>
    <mergeCell ref="Z106:AA106"/>
    <mergeCell ref="Z107:AA107"/>
    <mergeCell ref="Z108:AA108"/>
    <mergeCell ref="Z109:AA109"/>
    <mergeCell ref="Z110:AA110"/>
    <mergeCell ref="Z111:AA111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20:AA120"/>
    <mergeCell ref="Z121:AA121"/>
    <mergeCell ref="Z122:AA122"/>
    <mergeCell ref="Z123:AA123"/>
    <mergeCell ref="Z124:AA124"/>
    <mergeCell ref="Z125:AA125"/>
    <mergeCell ref="Z126:AA126"/>
    <mergeCell ref="Z127:AA127"/>
    <mergeCell ref="Z128:AA128"/>
    <mergeCell ref="Z129:AA129"/>
    <mergeCell ref="Z130:AA130"/>
    <mergeCell ref="Z131:AA131"/>
    <mergeCell ref="Z137:AA137"/>
    <mergeCell ref="Z132:AA132"/>
    <mergeCell ref="Z133:AA133"/>
    <mergeCell ref="Z134:AA134"/>
    <mergeCell ref="Z135:AA135"/>
    <mergeCell ref="Z136:AA136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3" sqref="L13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6249</v>
      </c>
      <c r="C2" s="11">
        <v>10651</v>
      </c>
      <c r="D2" s="11">
        <v>10885</v>
      </c>
      <c r="E2" s="11">
        <v>10056</v>
      </c>
      <c r="F2" s="11">
        <v>13753</v>
      </c>
      <c r="G2" s="11">
        <v>14072</v>
      </c>
      <c r="H2" s="11">
        <v>11030</v>
      </c>
    </row>
    <row r="3" spans="1:8" x14ac:dyDescent="0.25">
      <c r="A3" s="11" t="s">
        <v>2</v>
      </c>
      <c r="B3" s="11">
        <v>79926</v>
      </c>
      <c r="C3" s="11">
        <v>172416</v>
      </c>
      <c r="D3" s="11">
        <v>162212</v>
      </c>
      <c r="E3" s="11">
        <v>123506</v>
      </c>
      <c r="F3" s="11">
        <v>131552</v>
      </c>
      <c r="G3" s="11">
        <v>139549</v>
      </c>
      <c r="H3" s="11">
        <v>109369</v>
      </c>
    </row>
    <row r="4" spans="1:8" x14ac:dyDescent="0.25">
      <c r="A4" s="11" t="s">
        <v>3</v>
      </c>
      <c r="B4" s="11">
        <v>3114</v>
      </c>
      <c r="C4" s="11">
        <v>5599</v>
      </c>
      <c r="D4" s="11">
        <v>6148</v>
      </c>
      <c r="E4" s="11">
        <v>6392</v>
      </c>
      <c r="F4" s="11">
        <v>7708</v>
      </c>
      <c r="G4" s="11">
        <v>8267</v>
      </c>
      <c r="H4" s="11">
        <v>6364</v>
      </c>
    </row>
    <row r="5" spans="1:8" x14ac:dyDescent="0.25">
      <c r="A5" s="11" t="s">
        <v>4</v>
      </c>
      <c r="B5" s="11">
        <v>7511</v>
      </c>
      <c r="C5" s="11">
        <v>16025</v>
      </c>
      <c r="D5" s="11">
        <v>17899</v>
      </c>
      <c r="E5" s="11">
        <v>16311</v>
      </c>
      <c r="F5" s="11">
        <v>19542</v>
      </c>
      <c r="G5" s="11">
        <v>21038</v>
      </c>
      <c r="H5" s="11">
        <v>15810</v>
      </c>
    </row>
    <row r="6" spans="1:8" x14ac:dyDescent="0.25">
      <c r="A6" s="11" t="s">
        <v>5</v>
      </c>
      <c r="B6" s="11">
        <v>2219</v>
      </c>
      <c r="C6" s="11">
        <v>4247</v>
      </c>
      <c r="D6" s="11">
        <v>4474</v>
      </c>
      <c r="E6" s="11">
        <v>4777</v>
      </c>
      <c r="F6" s="11">
        <v>6056</v>
      </c>
      <c r="G6" s="11">
        <v>6343</v>
      </c>
      <c r="H6" s="11">
        <v>4936</v>
      </c>
    </row>
    <row r="7" spans="1:8" x14ac:dyDescent="0.25">
      <c r="A7" s="11" t="s">
        <v>6</v>
      </c>
      <c r="B7" s="11">
        <v>23363</v>
      </c>
      <c r="C7" s="11">
        <v>41943</v>
      </c>
      <c r="D7" s="11">
        <v>44000</v>
      </c>
      <c r="E7" s="11">
        <v>40643</v>
      </c>
      <c r="F7" s="11">
        <v>47596</v>
      </c>
      <c r="G7" s="11">
        <v>43021</v>
      </c>
      <c r="H7" s="11">
        <v>33870</v>
      </c>
    </row>
    <row r="8" spans="1:8" x14ac:dyDescent="0.25">
      <c r="A8" s="11" t="s">
        <v>7</v>
      </c>
      <c r="B8" s="11">
        <v>6179</v>
      </c>
      <c r="C8" s="11">
        <v>11304</v>
      </c>
      <c r="D8" s="11">
        <v>12313</v>
      </c>
      <c r="E8" s="11">
        <v>12167</v>
      </c>
      <c r="F8" s="11">
        <v>13639</v>
      </c>
      <c r="G8" s="11">
        <v>13987</v>
      </c>
      <c r="H8" s="11">
        <v>11980</v>
      </c>
    </row>
    <row r="9" spans="1:8" x14ac:dyDescent="0.25">
      <c r="A9" s="11" t="s">
        <v>8</v>
      </c>
      <c r="B9" s="11">
        <v>2914</v>
      </c>
      <c r="C9" s="11">
        <v>5280</v>
      </c>
      <c r="D9" s="11">
        <v>5764</v>
      </c>
      <c r="E9" s="11">
        <v>5394</v>
      </c>
      <c r="F9" s="11">
        <v>6980</v>
      </c>
      <c r="G9" s="11">
        <v>6920</v>
      </c>
      <c r="H9" s="11">
        <v>5662</v>
      </c>
    </row>
    <row r="10" spans="1:8" x14ac:dyDescent="0.25">
      <c r="A10" s="11" t="s">
        <v>9</v>
      </c>
      <c r="B10" s="11">
        <v>39572</v>
      </c>
      <c r="C10" s="11">
        <v>68411</v>
      </c>
      <c r="D10" s="11">
        <v>73842</v>
      </c>
      <c r="E10" s="11">
        <v>71063</v>
      </c>
      <c r="F10" s="11">
        <v>86664</v>
      </c>
      <c r="G10" s="11">
        <v>82428</v>
      </c>
      <c r="H10" s="11">
        <v>62956</v>
      </c>
    </row>
    <row r="11" spans="1:8" x14ac:dyDescent="0.25">
      <c r="A11" s="11" t="s">
        <v>10</v>
      </c>
      <c r="B11" s="11">
        <v>11162</v>
      </c>
      <c r="C11" s="11">
        <v>20503</v>
      </c>
      <c r="D11" s="11">
        <v>22642</v>
      </c>
      <c r="E11" s="11">
        <v>20861</v>
      </c>
      <c r="F11" s="11">
        <v>25045</v>
      </c>
      <c r="G11" s="11">
        <v>24631</v>
      </c>
      <c r="H11" s="11">
        <v>18937</v>
      </c>
    </row>
    <row r="12" spans="1:8" x14ac:dyDescent="0.25">
      <c r="A12" s="11" t="s">
        <v>11</v>
      </c>
      <c r="B12" s="11">
        <v>6242</v>
      </c>
      <c r="C12" s="11">
        <v>11180</v>
      </c>
      <c r="D12" s="11">
        <v>12031</v>
      </c>
      <c r="E12" s="11">
        <v>12609</v>
      </c>
      <c r="F12" s="11">
        <v>14487</v>
      </c>
      <c r="G12" s="11">
        <v>16363</v>
      </c>
      <c r="H12" s="11">
        <v>12948</v>
      </c>
    </row>
    <row r="13" spans="1:8" x14ac:dyDescent="0.25">
      <c r="A13" s="11" t="s">
        <v>12</v>
      </c>
      <c r="B13" s="11">
        <v>142</v>
      </c>
      <c r="C13" s="11">
        <v>293</v>
      </c>
      <c r="D13" s="11">
        <v>365</v>
      </c>
      <c r="E13" s="11">
        <v>346</v>
      </c>
      <c r="F13" s="11">
        <v>544</v>
      </c>
      <c r="G13" s="11">
        <v>661</v>
      </c>
      <c r="H13" s="11">
        <v>529</v>
      </c>
    </row>
    <row r="14" spans="1:8" x14ac:dyDescent="0.25">
      <c r="A14" s="11" t="s">
        <v>13</v>
      </c>
      <c r="B14" s="11">
        <v>3135</v>
      </c>
      <c r="C14" s="11">
        <v>6179</v>
      </c>
      <c r="D14" s="11">
        <v>6818</v>
      </c>
      <c r="E14" s="11">
        <v>6836</v>
      </c>
      <c r="F14" s="11">
        <v>8612</v>
      </c>
      <c r="G14" s="11">
        <v>8320</v>
      </c>
      <c r="H14" s="11">
        <v>5888</v>
      </c>
    </row>
    <row r="15" spans="1:8" x14ac:dyDescent="0.25">
      <c r="A15" s="11" t="s">
        <v>14</v>
      </c>
      <c r="B15" s="11">
        <v>17457</v>
      </c>
      <c r="C15" s="11">
        <v>19486</v>
      </c>
      <c r="D15" s="11">
        <v>13797</v>
      </c>
      <c r="E15" s="11">
        <v>12354</v>
      </c>
      <c r="F15" s="11">
        <v>13899</v>
      </c>
      <c r="G15" s="11">
        <v>13555</v>
      </c>
      <c r="H15" s="11">
        <v>11511</v>
      </c>
    </row>
    <row r="16" spans="1:8" x14ac:dyDescent="0.25">
      <c r="A16" s="11" t="s">
        <v>15</v>
      </c>
      <c r="B16" s="11">
        <v>36784</v>
      </c>
      <c r="C16" s="11">
        <v>60766</v>
      </c>
      <c r="D16" s="11">
        <v>60223</v>
      </c>
      <c r="E16" s="11">
        <v>58905</v>
      </c>
      <c r="F16" s="11">
        <v>66618</v>
      </c>
      <c r="G16" s="11">
        <v>59795</v>
      </c>
      <c r="H16" s="11">
        <v>46538</v>
      </c>
    </row>
    <row r="17" spans="1:8" x14ac:dyDescent="0.25">
      <c r="A17" s="11" t="s">
        <v>16</v>
      </c>
      <c r="B17" s="11">
        <v>1657</v>
      </c>
      <c r="C17" s="11">
        <v>3068</v>
      </c>
      <c r="D17" s="11">
        <v>3283</v>
      </c>
      <c r="E17" s="11">
        <v>3391</v>
      </c>
      <c r="F17" s="11">
        <v>4206</v>
      </c>
      <c r="G17" s="11">
        <v>4292</v>
      </c>
      <c r="H17" s="11">
        <v>3388</v>
      </c>
    </row>
    <row r="18" spans="1:8" x14ac:dyDescent="0.25">
      <c r="A18" s="11" t="s">
        <v>17</v>
      </c>
      <c r="B18" s="11">
        <v>3323</v>
      </c>
      <c r="C18" s="11">
        <v>6433</v>
      </c>
      <c r="D18" s="11">
        <v>7086</v>
      </c>
      <c r="E18" s="11">
        <v>7474</v>
      </c>
      <c r="F18" s="11">
        <v>9120</v>
      </c>
      <c r="G18" s="11">
        <v>9006</v>
      </c>
      <c r="H18" s="11">
        <v>7112</v>
      </c>
    </row>
    <row r="19" spans="1:8" x14ac:dyDescent="0.25">
      <c r="A19" s="11" t="s">
        <v>18</v>
      </c>
      <c r="B19" s="11">
        <v>1706</v>
      </c>
      <c r="C19" s="11">
        <v>3300</v>
      </c>
      <c r="D19" s="11">
        <v>3281</v>
      </c>
      <c r="E19" s="11">
        <v>3323</v>
      </c>
      <c r="F19" s="11">
        <v>3823</v>
      </c>
      <c r="G19" s="11">
        <v>3968</v>
      </c>
      <c r="H19" s="11">
        <v>3104</v>
      </c>
    </row>
    <row r="20" spans="1:8" x14ac:dyDescent="0.25">
      <c r="A20" s="11" t="s">
        <v>19</v>
      </c>
      <c r="B20" s="11">
        <v>3753</v>
      </c>
      <c r="C20" s="11">
        <v>5955</v>
      </c>
      <c r="D20" s="11">
        <v>5900</v>
      </c>
      <c r="E20" s="11">
        <v>5772</v>
      </c>
      <c r="F20" s="11">
        <v>6717</v>
      </c>
      <c r="G20" s="11">
        <v>6989</v>
      </c>
      <c r="H20" s="11">
        <v>5532</v>
      </c>
    </row>
    <row r="21" spans="1:8" x14ac:dyDescent="0.25">
      <c r="A21" s="11" t="s">
        <v>20</v>
      </c>
      <c r="B21" s="11">
        <v>3869</v>
      </c>
      <c r="C21" s="11">
        <v>6974</v>
      </c>
      <c r="D21" s="11">
        <v>7473</v>
      </c>
      <c r="E21" s="11">
        <v>7347</v>
      </c>
      <c r="F21" s="11">
        <v>9295</v>
      </c>
      <c r="G21" s="11">
        <v>9769</v>
      </c>
      <c r="H21" s="11">
        <v>8198</v>
      </c>
    </row>
    <row r="22" spans="1:8" x14ac:dyDescent="0.25">
      <c r="A22" s="11" t="s">
        <v>21</v>
      </c>
      <c r="B22" s="11">
        <v>16058</v>
      </c>
      <c r="C22" s="11">
        <v>28217</v>
      </c>
      <c r="D22" s="11">
        <v>30221</v>
      </c>
      <c r="E22" s="11">
        <v>27386</v>
      </c>
      <c r="F22" s="11">
        <v>29181</v>
      </c>
      <c r="G22" s="11">
        <v>28241</v>
      </c>
      <c r="H22" s="11">
        <v>24582</v>
      </c>
    </row>
    <row r="23" spans="1:8" x14ac:dyDescent="0.25">
      <c r="A23" s="11" t="s">
        <v>22</v>
      </c>
      <c r="B23" s="11">
        <v>17066</v>
      </c>
      <c r="C23" s="11">
        <v>34667</v>
      </c>
      <c r="D23" s="11">
        <v>34801</v>
      </c>
      <c r="E23" s="11">
        <v>30052</v>
      </c>
      <c r="F23" s="11">
        <v>32468</v>
      </c>
      <c r="G23" s="11">
        <v>30436</v>
      </c>
      <c r="H23" s="11">
        <v>21927</v>
      </c>
    </row>
    <row r="24" spans="1:8" x14ac:dyDescent="0.25">
      <c r="A24" s="11" t="s">
        <v>23</v>
      </c>
      <c r="B24" s="11">
        <v>37876</v>
      </c>
      <c r="C24" s="11">
        <v>66365</v>
      </c>
      <c r="D24" s="11">
        <v>72674</v>
      </c>
      <c r="E24" s="11">
        <v>60898</v>
      </c>
      <c r="F24" s="11">
        <v>65271</v>
      </c>
      <c r="G24" s="11">
        <v>62106</v>
      </c>
      <c r="H24" s="11">
        <v>46088</v>
      </c>
    </row>
    <row r="25" spans="1:8" x14ac:dyDescent="0.25">
      <c r="A25" s="11" t="s">
        <v>24</v>
      </c>
      <c r="B25" s="11">
        <v>1457</v>
      </c>
      <c r="C25" s="11">
        <v>2535</v>
      </c>
      <c r="D25" s="11">
        <v>2744</v>
      </c>
      <c r="E25" s="11">
        <v>2838</v>
      </c>
      <c r="F25" s="11">
        <v>3898</v>
      </c>
      <c r="G25" s="11">
        <v>3939</v>
      </c>
      <c r="H25" s="11">
        <v>3025</v>
      </c>
    </row>
    <row r="26" spans="1:8" x14ac:dyDescent="0.25">
      <c r="A26" s="11" t="s">
        <v>25</v>
      </c>
      <c r="B26" s="11">
        <v>14362</v>
      </c>
      <c r="C26" s="11">
        <v>27142</v>
      </c>
      <c r="D26" s="11">
        <v>27217</v>
      </c>
      <c r="E26" s="11">
        <v>25184</v>
      </c>
      <c r="F26" s="11">
        <v>28661</v>
      </c>
      <c r="G26" s="11">
        <v>29559</v>
      </c>
      <c r="H26" s="11">
        <v>22592</v>
      </c>
    </row>
    <row r="27" spans="1:8" x14ac:dyDescent="0.25">
      <c r="A27" s="11" t="s">
        <v>26</v>
      </c>
      <c r="B27" s="11">
        <v>5039</v>
      </c>
      <c r="C27" s="11">
        <v>10722</v>
      </c>
      <c r="D27" s="11">
        <v>11635</v>
      </c>
      <c r="E27" s="11">
        <v>12080</v>
      </c>
      <c r="F27" s="11">
        <v>14043</v>
      </c>
      <c r="G27" s="11">
        <v>14664</v>
      </c>
      <c r="H27" s="11">
        <v>11351</v>
      </c>
    </row>
    <row r="28" spans="1:8" x14ac:dyDescent="0.25">
      <c r="A28" s="11" t="s">
        <v>27</v>
      </c>
      <c r="B28" s="11">
        <v>155</v>
      </c>
      <c r="C28" s="11">
        <v>238</v>
      </c>
      <c r="D28" s="11">
        <v>308</v>
      </c>
      <c r="E28" s="11">
        <v>387</v>
      </c>
      <c r="F28" s="11">
        <v>673</v>
      </c>
      <c r="G28" s="11">
        <v>840</v>
      </c>
      <c r="H28" s="11">
        <v>653</v>
      </c>
    </row>
    <row r="29" spans="1:8" x14ac:dyDescent="0.25">
      <c r="A29" s="11" t="s">
        <v>28</v>
      </c>
      <c r="B29" s="11">
        <v>8234</v>
      </c>
      <c r="C29" s="11">
        <v>15428</v>
      </c>
      <c r="D29" s="11">
        <v>16173</v>
      </c>
      <c r="E29" s="11">
        <v>15713</v>
      </c>
      <c r="F29" s="11">
        <v>18090</v>
      </c>
      <c r="G29" s="11">
        <v>16956</v>
      </c>
      <c r="H29" s="11">
        <v>14848</v>
      </c>
    </row>
    <row r="30" spans="1:8" x14ac:dyDescent="0.25">
      <c r="A30" s="11" t="s">
        <v>29</v>
      </c>
      <c r="B30" s="11">
        <v>724</v>
      </c>
      <c r="C30" s="11">
        <v>1370</v>
      </c>
      <c r="D30" s="11">
        <v>1399</v>
      </c>
      <c r="E30" s="11">
        <v>1531</v>
      </c>
      <c r="F30" s="11">
        <v>1874</v>
      </c>
      <c r="G30" s="11">
        <v>1769</v>
      </c>
      <c r="H30" s="11">
        <v>1446</v>
      </c>
    </row>
    <row r="31" spans="1:8" x14ac:dyDescent="0.25">
      <c r="A31" s="11" t="s">
        <v>30</v>
      </c>
      <c r="B31" s="11">
        <v>1514</v>
      </c>
      <c r="C31" s="11">
        <v>2998</v>
      </c>
      <c r="D31" s="11">
        <v>3058</v>
      </c>
      <c r="E31" s="11">
        <v>3416</v>
      </c>
      <c r="F31" s="11">
        <v>3790</v>
      </c>
      <c r="G31" s="11">
        <v>3994</v>
      </c>
      <c r="H31" s="11">
        <v>3018</v>
      </c>
    </row>
    <row r="32" spans="1:8" x14ac:dyDescent="0.25">
      <c r="A32" s="11" t="s">
        <v>31</v>
      </c>
      <c r="B32" s="11">
        <v>2282</v>
      </c>
      <c r="C32" s="11">
        <v>3736</v>
      </c>
      <c r="D32" s="11">
        <v>3610</v>
      </c>
      <c r="E32" s="11">
        <v>3981</v>
      </c>
      <c r="F32" s="11">
        <v>4946</v>
      </c>
      <c r="G32" s="11">
        <v>5060</v>
      </c>
      <c r="H32" s="11">
        <v>4257</v>
      </c>
    </row>
    <row r="33" spans="1:8" x14ac:dyDescent="0.25">
      <c r="A33" s="11" t="s">
        <v>32</v>
      </c>
      <c r="B33" s="11">
        <v>4447</v>
      </c>
      <c r="C33" s="11">
        <v>6616</v>
      </c>
      <c r="D33" s="11">
        <v>6736</v>
      </c>
      <c r="E33" s="11">
        <v>6929</v>
      </c>
      <c r="F33" s="11">
        <v>8287</v>
      </c>
      <c r="G33" s="11">
        <v>9003</v>
      </c>
      <c r="H33" s="11">
        <v>7071</v>
      </c>
    </row>
    <row r="34" spans="1:8" x14ac:dyDescent="0.25">
      <c r="A34" s="11" t="s">
        <v>33</v>
      </c>
      <c r="B34" s="11">
        <v>2061</v>
      </c>
      <c r="C34" s="11">
        <v>3584</v>
      </c>
      <c r="D34" s="11">
        <v>4165</v>
      </c>
      <c r="E34" s="11">
        <v>4062</v>
      </c>
      <c r="F34" s="11">
        <v>4880</v>
      </c>
      <c r="G34" s="11">
        <v>5283</v>
      </c>
      <c r="H34" s="11">
        <v>4015</v>
      </c>
    </row>
    <row r="35" spans="1:8" x14ac:dyDescent="0.25">
      <c r="A35" s="11" t="s">
        <v>34</v>
      </c>
      <c r="B35" s="11">
        <v>936</v>
      </c>
      <c r="C35" s="11">
        <v>1771</v>
      </c>
      <c r="D35" s="11">
        <v>2001</v>
      </c>
      <c r="E35" s="11">
        <v>2113</v>
      </c>
      <c r="F35" s="11">
        <v>2601</v>
      </c>
      <c r="G35" s="11">
        <v>2568</v>
      </c>
      <c r="H35" s="11">
        <v>2088</v>
      </c>
    </row>
    <row r="36" spans="1:8" x14ac:dyDescent="0.25">
      <c r="A36" s="11" t="s">
        <v>35</v>
      </c>
      <c r="B36" s="11">
        <v>12068</v>
      </c>
      <c r="C36" s="11">
        <v>22939</v>
      </c>
      <c r="D36" s="11">
        <v>24221</v>
      </c>
      <c r="E36" s="11">
        <v>21701</v>
      </c>
      <c r="F36" s="11">
        <v>24997</v>
      </c>
      <c r="G36" s="11">
        <v>24117</v>
      </c>
      <c r="H36" s="11">
        <v>19985</v>
      </c>
    </row>
    <row r="37" spans="1:8" x14ac:dyDescent="0.25">
      <c r="A37" s="11" t="s">
        <v>36</v>
      </c>
      <c r="B37" s="11">
        <v>30444</v>
      </c>
      <c r="C37" s="11">
        <v>58961</v>
      </c>
      <c r="D37" s="11">
        <v>59628</v>
      </c>
      <c r="E37" s="11">
        <v>51193</v>
      </c>
      <c r="F37" s="11">
        <v>56739</v>
      </c>
      <c r="G37" s="11">
        <v>57608</v>
      </c>
      <c r="H37" s="11">
        <v>50066</v>
      </c>
    </row>
    <row r="38" spans="1:8" x14ac:dyDescent="0.25">
      <c r="A38" s="11" t="s">
        <v>37</v>
      </c>
      <c r="B38" s="11">
        <v>4247</v>
      </c>
      <c r="C38" s="11">
        <v>7855</v>
      </c>
      <c r="D38" s="11">
        <v>8365</v>
      </c>
      <c r="E38" s="11">
        <v>8295</v>
      </c>
      <c r="F38" s="11">
        <v>9749</v>
      </c>
      <c r="G38" s="11">
        <v>10396</v>
      </c>
      <c r="H38" s="11">
        <v>8393</v>
      </c>
    </row>
    <row r="39" spans="1:8" x14ac:dyDescent="0.25">
      <c r="A39" s="11" t="s">
        <v>38</v>
      </c>
      <c r="B39" s="11">
        <v>7240</v>
      </c>
      <c r="C39" s="11">
        <v>13130</v>
      </c>
      <c r="D39" s="11">
        <v>14495</v>
      </c>
      <c r="E39" s="11">
        <v>14104</v>
      </c>
      <c r="F39" s="11">
        <v>15909</v>
      </c>
      <c r="G39" s="11">
        <v>15688</v>
      </c>
      <c r="H39" s="11">
        <v>13606</v>
      </c>
    </row>
    <row r="40" spans="1:8" x14ac:dyDescent="0.25">
      <c r="A40" s="11" t="s">
        <v>39</v>
      </c>
      <c r="B40" s="11">
        <v>21626</v>
      </c>
      <c r="C40" s="11">
        <v>41910</v>
      </c>
      <c r="D40" s="11">
        <v>42558</v>
      </c>
      <c r="E40" s="11">
        <v>38731</v>
      </c>
      <c r="F40" s="11">
        <v>41212</v>
      </c>
      <c r="G40" s="11">
        <v>38462</v>
      </c>
      <c r="H40" s="11">
        <v>30029</v>
      </c>
    </row>
    <row r="41" spans="1:8" x14ac:dyDescent="0.25">
      <c r="A41" s="11" t="s">
        <v>40</v>
      </c>
      <c r="B41" s="11">
        <v>16086</v>
      </c>
      <c r="C41" s="11">
        <v>30939</v>
      </c>
      <c r="D41" s="11">
        <v>33396</v>
      </c>
      <c r="E41" s="11">
        <v>30686</v>
      </c>
      <c r="F41" s="11">
        <v>35954</v>
      </c>
      <c r="G41" s="11">
        <v>33425</v>
      </c>
      <c r="H41" s="11">
        <v>27506</v>
      </c>
    </row>
    <row r="42" spans="1:8" x14ac:dyDescent="0.25">
      <c r="A42" s="11" t="s">
        <v>41</v>
      </c>
      <c r="B42" s="11">
        <v>5521</v>
      </c>
      <c r="C42" s="11">
        <v>10067</v>
      </c>
      <c r="D42" s="11">
        <v>11452</v>
      </c>
      <c r="E42" s="11">
        <v>10427</v>
      </c>
      <c r="F42" s="11">
        <v>12151</v>
      </c>
      <c r="G42" s="11">
        <v>12989</v>
      </c>
      <c r="H42" s="11">
        <v>10052</v>
      </c>
    </row>
    <row r="43" spans="1:8" x14ac:dyDescent="0.25">
      <c r="A43" s="11" t="s">
        <v>91</v>
      </c>
      <c r="B43" s="11">
        <v>1797</v>
      </c>
      <c r="C43" s="11">
        <v>3308</v>
      </c>
      <c r="D43" s="11">
        <v>3683</v>
      </c>
      <c r="E43" s="11">
        <v>3761</v>
      </c>
      <c r="F43" s="11">
        <v>4561</v>
      </c>
      <c r="G43" s="11">
        <v>4634</v>
      </c>
      <c r="H43" s="11">
        <v>3578</v>
      </c>
    </row>
    <row r="44" spans="1:8" x14ac:dyDescent="0.25">
      <c r="A44" s="11" t="s">
        <v>43</v>
      </c>
      <c r="B44" s="11">
        <v>5474</v>
      </c>
      <c r="C44" s="11">
        <v>9811</v>
      </c>
      <c r="D44" s="11">
        <v>10006</v>
      </c>
      <c r="E44" s="11">
        <v>9879</v>
      </c>
      <c r="F44" s="11">
        <v>12330</v>
      </c>
      <c r="G44" s="11">
        <v>13474</v>
      </c>
      <c r="H44" s="11">
        <v>10931</v>
      </c>
    </row>
    <row r="45" spans="1:8" x14ac:dyDescent="0.25">
      <c r="A45" s="11" t="s">
        <v>44</v>
      </c>
      <c r="B45" s="11">
        <v>1727</v>
      </c>
      <c r="C45" s="11">
        <v>3636</v>
      </c>
      <c r="D45" s="11">
        <v>3906</v>
      </c>
      <c r="E45" s="11">
        <v>3915</v>
      </c>
      <c r="F45" s="11">
        <v>5010</v>
      </c>
      <c r="G45" s="11">
        <v>4766</v>
      </c>
      <c r="H45" s="11">
        <v>4210</v>
      </c>
    </row>
    <row r="46" spans="1:8" x14ac:dyDescent="0.25">
      <c r="A46" s="11" t="s">
        <v>45</v>
      </c>
      <c r="B46" s="11">
        <v>9644</v>
      </c>
      <c r="C46" s="11">
        <v>17550</v>
      </c>
      <c r="D46" s="11">
        <v>17803</v>
      </c>
      <c r="E46" s="11">
        <v>17455</v>
      </c>
      <c r="F46" s="11">
        <v>22503</v>
      </c>
      <c r="G46" s="11">
        <v>20356</v>
      </c>
      <c r="H46" s="11">
        <v>12474</v>
      </c>
    </row>
    <row r="47" spans="1:8" x14ac:dyDescent="0.25">
      <c r="A47" s="11" t="s">
        <v>46</v>
      </c>
      <c r="B47" s="11">
        <v>53793</v>
      </c>
      <c r="C47" s="11">
        <v>96838</v>
      </c>
      <c r="D47" s="11">
        <v>105088</v>
      </c>
      <c r="E47" s="11">
        <v>93726</v>
      </c>
      <c r="F47" s="11">
        <v>101505</v>
      </c>
      <c r="G47" s="11">
        <v>95558</v>
      </c>
      <c r="H47" s="11">
        <v>77886</v>
      </c>
    </row>
    <row r="48" spans="1:8" x14ac:dyDescent="0.25">
      <c r="A48" s="11" t="s">
        <v>47</v>
      </c>
      <c r="B48" s="11">
        <v>811</v>
      </c>
      <c r="C48" s="11">
        <v>1884</v>
      </c>
      <c r="D48" s="11">
        <v>2021</v>
      </c>
      <c r="E48" s="11">
        <v>1651</v>
      </c>
      <c r="F48" s="11">
        <v>1974</v>
      </c>
      <c r="G48" s="11">
        <v>2169</v>
      </c>
      <c r="H48" s="11">
        <v>1857</v>
      </c>
    </row>
    <row r="49" spans="1:8" x14ac:dyDescent="0.25">
      <c r="A49" s="11" t="s">
        <v>48</v>
      </c>
      <c r="B49" s="11">
        <v>22605</v>
      </c>
      <c r="C49" s="11">
        <v>36919</v>
      </c>
      <c r="D49" s="11">
        <v>35921</v>
      </c>
      <c r="E49" s="11">
        <v>33166</v>
      </c>
      <c r="F49" s="11">
        <v>38479</v>
      </c>
      <c r="G49" s="11">
        <v>36491</v>
      </c>
      <c r="H49" s="11">
        <v>29126</v>
      </c>
    </row>
    <row r="50" spans="1:8" x14ac:dyDescent="0.25">
      <c r="A50" s="11" t="s">
        <v>49</v>
      </c>
      <c r="B50" s="11">
        <v>3630</v>
      </c>
      <c r="C50" s="11">
        <v>7195</v>
      </c>
      <c r="D50" s="11">
        <v>8562</v>
      </c>
      <c r="E50" s="11">
        <v>8203</v>
      </c>
      <c r="F50" s="11">
        <v>9662</v>
      </c>
      <c r="G50" s="11">
        <v>10036</v>
      </c>
      <c r="H50" s="11">
        <v>8022</v>
      </c>
    </row>
    <row r="51" spans="1:8" x14ac:dyDescent="0.25">
      <c r="A51" s="11" t="s">
        <v>50</v>
      </c>
      <c r="B51" s="11">
        <v>2346</v>
      </c>
      <c r="C51" s="11">
        <v>4341</v>
      </c>
      <c r="D51" s="11">
        <v>4869</v>
      </c>
      <c r="E51" s="11">
        <v>4734</v>
      </c>
      <c r="F51" s="11">
        <v>5820</v>
      </c>
      <c r="G51" s="11">
        <v>5362</v>
      </c>
      <c r="H51" s="11">
        <v>3772</v>
      </c>
    </row>
    <row r="52" spans="1:8" x14ac:dyDescent="0.25">
      <c r="A52" s="11" t="s">
        <v>51</v>
      </c>
      <c r="B52" s="11">
        <v>101188</v>
      </c>
      <c r="C52" s="11">
        <v>259378</v>
      </c>
      <c r="D52" s="11">
        <v>222945</v>
      </c>
      <c r="E52" s="11">
        <v>144537</v>
      </c>
      <c r="F52" s="11">
        <v>144647</v>
      </c>
      <c r="G52" s="11">
        <v>127223</v>
      </c>
      <c r="H52" s="11">
        <v>92403</v>
      </c>
    </row>
    <row r="53" spans="1:8" x14ac:dyDescent="0.25">
      <c r="A53" s="11" t="s">
        <v>52</v>
      </c>
      <c r="B53" s="11">
        <v>3141</v>
      </c>
      <c r="C53" s="11">
        <v>5962</v>
      </c>
      <c r="D53" s="11">
        <v>6514</v>
      </c>
      <c r="E53" s="11">
        <v>6637</v>
      </c>
      <c r="F53" s="11">
        <v>9546</v>
      </c>
      <c r="G53" s="11">
        <v>9244</v>
      </c>
      <c r="H53" s="11">
        <v>6397</v>
      </c>
    </row>
    <row r="54" spans="1:8" x14ac:dyDescent="0.25">
      <c r="A54" s="11" t="s">
        <v>53</v>
      </c>
      <c r="B54" s="11">
        <v>734</v>
      </c>
      <c r="C54" s="11">
        <v>1259</v>
      </c>
      <c r="D54" s="11">
        <v>1473</v>
      </c>
      <c r="E54" s="11">
        <v>1496</v>
      </c>
      <c r="F54" s="11">
        <v>2027</v>
      </c>
      <c r="G54" s="11">
        <v>2232</v>
      </c>
      <c r="H54" s="11">
        <v>1766</v>
      </c>
    </row>
    <row r="55" spans="1:8" x14ac:dyDescent="0.25">
      <c r="A55" s="11" t="s">
        <v>54</v>
      </c>
      <c r="B55" s="11">
        <v>6848</v>
      </c>
      <c r="C55" s="11">
        <v>12483</v>
      </c>
      <c r="D55" s="11">
        <v>13887</v>
      </c>
      <c r="E55" s="11">
        <v>14185</v>
      </c>
      <c r="F55" s="11">
        <v>16654</v>
      </c>
      <c r="G55" s="11">
        <v>16146</v>
      </c>
      <c r="H55" s="11">
        <v>12289</v>
      </c>
    </row>
    <row r="56" spans="1:8" x14ac:dyDescent="0.25">
      <c r="A56" s="11" t="s">
        <v>55</v>
      </c>
      <c r="B56" s="11">
        <v>2205</v>
      </c>
      <c r="C56" s="11">
        <v>3206</v>
      </c>
      <c r="D56" s="11">
        <v>3478</v>
      </c>
      <c r="E56" s="11">
        <v>3432</v>
      </c>
      <c r="F56" s="11">
        <v>4149</v>
      </c>
      <c r="G56" s="11">
        <v>3981</v>
      </c>
      <c r="H56" s="11">
        <v>3399</v>
      </c>
    </row>
    <row r="57" spans="1:8" x14ac:dyDescent="0.25">
      <c r="A57" s="11" t="s">
        <v>56</v>
      </c>
      <c r="B57" s="11">
        <v>3238</v>
      </c>
      <c r="C57" s="11">
        <v>5999</v>
      </c>
      <c r="D57" s="11">
        <v>6767</v>
      </c>
      <c r="E57" s="11">
        <v>7040</v>
      </c>
      <c r="F57" s="11">
        <v>8578</v>
      </c>
      <c r="G57" s="11">
        <v>9367</v>
      </c>
      <c r="H57" s="11">
        <v>7498</v>
      </c>
    </row>
    <row r="58" spans="1:8" x14ac:dyDescent="0.25">
      <c r="A58" s="11" t="s">
        <v>57</v>
      </c>
      <c r="B58" s="11">
        <v>249</v>
      </c>
      <c r="C58" s="11">
        <v>415</v>
      </c>
      <c r="D58" s="11">
        <v>561</v>
      </c>
      <c r="E58" s="11">
        <v>563</v>
      </c>
      <c r="F58" s="11">
        <v>805</v>
      </c>
      <c r="G58" s="11">
        <v>1079</v>
      </c>
      <c r="H58" s="11">
        <v>791</v>
      </c>
    </row>
    <row r="59" spans="1:8" x14ac:dyDescent="0.25">
      <c r="A59" s="11" t="s">
        <v>58</v>
      </c>
      <c r="B59" s="11">
        <v>1858</v>
      </c>
      <c r="C59" s="11">
        <v>3537</v>
      </c>
      <c r="D59" s="11">
        <v>3922</v>
      </c>
      <c r="E59" s="11">
        <v>3653</v>
      </c>
      <c r="F59" s="11">
        <v>4981</v>
      </c>
      <c r="G59" s="11">
        <v>5285</v>
      </c>
      <c r="H59" s="11">
        <v>4173</v>
      </c>
    </row>
    <row r="60" spans="1:8" x14ac:dyDescent="0.25">
      <c r="A60" s="11" t="s">
        <v>59</v>
      </c>
      <c r="B60" s="11">
        <v>1866</v>
      </c>
      <c r="C60" s="11">
        <v>3295</v>
      </c>
      <c r="D60" s="11">
        <v>3912</v>
      </c>
      <c r="E60" s="11">
        <v>3755</v>
      </c>
      <c r="F60" s="11">
        <v>4742</v>
      </c>
      <c r="G60" s="11">
        <v>5069</v>
      </c>
      <c r="H60" s="11">
        <v>4172</v>
      </c>
    </row>
    <row r="61" spans="1:8" x14ac:dyDescent="0.25">
      <c r="A61" s="11" t="s">
        <v>60</v>
      </c>
      <c r="B61" s="11">
        <v>3692</v>
      </c>
      <c r="C61" s="11">
        <v>4071</v>
      </c>
      <c r="D61" s="11">
        <v>3648</v>
      </c>
      <c r="E61" s="11">
        <v>3444</v>
      </c>
      <c r="F61" s="11">
        <v>3988</v>
      </c>
      <c r="G61" s="11">
        <v>3894</v>
      </c>
      <c r="H61" s="11">
        <v>3763</v>
      </c>
    </row>
    <row r="62" spans="1:8" x14ac:dyDescent="0.25">
      <c r="A62" s="11" t="s">
        <v>61</v>
      </c>
      <c r="B62" s="11">
        <v>2217</v>
      </c>
      <c r="C62" s="11">
        <v>3938</v>
      </c>
      <c r="D62" s="11">
        <v>4673</v>
      </c>
      <c r="E62" s="11">
        <v>4779</v>
      </c>
      <c r="F62" s="11">
        <v>5682</v>
      </c>
      <c r="G62" s="11">
        <v>6593</v>
      </c>
      <c r="H62" s="11">
        <v>4950</v>
      </c>
    </row>
    <row r="63" spans="1:8" x14ac:dyDescent="0.25">
      <c r="A63" s="11" t="s">
        <v>62</v>
      </c>
      <c r="B63" s="11">
        <v>1713</v>
      </c>
      <c r="C63" s="11">
        <v>3052</v>
      </c>
      <c r="D63" s="11">
        <v>3619</v>
      </c>
      <c r="E63" s="11">
        <v>3503</v>
      </c>
      <c r="F63" s="11">
        <v>4675</v>
      </c>
      <c r="G63" s="11">
        <v>5033</v>
      </c>
      <c r="H63" s="11">
        <v>3827</v>
      </c>
    </row>
    <row r="64" spans="1:8" x14ac:dyDescent="0.25">
      <c r="A64" s="11" t="s">
        <v>63</v>
      </c>
      <c r="B64" s="11">
        <v>10328</v>
      </c>
      <c r="C64" s="11">
        <v>19690</v>
      </c>
      <c r="D64" s="11">
        <v>22513</v>
      </c>
      <c r="E64" s="11">
        <v>21288</v>
      </c>
      <c r="F64" s="11">
        <v>25023</v>
      </c>
      <c r="G64" s="11">
        <v>26107</v>
      </c>
      <c r="H64" s="11">
        <v>20097</v>
      </c>
    </row>
    <row r="65" spans="1:8" x14ac:dyDescent="0.25">
      <c r="A65" s="11" t="s">
        <v>64</v>
      </c>
      <c r="B65" s="11">
        <v>2202</v>
      </c>
      <c r="C65" s="11">
        <v>4537</v>
      </c>
      <c r="D65" s="11">
        <v>5054</v>
      </c>
      <c r="E65" s="11">
        <v>4900</v>
      </c>
      <c r="F65" s="11">
        <v>6908</v>
      </c>
      <c r="G65" s="11">
        <v>7452</v>
      </c>
      <c r="H65" s="11">
        <v>5656</v>
      </c>
    </row>
    <row r="66" spans="1:8" x14ac:dyDescent="0.25">
      <c r="A66" s="11" t="s">
        <v>65</v>
      </c>
      <c r="B66" s="11">
        <v>17260</v>
      </c>
      <c r="C66" s="11">
        <v>33073</v>
      </c>
      <c r="D66" s="11">
        <v>36460</v>
      </c>
      <c r="E66" s="11">
        <v>35083</v>
      </c>
      <c r="F66" s="11">
        <v>44059</v>
      </c>
      <c r="G66" s="11">
        <v>46643</v>
      </c>
      <c r="H66" s="11">
        <v>38130</v>
      </c>
    </row>
    <row r="67" spans="1:8" x14ac:dyDescent="0.25">
      <c r="A67" s="11" t="s">
        <v>66</v>
      </c>
      <c r="B67" s="11">
        <v>1337</v>
      </c>
      <c r="C67" s="11">
        <v>2505</v>
      </c>
      <c r="D67" s="11">
        <v>2689</v>
      </c>
      <c r="E67" s="11">
        <v>2690</v>
      </c>
      <c r="F67" s="11">
        <v>3254</v>
      </c>
      <c r="G67" s="11">
        <v>3358</v>
      </c>
      <c r="H67" s="11">
        <v>2663</v>
      </c>
    </row>
    <row r="68" spans="1:8" ht="13.8" thickBot="1" x14ac:dyDescent="0.3">
      <c r="A68" s="13" t="s">
        <v>67</v>
      </c>
      <c r="B68" s="13">
        <v>26616</v>
      </c>
      <c r="C68" s="13">
        <v>50381</v>
      </c>
      <c r="D68" s="13">
        <v>54871</v>
      </c>
      <c r="E68" s="13">
        <v>50293</v>
      </c>
      <c r="F68" s="13">
        <v>57027</v>
      </c>
      <c r="G68" s="13">
        <v>50578</v>
      </c>
      <c r="H68" s="13">
        <v>38372</v>
      </c>
    </row>
    <row r="69" spans="1:8" x14ac:dyDescent="0.25">
      <c r="A69" s="32" t="s">
        <v>68</v>
      </c>
      <c r="B69" s="32">
        <f>SUM(B2:B68)</f>
        <v>758239</v>
      </c>
      <c r="C69" s="32">
        <f t="shared" ref="C69:G69" si="0">SUM(C2:C68)</f>
        <v>1469466</v>
      </c>
      <c r="D69" s="32">
        <f t="shared" si="0"/>
        <v>1480138</v>
      </c>
      <c r="E69" s="32">
        <f t="shared" si="0"/>
        <v>1289002</v>
      </c>
      <c r="F69" s="32">
        <f t="shared" si="0"/>
        <v>1459819</v>
      </c>
      <c r="G69" s="32">
        <f t="shared" si="0"/>
        <v>1422207</v>
      </c>
      <c r="H69" s="32">
        <f>SUM(H2:H68)</f>
        <v>1114462</v>
      </c>
    </row>
    <row r="70" spans="1:8" x14ac:dyDescent="0.25">
      <c r="B70" s="17">
        <f t="shared" ref="B70:H70" si="1">B69/$B$72</f>
        <v>8.4311233666094651E-2</v>
      </c>
      <c r="C70" s="17">
        <f>C69/$B$72</f>
        <v>0.16339503941419717</v>
      </c>
      <c r="D70" s="17">
        <f>D69/$B$72</f>
        <v>0.16458169624098207</v>
      </c>
      <c r="E70" s="17">
        <f t="shared" si="1"/>
        <v>0.1433286191003936</v>
      </c>
      <c r="F70" s="17">
        <f t="shared" si="1"/>
        <v>0.16232235590520222</v>
      </c>
      <c r="G70" s="17">
        <f t="shared" si="1"/>
        <v>0.15814014670645465</v>
      </c>
      <c r="H70" s="17">
        <f t="shared" si="1"/>
        <v>0.12392090896667565</v>
      </c>
    </row>
    <row r="72" spans="1:8" x14ac:dyDescent="0.25">
      <c r="A72" s="32" t="s">
        <v>80</v>
      </c>
      <c r="B72" s="16">
        <f>SUM(B69:H69)</f>
        <v>8993333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7" sqref="M17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1939</v>
      </c>
      <c r="D2" s="11">
        <v>2785</v>
      </c>
      <c r="E2" s="11">
        <v>2342</v>
      </c>
      <c r="F2" s="11">
        <v>2118</v>
      </c>
      <c r="G2" s="11">
        <v>2652</v>
      </c>
      <c r="H2" s="11">
        <v>3791</v>
      </c>
      <c r="I2" s="11">
        <v>3556</v>
      </c>
    </row>
    <row r="3" spans="1:9" x14ac:dyDescent="0.25">
      <c r="A3" s="11" t="s">
        <v>2</v>
      </c>
      <c r="B3" s="10" t="s">
        <v>0</v>
      </c>
      <c r="C3" s="11">
        <v>41899</v>
      </c>
      <c r="D3" s="11">
        <v>94688</v>
      </c>
      <c r="E3" s="11">
        <v>89726</v>
      </c>
      <c r="F3" s="11">
        <v>64449</v>
      </c>
      <c r="G3" s="11">
        <v>67208</v>
      </c>
      <c r="H3" s="11">
        <v>79927</v>
      </c>
      <c r="I3" s="11">
        <v>66075</v>
      </c>
    </row>
    <row r="4" spans="1:9" x14ac:dyDescent="0.25">
      <c r="A4" s="11" t="s">
        <v>3</v>
      </c>
      <c r="B4" s="10" t="s">
        <v>0</v>
      </c>
      <c r="C4" s="11">
        <v>605</v>
      </c>
      <c r="D4" s="11">
        <v>1097</v>
      </c>
      <c r="E4" s="11">
        <v>1195</v>
      </c>
      <c r="F4" s="11">
        <v>1270</v>
      </c>
      <c r="G4" s="11">
        <v>1732</v>
      </c>
      <c r="H4" s="11">
        <v>2546</v>
      </c>
      <c r="I4" s="11">
        <v>2186</v>
      </c>
    </row>
    <row r="5" spans="1:9" x14ac:dyDescent="0.25">
      <c r="A5" s="11" t="s">
        <v>4</v>
      </c>
      <c r="B5" s="10" t="s">
        <v>0</v>
      </c>
      <c r="C5" s="11">
        <v>2514</v>
      </c>
      <c r="D5" s="11">
        <v>5657</v>
      </c>
      <c r="E5" s="11">
        <v>6388</v>
      </c>
      <c r="F5" s="11">
        <v>5920</v>
      </c>
      <c r="G5" s="11">
        <v>7299</v>
      </c>
      <c r="H5" s="11">
        <v>9826</v>
      </c>
      <c r="I5" s="11">
        <v>8091</v>
      </c>
    </row>
    <row r="6" spans="1:9" x14ac:dyDescent="0.25">
      <c r="A6" s="11" t="s">
        <v>5</v>
      </c>
      <c r="B6" s="10" t="s">
        <v>0</v>
      </c>
      <c r="C6" s="11">
        <v>305</v>
      </c>
      <c r="D6" s="11">
        <v>521</v>
      </c>
      <c r="E6" s="11">
        <v>590</v>
      </c>
      <c r="F6" s="11">
        <v>620</v>
      </c>
      <c r="G6" s="11">
        <v>855</v>
      </c>
      <c r="H6" s="11">
        <v>1179</v>
      </c>
      <c r="I6" s="11">
        <v>1195</v>
      </c>
    </row>
    <row r="7" spans="1:9" x14ac:dyDescent="0.25">
      <c r="A7" s="11" t="s">
        <v>6</v>
      </c>
      <c r="B7" s="10" t="s">
        <v>0</v>
      </c>
      <c r="C7" s="11">
        <v>8508</v>
      </c>
      <c r="D7" s="11">
        <v>15791</v>
      </c>
      <c r="E7" s="11">
        <v>16319</v>
      </c>
      <c r="F7" s="11">
        <v>14923</v>
      </c>
      <c r="G7" s="11">
        <v>16810</v>
      </c>
      <c r="H7" s="11">
        <v>17358</v>
      </c>
      <c r="I7" s="11">
        <v>14599</v>
      </c>
    </row>
    <row r="8" spans="1:9" x14ac:dyDescent="0.25">
      <c r="A8" s="11" t="s">
        <v>7</v>
      </c>
      <c r="B8" s="10" t="s">
        <v>0</v>
      </c>
      <c r="C8" s="11">
        <v>1511</v>
      </c>
      <c r="D8" s="11">
        <v>3053</v>
      </c>
      <c r="E8" s="11">
        <v>3128</v>
      </c>
      <c r="F8" s="11">
        <v>2562</v>
      </c>
      <c r="G8" s="11">
        <v>2742</v>
      </c>
      <c r="H8" s="11">
        <v>3521</v>
      </c>
      <c r="I8" s="11">
        <v>3286</v>
      </c>
    </row>
    <row r="9" spans="1:9" x14ac:dyDescent="0.25">
      <c r="A9" s="11" t="s">
        <v>8</v>
      </c>
      <c r="B9" s="10" t="s">
        <v>0</v>
      </c>
      <c r="C9" s="11">
        <v>511</v>
      </c>
      <c r="D9" s="11">
        <v>1056</v>
      </c>
      <c r="E9" s="11">
        <v>1073</v>
      </c>
      <c r="F9" s="11">
        <v>913</v>
      </c>
      <c r="G9" s="11">
        <v>1168</v>
      </c>
      <c r="H9" s="11">
        <v>1602</v>
      </c>
      <c r="I9" s="11">
        <v>1497</v>
      </c>
    </row>
    <row r="10" spans="1:9" x14ac:dyDescent="0.25">
      <c r="A10" s="11" t="s">
        <v>9</v>
      </c>
      <c r="B10" s="10" t="s">
        <v>0</v>
      </c>
      <c r="C10" s="11">
        <v>15722</v>
      </c>
      <c r="D10" s="11">
        <v>28200</v>
      </c>
      <c r="E10" s="11">
        <v>30116</v>
      </c>
      <c r="F10" s="11">
        <v>27168</v>
      </c>
      <c r="G10" s="11">
        <v>31043</v>
      </c>
      <c r="H10" s="11">
        <v>34567</v>
      </c>
      <c r="I10" s="11">
        <v>27326</v>
      </c>
    </row>
    <row r="11" spans="1:9" x14ac:dyDescent="0.25">
      <c r="A11" s="11" t="s">
        <v>10</v>
      </c>
      <c r="B11" s="10" t="s">
        <v>0</v>
      </c>
      <c r="C11" s="11">
        <v>3009</v>
      </c>
      <c r="D11" s="11">
        <v>5317</v>
      </c>
      <c r="E11" s="11">
        <v>5959</v>
      </c>
      <c r="F11" s="11">
        <v>5058</v>
      </c>
      <c r="G11" s="11">
        <v>5738</v>
      </c>
      <c r="H11" s="11">
        <v>7532</v>
      </c>
      <c r="I11" s="11">
        <v>6649</v>
      </c>
    </row>
    <row r="12" spans="1:9" x14ac:dyDescent="0.25">
      <c r="A12" s="11" t="s">
        <v>11</v>
      </c>
      <c r="B12" s="10" t="s">
        <v>0</v>
      </c>
      <c r="C12" s="11">
        <v>1701</v>
      </c>
      <c r="D12" s="11">
        <v>3314</v>
      </c>
      <c r="E12" s="11">
        <v>3677</v>
      </c>
      <c r="F12" s="11">
        <v>3704</v>
      </c>
      <c r="G12" s="11">
        <v>4612</v>
      </c>
      <c r="H12" s="11">
        <v>6598</v>
      </c>
      <c r="I12" s="11">
        <v>5732</v>
      </c>
    </row>
    <row r="13" spans="1:9" x14ac:dyDescent="0.25">
      <c r="A13" s="11" t="s">
        <v>12</v>
      </c>
      <c r="B13" s="10" t="s">
        <v>0</v>
      </c>
      <c r="C13" s="11">
        <v>35</v>
      </c>
      <c r="D13" s="11">
        <v>64</v>
      </c>
      <c r="E13" s="11">
        <v>77</v>
      </c>
      <c r="F13" s="11">
        <v>60</v>
      </c>
      <c r="G13" s="11">
        <v>107</v>
      </c>
      <c r="H13" s="11">
        <v>171</v>
      </c>
      <c r="I13" s="11">
        <v>147</v>
      </c>
    </row>
    <row r="14" spans="1:9" x14ac:dyDescent="0.25">
      <c r="A14" s="11" t="s">
        <v>13</v>
      </c>
      <c r="B14" s="10" t="s">
        <v>0</v>
      </c>
      <c r="C14" s="11">
        <v>863</v>
      </c>
      <c r="D14" s="11">
        <v>1776</v>
      </c>
      <c r="E14" s="11">
        <v>1946</v>
      </c>
      <c r="F14" s="11">
        <v>1916</v>
      </c>
      <c r="G14" s="11">
        <v>2395</v>
      </c>
      <c r="H14" s="11">
        <v>2879</v>
      </c>
      <c r="I14" s="11">
        <v>2291</v>
      </c>
    </row>
    <row r="15" spans="1:9" x14ac:dyDescent="0.25">
      <c r="A15" s="11" t="s">
        <v>14</v>
      </c>
      <c r="B15" s="10" t="s">
        <v>0</v>
      </c>
      <c r="C15" s="11">
        <v>7636</v>
      </c>
      <c r="D15" s="11">
        <v>9129</v>
      </c>
      <c r="E15" s="11">
        <v>5718</v>
      </c>
      <c r="F15" s="11">
        <v>4665</v>
      </c>
      <c r="G15" s="11">
        <v>4492</v>
      </c>
      <c r="H15" s="11">
        <v>5091</v>
      </c>
      <c r="I15" s="11">
        <v>4712</v>
      </c>
    </row>
    <row r="16" spans="1:9" x14ac:dyDescent="0.25">
      <c r="A16" s="11" t="s">
        <v>15</v>
      </c>
      <c r="B16" s="10" t="s">
        <v>0</v>
      </c>
      <c r="C16" s="11">
        <v>16500</v>
      </c>
      <c r="D16" s="11">
        <v>27361</v>
      </c>
      <c r="E16" s="11">
        <v>26410</v>
      </c>
      <c r="F16" s="11">
        <v>23469</v>
      </c>
      <c r="G16" s="11">
        <v>24006</v>
      </c>
      <c r="H16" s="11">
        <v>24410</v>
      </c>
      <c r="I16" s="11">
        <v>18952</v>
      </c>
    </row>
    <row r="17" spans="1:9" x14ac:dyDescent="0.25">
      <c r="A17" s="11" t="s">
        <v>16</v>
      </c>
      <c r="B17" s="10" t="s">
        <v>0</v>
      </c>
      <c r="C17" s="11">
        <v>304</v>
      </c>
      <c r="D17" s="11">
        <v>644</v>
      </c>
      <c r="E17" s="11">
        <v>590</v>
      </c>
      <c r="F17" s="11">
        <v>598</v>
      </c>
      <c r="G17" s="11">
        <v>724</v>
      </c>
      <c r="H17" s="11">
        <v>1150</v>
      </c>
      <c r="I17" s="11">
        <v>1032</v>
      </c>
    </row>
    <row r="18" spans="1:9" x14ac:dyDescent="0.25">
      <c r="A18" s="11" t="s">
        <v>17</v>
      </c>
      <c r="B18" s="10" t="s">
        <v>0</v>
      </c>
      <c r="C18" s="11">
        <v>692</v>
      </c>
      <c r="D18" s="11">
        <v>1360</v>
      </c>
      <c r="E18" s="11">
        <v>1461</v>
      </c>
      <c r="F18" s="11">
        <v>1517</v>
      </c>
      <c r="G18" s="11">
        <v>1947</v>
      </c>
      <c r="H18" s="11">
        <v>2565</v>
      </c>
      <c r="I18" s="11">
        <v>2480</v>
      </c>
    </row>
    <row r="19" spans="1:9" x14ac:dyDescent="0.25">
      <c r="A19" s="11" t="s">
        <v>18</v>
      </c>
      <c r="B19" s="10" t="s">
        <v>0</v>
      </c>
      <c r="C19" s="11">
        <v>383</v>
      </c>
      <c r="D19" s="11">
        <v>853</v>
      </c>
      <c r="E19" s="11">
        <v>784</v>
      </c>
      <c r="F19" s="11">
        <v>747</v>
      </c>
      <c r="G19" s="11">
        <v>898</v>
      </c>
      <c r="H19" s="11">
        <v>1280</v>
      </c>
      <c r="I19" s="11">
        <v>1123</v>
      </c>
    </row>
    <row r="20" spans="1:9" x14ac:dyDescent="0.25">
      <c r="A20" s="11" t="s">
        <v>19</v>
      </c>
      <c r="B20" s="10" t="s">
        <v>0</v>
      </c>
      <c r="C20" s="11">
        <v>1192</v>
      </c>
      <c r="D20" s="11">
        <v>1753</v>
      </c>
      <c r="E20" s="11">
        <v>1663</v>
      </c>
      <c r="F20" s="11">
        <v>1485</v>
      </c>
      <c r="G20" s="11">
        <v>1595</v>
      </c>
      <c r="H20" s="11">
        <v>2198</v>
      </c>
      <c r="I20" s="11">
        <v>1906</v>
      </c>
    </row>
    <row r="21" spans="1:9" x14ac:dyDescent="0.25">
      <c r="A21" s="11" t="s">
        <v>20</v>
      </c>
      <c r="B21" s="10" t="s">
        <v>0</v>
      </c>
      <c r="C21" s="11">
        <v>1000</v>
      </c>
      <c r="D21" s="11">
        <v>1823</v>
      </c>
      <c r="E21" s="11">
        <v>1764</v>
      </c>
      <c r="F21" s="11">
        <v>1724</v>
      </c>
      <c r="G21" s="11">
        <v>2153</v>
      </c>
      <c r="H21" s="11">
        <v>3029</v>
      </c>
      <c r="I21" s="11">
        <v>2901</v>
      </c>
    </row>
    <row r="22" spans="1:9" x14ac:dyDescent="0.25">
      <c r="A22" s="11" t="s">
        <v>21</v>
      </c>
      <c r="B22" s="10" t="s">
        <v>0</v>
      </c>
      <c r="C22" s="11">
        <v>6302</v>
      </c>
      <c r="D22" s="11">
        <v>10406</v>
      </c>
      <c r="E22" s="11">
        <v>10895</v>
      </c>
      <c r="F22" s="11">
        <v>8760</v>
      </c>
      <c r="G22" s="11">
        <v>8016</v>
      </c>
      <c r="H22" s="11">
        <v>9049</v>
      </c>
      <c r="I22" s="11">
        <v>8378</v>
      </c>
    </row>
    <row r="23" spans="1:9" x14ac:dyDescent="0.25">
      <c r="A23" s="11" t="s">
        <v>22</v>
      </c>
      <c r="B23" s="10" t="s">
        <v>0</v>
      </c>
      <c r="C23" s="11">
        <v>7411</v>
      </c>
      <c r="D23" s="11">
        <v>15718</v>
      </c>
      <c r="E23" s="11">
        <v>15308</v>
      </c>
      <c r="F23" s="11">
        <v>12911</v>
      </c>
      <c r="G23" s="11">
        <v>13003</v>
      </c>
      <c r="H23" s="11">
        <v>13170</v>
      </c>
      <c r="I23" s="11">
        <v>9228</v>
      </c>
    </row>
    <row r="24" spans="1:9" x14ac:dyDescent="0.25">
      <c r="A24" s="11" t="s">
        <v>23</v>
      </c>
      <c r="B24" s="10" t="s">
        <v>0</v>
      </c>
      <c r="C24" s="11">
        <v>19242</v>
      </c>
      <c r="D24" s="11">
        <v>35008</v>
      </c>
      <c r="E24" s="11">
        <v>38801</v>
      </c>
      <c r="F24" s="11">
        <v>30660</v>
      </c>
      <c r="G24" s="11">
        <v>29408</v>
      </c>
      <c r="H24" s="11">
        <v>29111</v>
      </c>
      <c r="I24" s="11">
        <v>20986</v>
      </c>
    </row>
    <row r="25" spans="1:9" x14ac:dyDescent="0.25">
      <c r="A25" s="11" t="s">
        <v>24</v>
      </c>
      <c r="B25" s="10" t="s">
        <v>0</v>
      </c>
      <c r="C25" s="11">
        <v>322</v>
      </c>
      <c r="D25" s="11">
        <v>595</v>
      </c>
      <c r="E25" s="11">
        <v>651</v>
      </c>
      <c r="F25" s="11">
        <v>643</v>
      </c>
      <c r="G25" s="11">
        <v>1001</v>
      </c>
      <c r="H25" s="11">
        <v>1311</v>
      </c>
      <c r="I25" s="11">
        <v>1238</v>
      </c>
    </row>
    <row r="26" spans="1:9" x14ac:dyDescent="0.25">
      <c r="A26" s="11" t="s">
        <v>25</v>
      </c>
      <c r="B26" s="10" t="s">
        <v>0</v>
      </c>
      <c r="C26" s="11">
        <v>5407</v>
      </c>
      <c r="D26" s="11">
        <v>11270</v>
      </c>
      <c r="E26" s="11">
        <v>11168</v>
      </c>
      <c r="F26" s="11">
        <v>10138</v>
      </c>
      <c r="G26" s="11">
        <v>11675</v>
      </c>
      <c r="H26" s="11">
        <v>14804</v>
      </c>
      <c r="I26" s="11">
        <v>11948</v>
      </c>
    </row>
    <row r="27" spans="1:9" x14ac:dyDescent="0.25">
      <c r="A27" s="11" t="s">
        <v>26</v>
      </c>
      <c r="B27" s="10" t="s">
        <v>0</v>
      </c>
      <c r="C27" s="11">
        <v>1328</v>
      </c>
      <c r="D27" s="11">
        <v>2922</v>
      </c>
      <c r="E27" s="11">
        <v>3476</v>
      </c>
      <c r="F27" s="11">
        <v>3831</v>
      </c>
      <c r="G27" s="11">
        <v>5002</v>
      </c>
      <c r="H27" s="11">
        <v>6850</v>
      </c>
      <c r="I27" s="11">
        <v>6007</v>
      </c>
    </row>
    <row r="28" spans="1:9" x14ac:dyDescent="0.25">
      <c r="A28" s="11" t="s">
        <v>27</v>
      </c>
      <c r="B28" s="10" t="s">
        <v>0</v>
      </c>
      <c r="C28" s="11">
        <v>18</v>
      </c>
      <c r="D28" s="11">
        <v>47</v>
      </c>
      <c r="E28" s="11">
        <v>57</v>
      </c>
      <c r="F28" s="11">
        <v>69</v>
      </c>
      <c r="G28" s="11">
        <v>148</v>
      </c>
      <c r="H28" s="11">
        <v>240</v>
      </c>
      <c r="I28" s="11">
        <v>208</v>
      </c>
    </row>
    <row r="29" spans="1:9" x14ac:dyDescent="0.25">
      <c r="A29" s="11" t="s">
        <v>28</v>
      </c>
      <c r="B29" s="10" t="s">
        <v>0</v>
      </c>
      <c r="C29" s="11">
        <v>2023</v>
      </c>
      <c r="D29" s="11">
        <v>3698</v>
      </c>
      <c r="E29" s="11">
        <v>3473</v>
      </c>
      <c r="F29" s="11">
        <v>3109</v>
      </c>
      <c r="G29" s="11">
        <v>3233</v>
      </c>
      <c r="H29" s="11">
        <v>3951</v>
      </c>
      <c r="I29" s="11">
        <v>4035</v>
      </c>
    </row>
    <row r="30" spans="1:9" x14ac:dyDescent="0.25">
      <c r="A30" s="11" t="s">
        <v>29</v>
      </c>
      <c r="B30" s="10" t="s">
        <v>0</v>
      </c>
      <c r="C30" s="11">
        <v>83</v>
      </c>
      <c r="D30" s="11">
        <v>140</v>
      </c>
      <c r="E30" s="11">
        <v>158</v>
      </c>
      <c r="F30" s="11">
        <v>175</v>
      </c>
      <c r="G30" s="11">
        <v>246</v>
      </c>
      <c r="H30" s="11">
        <v>285</v>
      </c>
      <c r="I30" s="11">
        <v>387</v>
      </c>
    </row>
    <row r="31" spans="1:9" x14ac:dyDescent="0.25">
      <c r="A31" s="11" t="s">
        <v>30</v>
      </c>
      <c r="B31" s="10" t="s">
        <v>0</v>
      </c>
      <c r="C31" s="11">
        <v>298</v>
      </c>
      <c r="D31" s="11">
        <v>667</v>
      </c>
      <c r="E31" s="11">
        <v>814</v>
      </c>
      <c r="F31" s="11">
        <v>944</v>
      </c>
      <c r="G31" s="11">
        <v>1271</v>
      </c>
      <c r="H31" s="11">
        <v>1815</v>
      </c>
      <c r="I31" s="11">
        <v>1531</v>
      </c>
    </row>
    <row r="32" spans="1:9" x14ac:dyDescent="0.25">
      <c r="A32" s="11" t="s">
        <v>31</v>
      </c>
      <c r="B32" s="10" t="s">
        <v>0</v>
      </c>
      <c r="C32" s="11">
        <v>593</v>
      </c>
      <c r="D32" s="11">
        <v>859</v>
      </c>
      <c r="E32" s="11">
        <v>602</v>
      </c>
      <c r="F32" s="11">
        <v>706</v>
      </c>
      <c r="G32" s="11">
        <v>860</v>
      </c>
      <c r="H32" s="11">
        <v>1203</v>
      </c>
      <c r="I32" s="11">
        <v>1186</v>
      </c>
    </row>
    <row r="33" spans="1:9" x14ac:dyDescent="0.25">
      <c r="A33" s="11" t="s">
        <v>32</v>
      </c>
      <c r="B33" s="10" t="s">
        <v>0</v>
      </c>
      <c r="C33" s="11">
        <v>1253</v>
      </c>
      <c r="D33" s="11">
        <v>1832</v>
      </c>
      <c r="E33" s="11">
        <v>1515</v>
      </c>
      <c r="F33" s="11">
        <v>1515</v>
      </c>
      <c r="G33" s="11">
        <v>2063</v>
      </c>
      <c r="H33" s="11">
        <v>3008</v>
      </c>
      <c r="I33" s="11">
        <v>2670</v>
      </c>
    </row>
    <row r="34" spans="1:9" x14ac:dyDescent="0.25">
      <c r="A34" s="11" t="s">
        <v>33</v>
      </c>
      <c r="B34" s="10" t="s">
        <v>0</v>
      </c>
      <c r="C34" s="11">
        <v>347</v>
      </c>
      <c r="D34" s="11">
        <v>616</v>
      </c>
      <c r="E34" s="11">
        <v>669</v>
      </c>
      <c r="F34" s="11">
        <v>665</v>
      </c>
      <c r="G34" s="11">
        <v>787</v>
      </c>
      <c r="H34" s="11">
        <v>1258</v>
      </c>
      <c r="I34" s="11">
        <v>1078</v>
      </c>
    </row>
    <row r="35" spans="1:9" x14ac:dyDescent="0.25">
      <c r="A35" s="11" t="s">
        <v>34</v>
      </c>
      <c r="B35" s="10" t="s">
        <v>0</v>
      </c>
      <c r="C35" s="11">
        <v>138</v>
      </c>
      <c r="D35" s="11">
        <v>247</v>
      </c>
      <c r="E35" s="11">
        <v>297</v>
      </c>
      <c r="F35" s="11">
        <v>322</v>
      </c>
      <c r="G35" s="11">
        <v>406</v>
      </c>
      <c r="H35" s="11">
        <v>590</v>
      </c>
      <c r="I35" s="11">
        <v>537</v>
      </c>
    </row>
    <row r="36" spans="1:9" x14ac:dyDescent="0.25">
      <c r="A36" s="11" t="s">
        <v>35</v>
      </c>
      <c r="B36" s="10" t="s">
        <v>0</v>
      </c>
      <c r="C36" s="11">
        <v>5222</v>
      </c>
      <c r="D36" s="11">
        <v>10685</v>
      </c>
      <c r="E36" s="11">
        <v>11793</v>
      </c>
      <c r="F36" s="11">
        <v>10287</v>
      </c>
      <c r="G36" s="11">
        <v>12532</v>
      </c>
      <c r="H36" s="11">
        <v>14035</v>
      </c>
      <c r="I36" s="11">
        <v>12306</v>
      </c>
    </row>
    <row r="37" spans="1:9" x14ac:dyDescent="0.25">
      <c r="A37" s="11" t="s">
        <v>36</v>
      </c>
      <c r="B37" s="10" t="s">
        <v>0</v>
      </c>
      <c r="C37" s="11">
        <v>9739</v>
      </c>
      <c r="D37" s="11">
        <v>20160</v>
      </c>
      <c r="E37" s="11">
        <v>19676</v>
      </c>
      <c r="F37" s="11">
        <v>15335</v>
      </c>
      <c r="G37" s="11">
        <v>15258</v>
      </c>
      <c r="H37" s="11">
        <v>17445</v>
      </c>
      <c r="I37" s="11">
        <v>15555</v>
      </c>
    </row>
    <row r="38" spans="1:9" x14ac:dyDescent="0.25">
      <c r="A38" s="11" t="s">
        <v>37</v>
      </c>
      <c r="B38" s="10" t="s">
        <v>0</v>
      </c>
      <c r="C38" s="11">
        <v>1154</v>
      </c>
      <c r="D38" s="11">
        <v>2392</v>
      </c>
      <c r="E38" s="11">
        <v>2494</v>
      </c>
      <c r="F38" s="11">
        <v>2473</v>
      </c>
      <c r="G38" s="11">
        <v>3221</v>
      </c>
      <c r="H38" s="11">
        <v>4190</v>
      </c>
      <c r="I38" s="11">
        <v>3730</v>
      </c>
    </row>
    <row r="39" spans="1:9" x14ac:dyDescent="0.25">
      <c r="A39" s="11" t="s">
        <v>38</v>
      </c>
      <c r="B39" s="10" t="s">
        <v>0</v>
      </c>
      <c r="C39" s="11">
        <v>2084</v>
      </c>
      <c r="D39" s="11">
        <v>3721</v>
      </c>
      <c r="E39" s="11">
        <v>4039</v>
      </c>
      <c r="F39" s="11">
        <v>3668</v>
      </c>
      <c r="G39" s="11">
        <v>3850</v>
      </c>
      <c r="H39" s="11">
        <v>4218</v>
      </c>
      <c r="I39" s="11">
        <v>3886</v>
      </c>
    </row>
    <row r="40" spans="1:9" x14ac:dyDescent="0.25">
      <c r="A40" s="11" t="s">
        <v>39</v>
      </c>
      <c r="B40" s="10" t="s">
        <v>0</v>
      </c>
      <c r="C40" s="11">
        <v>9313</v>
      </c>
      <c r="D40" s="11">
        <v>18375</v>
      </c>
      <c r="E40" s="11">
        <v>18698</v>
      </c>
      <c r="F40" s="11">
        <v>16828</v>
      </c>
      <c r="G40" s="11">
        <v>17027</v>
      </c>
      <c r="H40" s="11">
        <v>17482</v>
      </c>
      <c r="I40" s="11">
        <v>14159</v>
      </c>
    </row>
    <row r="41" spans="1:9" x14ac:dyDescent="0.25">
      <c r="A41" s="11" t="s">
        <v>40</v>
      </c>
      <c r="B41" s="10" t="s">
        <v>0</v>
      </c>
      <c r="C41" s="11">
        <v>6148</v>
      </c>
      <c r="D41" s="11">
        <v>12281</v>
      </c>
      <c r="E41" s="11">
        <v>13373</v>
      </c>
      <c r="F41" s="11">
        <v>11990</v>
      </c>
      <c r="G41" s="11">
        <v>13795</v>
      </c>
      <c r="H41" s="11">
        <v>15027</v>
      </c>
      <c r="I41" s="11">
        <v>12957</v>
      </c>
    </row>
    <row r="42" spans="1:9" x14ac:dyDescent="0.25">
      <c r="A42" s="11" t="s">
        <v>41</v>
      </c>
      <c r="B42" s="10" t="s">
        <v>0</v>
      </c>
      <c r="C42" s="11">
        <v>1421</v>
      </c>
      <c r="D42" s="11">
        <v>2896</v>
      </c>
      <c r="E42" s="11">
        <v>2837</v>
      </c>
      <c r="F42" s="11">
        <v>2335</v>
      </c>
      <c r="G42" s="11">
        <v>2571</v>
      </c>
      <c r="H42" s="11">
        <v>3369</v>
      </c>
      <c r="I42" s="11">
        <v>2783</v>
      </c>
    </row>
    <row r="43" spans="1:9" x14ac:dyDescent="0.25">
      <c r="A43" s="11" t="s">
        <v>42</v>
      </c>
      <c r="B43" s="10" t="s">
        <v>0</v>
      </c>
      <c r="C43" s="11">
        <v>373</v>
      </c>
      <c r="D43" s="11">
        <v>752</v>
      </c>
      <c r="E43" s="11">
        <v>693</v>
      </c>
      <c r="F43" s="11">
        <v>653</v>
      </c>
      <c r="G43" s="11">
        <v>779</v>
      </c>
      <c r="H43" s="11">
        <v>1114</v>
      </c>
      <c r="I43" s="11">
        <v>951</v>
      </c>
    </row>
    <row r="44" spans="1:9" x14ac:dyDescent="0.25">
      <c r="A44" s="11" t="s">
        <v>43</v>
      </c>
      <c r="B44" s="10" t="s">
        <v>0</v>
      </c>
      <c r="C44" s="11">
        <v>1381</v>
      </c>
      <c r="D44" s="11">
        <v>2669</v>
      </c>
      <c r="E44" s="11">
        <v>2960</v>
      </c>
      <c r="F44" s="11">
        <v>2769</v>
      </c>
      <c r="G44" s="11">
        <v>3656</v>
      </c>
      <c r="H44" s="11">
        <v>5231</v>
      </c>
      <c r="I44" s="11">
        <v>4465</v>
      </c>
    </row>
    <row r="45" spans="1:9" x14ac:dyDescent="0.25">
      <c r="A45" s="11" t="s">
        <v>44</v>
      </c>
      <c r="B45" s="10" t="s">
        <v>0</v>
      </c>
      <c r="C45" s="11">
        <v>307</v>
      </c>
      <c r="D45" s="11">
        <v>689</v>
      </c>
      <c r="E45" s="11">
        <v>768</v>
      </c>
      <c r="F45" s="11">
        <v>703</v>
      </c>
      <c r="G45" s="11">
        <v>796</v>
      </c>
      <c r="H45" s="11">
        <v>1012</v>
      </c>
      <c r="I45" s="11">
        <v>1110</v>
      </c>
    </row>
    <row r="46" spans="1:9" x14ac:dyDescent="0.25">
      <c r="A46" s="11" t="s">
        <v>45</v>
      </c>
      <c r="B46" s="10" t="s">
        <v>0</v>
      </c>
      <c r="C46" s="11">
        <v>4129</v>
      </c>
      <c r="D46" s="11">
        <v>7348</v>
      </c>
      <c r="E46" s="11">
        <v>6763</v>
      </c>
      <c r="F46" s="11">
        <v>6921</v>
      </c>
      <c r="G46" s="11">
        <v>9091</v>
      </c>
      <c r="H46" s="11">
        <v>8817</v>
      </c>
      <c r="I46" s="11">
        <v>5575</v>
      </c>
    </row>
    <row r="47" spans="1:9" x14ac:dyDescent="0.25">
      <c r="A47" s="11" t="s">
        <v>46</v>
      </c>
      <c r="B47" s="10" t="s">
        <v>0</v>
      </c>
      <c r="C47" s="11">
        <v>26828</v>
      </c>
      <c r="D47" s="11">
        <v>49229</v>
      </c>
      <c r="E47" s="11">
        <v>54085</v>
      </c>
      <c r="F47" s="11">
        <v>45615</v>
      </c>
      <c r="G47" s="11">
        <v>44570</v>
      </c>
      <c r="H47" s="11">
        <v>46428</v>
      </c>
      <c r="I47" s="11">
        <v>39029</v>
      </c>
    </row>
    <row r="48" spans="1:9" x14ac:dyDescent="0.25">
      <c r="A48" s="11" t="s">
        <v>47</v>
      </c>
      <c r="B48" s="10" t="s">
        <v>0</v>
      </c>
      <c r="C48" s="11">
        <v>238</v>
      </c>
      <c r="D48" s="11">
        <v>592</v>
      </c>
      <c r="E48" s="11">
        <v>632</v>
      </c>
      <c r="F48" s="11">
        <v>450</v>
      </c>
      <c r="G48" s="11">
        <v>503</v>
      </c>
      <c r="H48" s="11">
        <v>711</v>
      </c>
      <c r="I48" s="11">
        <v>646</v>
      </c>
    </row>
    <row r="49" spans="1:9" x14ac:dyDescent="0.25">
      <c r="A49" s="11" t="s">
        <v>48</v>
      </c>
      <c r="B49" s="10" t="s">
        <v>0</v>
      </c>
      <c r="C49" s="11">
        <v>10001</v>
      </c>
      <c r="D49" s="11">
        <v>15273</v>
      </c>
      <c r="E49" s="11">
        <v>14420</v>
      </c>
      <c r="F49" s="11">
        <v>12991</v>
      </c>
      <c r="G49" s="11">
        <v>14265</v>
      </c>
      <c r="H49" s="11">
        <v>15804</v>
      </c>
      <c r="I49" s="11">
        <v>13539</v>
      </c>
    </row>
    <row r="50" spans="1:9" x14ac:dyDescent="0.25">
      <c r="A50" s="11" t="s">
        <v>49</v>
      </c>
      <c r="B50" s="10" t="s">
        <v>0</v>
      </c>
      <c r="C50" s="11">
        <v>854</v>
      </c>
      <c r="D50" s="11">
        <v>1917</v>
      </c>
      <c r="E50" s="11">
        <v>2208</v>
      </c>
      <c r="F50" s="11">
        <v>2066</v>
      </c>
      <c r="G50" s="11">
        <v>2344</v>
      </c>
      <c r="H50" s="11">
        <v>3170</v>
      </c>
      <c r="I50" s="11">
        <v>2756</v>
      </c>
    </row>
    <row r="51" spans="1:9" x14ac:dyDescent="0.25">
      <c r="A51" s="11" t="s">
        <v>50</v>
      </c>
      <c r="B51" s="10" t="s">
        <v>0</v>
      </c>
      <c r="C51" s="11">
        <v>465</v>
      </c>
      <c r="D51" s="11">
        <v>827</v>
      </c>
      <c r="E51" s="11">
        <v>889</v>
      </c>
      <c r="F51" s="11">
        <v>840</v>
      </c>
      <c r="G51" s="11">
        <v>944</v>
      </c>
      <c r="H51" s="11">
        <v>1106</v>
      </c>
      <c r="I51" s="11">
        <v>950</v>
      </c>
    </row>
    <row r="52" spans="1:9" x14ac:dyDescent="0.25">
      <c r="A52" s="11" t="s">
        <v>51</v>
      </c>
      <c r="B52" s="10" t="s">
        <v>0</v>
      </c>
      <c r="C52" s="11">
        <v>62202</v>
      </c>
      <c r="D52" s="11">
        <v>177670</v>
      </c>
      <c r="E52" s="11">
        <v>156908</v>
      </c>
      <c r="F52" s="11">
        <v>103222</v>
      </c>
      <c r="G52" s="11">
        <v>108760</v>
      </c>
      <c r="H52" s="11">
        <v>99008</v>
      </c>
      <c r="I52" s="11">
        <v>72269</v>
      </c>
    </row>
    <row r="53" spans="1:9" x14ac:dyDescent="0.25">
      <c r="A53" s="11" t="s">
        <v>52</v>
      </c>
      <c r="B53" s="10" t="s">
        <v>0</v>
      </c>
      <c r="C53" s="11">
        <v>962</v>
      </c>
      <c r="D53" s="11">
        <v>1787</v>
      </c>
      <c r="E53" s="11">
        <v>1720</v>
      </c>
      <c r="F53" s="11">
        <v>1782</v>
      </c>
      <c r="G53" s="11">
        <v>2479</v>
      </c>
      <c r="H53" s="11">
        <v>2819</v>
      </c>
      <c r="I53" s="11">
        <v>2076</v>
      </c>
    </row>
    <row r="54" spans="1:9" x14ac:dyDescent="0.25">
      <c r="A54" s="11" t="s">
        <v>53</v>
      </c>
      <c r="B54" s="10" t="s">
        <v>0</v>
      </c>
      <c r="C54" s="11">
        <v>108</v>
      </c>
      <c r="D54" s="11">
        <v>139</v>
      </c>
      <c r="E54" s="11">
        <v>203</v>
      </c>
      <c r="F54" s="11">
        <v>204</v>
      </c>
      <c r="G54" s="11">
        <v>285</v>
      </c>
      <c r="H54" s="11">
        <v>419</v>
      </c>
      <c r="I54" s="11">
        <v>373</v>
      </c>
    </row>
    <row r="55" spans="1:9" x14ac:dyDescent="0.25">
      <c r="A55" s="11" t="s">
        <v>54</v>
      </c>
      <c r="B55" s="10" t="s">
        <v>0</v>
      </c>
      <c r="C55" s="11">
        <v>1526</v>
      </c>
      <c r="D55" s="11">
        <v>3305</v>
      </c>
      <c r="E55" s="11">
        <v>3666</v>
      </c>
      <c r="F55" s="11">
        <v>3519</v>
      </c>
      <c r="G55" s="11">
        <v>4155</v>
      </c>
      <c r="H55" s="11">
        <v>5069</v>
      </c>
      <c r="I55" s="11">
        <v>4134</v>
      </c>
    </row>
    <row r="56" spans="1:9" x14ac:dyDescent="0.25">
      <c r="A56" s="11" t="s">
        <v>55</v>
      </c>
      <c r="B56" s="10" t="s">
        <v>0</v>
      </c>
      <c r="C56" s="11">
        <v>595</v>
      </c>
      <c r="D56" s="11">
        <v>710</v>
      </c>
      <c r="E56" s="11">
        <v>643</v>
      </c>
      <c r="F56" s="11">
        <v>593</v>
      </c>
      <c r="G56" s="11">
        <v>679</v>
      </c>
      <c r="H56" s="11">
        <v>851</v>
      </c>
      <c r="I56" s="11">
        <v>817</v>
      </c>
    </row>
    <row r="57" spans="1:9" x14ac:dyDescent="0.25">
      <c r="A57" s="11" t="s">
        <v>56</v>
      </c>
      <c r="B57" s="10" t="s">
        <v>0</v>
      </c>
      <c r="C57" s="11">
        <v>485</v>
      </c>
      <c r="D57" s="11">
        <v>1048</v>
      </c>
      <c r="E57" s="11">
        <v>1324</v>
      </c>
      <c r="F57" s="11">
        <v>1248</v>
      </c>
      <c r="G57" s="11">
        <v>1622</v>
      </c>
      <c r="H57" s="11">
        <v>2446</v>
      </c>
      <c r="I57" s="11">
        <v>2309</v>
      </c>
    </row>
    <row r="58" spans="1:9" x14ac:dyDescent="0.25">
      <c r="A58" s="11" t="s">
        <v>57</v>
      </c>
      <c r="B58" s="10" t="s">
        <v>0</v>
      </c>
      <c r="C58" s="11">
        <v>44</v>
      </c>
      <c r="D58" s="11">
        <v>82</v>
      </c>
      <c r="E58" s="11">
        <v>98</v>
      </c>
      <c r="F58" s="11">
        <v>105</v>
      </c>
      <c r="G58" s="11">
        <v>166</v>
      </c>
      <c r="H58" s="11">
        <v>304</v>
      </c>
      <c r="I58" s="11">
        <v>268</v>
      </c>
    </row>
    <row r="59" spans="1:9" x14ac:dyDescent="0.25">
      <c r="A59" s="11" t="s">
        <v>58</v>
      </c>
      <c r="B59" s="10" t="s">
        <v>0</v>
      </c>
      <c r="C59" s="11">
        <v>356</v>
      </c>
      <c r="D59" s="11">
        <v>698</v>
      </c>
      <c r="E59" s="11">
        <v>757</v>
      </c>
      <c r="F59" s="11">
        <v>739</v>
      </c>
      <c r="G59" s="11">
        <v>1018</v>
      </c>
      <c r="H59" s="11">
        <v>1354</v>
      </c>
      <c r="I59" s="11">
        <v>1213</v>
      </c>
    </row>
    <row r="60" spans="1:9" x14ac:dyDescent="0.25">
      <c r="A60" s="11" t="s">
        <v>59</v>
      </c>
      <c r="B60" s="10" t="s">
        <v>0</v>
      </c>
      <c r="C60" s="11">
        <v>384</v>
      </c>
      <c r="D60" s="11">
        <v>608</v>
      </c>
      <c r="E60" s="11">
        <v>616</v>
      </c>
      <c r="F60" s="11">
        <v>611</v>
      </c>
      <c r="G60" s="11">
        <v>741</v>
      </c>
      <c r="H60" s="11">
        <v>1031</v>
      </c>
      <c r="I60" s="11">
        <v>937</v>
      </c>
    </row>
    <row r="61" spans="1:9" x14ac:dyDescent="0.25">
      <c r="A61" s="11" t="s">
        <v>60</v>
      </c>
      <c r="B61" s="10" t="s">
        <v>0</v>
      </c>
      <c r="C61" s="11">
        <v>1503</v>
      </c>
      <c r="D61" s="11">
        <v>1406</v>
      </c>
      <c r="E61" s="11">
        <v>1032</v>
      </c>
      <c r="F61" s="11">
        <v>860</v>
      </c>
      <c r="G61" s="11">
        <v>894</v>
      </c>
      <c r="H61" s="11">
        <v>1070</v>
      </c>
      <c r="I61" s="11">
        <v>1100</v>
      </c>
    </row>
    <row r="62" spans="1:9" x14ac:dyDescent="0.25">
      <c r="A62" s="11" t="s">
        <v>61</v>
      </c>
      <c r="B62" s="10" t="s">
        <v>0</v>
      </c>
      <c r="C62" s="11">
        <v>493</v>
      </c>
      <c r="D62" s="11">
        <v>880</v>
      </c>
      <c r="E62" s="11">
        <v>1018</v>
      </c>
      <c r="F62" s="11">
        <v>962</v>
      </c>
      <c r="G62" s="11">
        <v>1176</v>
      </c>
      <c r="H62" s="11">
        <v>1920</v>
      </c>
      <c r="I62" s="11">
        <v>1577</v>
      </c>
    </row>
    <row r="63" spans="1:9" x14ac:dyDescent="0.25">
      <c r="A63" s="11" t="s">
        <v>62</v>
      </c>
      <c r="B63" s="10" t="s">
        <v>0</v>
      </c>
      <c r="C63" s="11">
        <v>377</v>
      </c>
      <c r="D63" s="11">
        <v>646</v>
      </c>
      <c r="E63" s="11">
        <v>768</v>
      </c>
      <c r="F63" s="11">
        <v>711</v>
      </c>
      <c r="G63" s="11">
        <v>1050</v>
      </c>
      <c r="H63" s="11">
        <v>1475</v>
      </c>
      <c r="I63" s="11">
        <v>1313</v>
      </c>
    </row>
    <row r="64" spans="1:9" x14ac:dyDescent="0.25">
      <c r="A64" s="11" t="s">
        <v>63</v>
      </c>
      <c r="B64" s="10" t="s">
        <v>0</v>
      </c>
      <c r="C64" s="11">
        <v>3055</v>
      </c>
      <c r="D64" s="11">
        <v>5900</v>
      </c>
      <c r="E64" s="11">
        <v>7058</v>
      </c>
      <c r="F64" s="11">
        <v>6600</v>
      </c>
      <c r="G64" s="11">
        <v>8461</v>
      </c>
      <c r="H64" s="11">
        <v>11418</v>
      </c>
      <c r="I64" s="11">
        <v>10081</v>
      </c>
    </row>
    <row r="65" spans="1:9" x14ac:dyDescent="0.25">
      <c r="A65" s="11" t="s">
        <v>64</v>
      </c>
      <c r="B65" s="10" t="s">
        <v>0</v>
      </c>
      <c r="C65" s="11">
        <v>501</v>
      </c>
      <c r="D65" s="11">
        <v>1019</v>
      </c>
      <c r="E65" s="11">
        <v>1190</v>
      </c>
      <c r="F65" s="11">
        <v>1090</v>
      </c>
      <c r="G65" s="11">
        <v>1428</v>
      </c>
      <c r="H65" s="11">
        <v>1907</v>
      </c>
      <c r="I65" s="11">
        <v>1578</v>
      </c>
    </row>
    <row r="66" spans="1:9" x14ac:dyDescent="0.25">
      <c r="A66" s="11" t="s">
        <v>65</v>
      </c>
      <c r="B66" s="10" t="s">
        <v>0</v>
      </c>
      <c r="C66" s="11">
        <v>5196</v>
      </c>
      <c r="D66" s="11">
        <v>9995</v>
      </c>
      <c r="E66" s="11">
        <v>11307</v>
      </c>
      <c r="F66" s="11">
        <v>10543</v>
      </c>
      <c r="G66" s="11">
        <v>13524</v>
      </c>
      <c r="H66" s="11">
        <v>18809</v>
      </c>
      <c r="I66" s="11">
        <v>17322</v>
      </c>
    </row>
    <row r="67" spans="1:9" x14ac:dyDescent="0.25">
      <c r="A67" s="11" t="s">
        <v>66</v>
      </c>
      <c r="B67" s="10" t="s">
        <v>0</v>
      </c>
      <c r="C67" s="11">
        <v>324</v>
      </c>
      <c r="D67" s="11">
        <v>622</v>
      </c>
      <c r="E67" s="11">
        <v>655</v>
      </c>
      <c r="F67" s="11">
        <v>604</v>
      </c>
      <c r="G67" s="11">
        <v>769</v>
      </c>
      <c r="H67" s="11">
        <v>962</v>
      </c>
      <c r="I67" s="11">
        <v>758</v>
      </c>
    </row>
    <row r="68" spans="1:9" ht="13.8" thickBot="1" x14ac:dyDescent="0.3">
      <c r="A68" s="13" t="s">
        <v>67</v>
      </c>
      <c r="B68" s="12" t="s">
        <v>0</v>
      </c>
      <c r="C68" s="11">
        <v>8150</v>
      </c>
      <c r="D68" s="11">
        <v>15246</v>
      </c>
      <c r="E68" s="11">
        <v>15905</v>
      </c>
      <c r="F68" s="11">
        <v>14187</v>
      </c>
      <c r="G68" s="11">
        <v>14416</v>
      </c>
      <c r="H68" s="11">
        <v>15498</v>
      </c>
      <c r="I68" s="11">
        <v>13263</v>
      </c>
    </row>
    <row r="69" spans="1:9" x14ac:dyDescent="0.25">
      <c r="A69" s="32" t="s">
        <v>68</v>
      </c>
      <c r="C69" s="14">
        <f>SUM(C2:C68)</f>
        <v>317512</v>
      </c>
      <c r="D69" s="14">
        <f>SUM(D2:D68)</f>
        <v>661834</v>
      </c>
      <c r="E69" s="14">
        <f t="shared" ref="E69:I69" si="0">SUM(E2:E68)</f>
        <v>650006</v>
      </c>
      <c r="F69" s="14">
        <f t="shared" si="0"/>
        <v>522838</v>
      </c>
      <c r="G69" s="14">
        <f t="shared" si="0"/>
        <v>564120</v>
      </c>
      <c r="H69" s="14">
        <f t="shared" si="0"/>
        <v>623384</v>
      </c>
      <c r="I69" s="14">
        <f t="shared" si="0"/>
        <v>510938</v>
      </c>
    </row>
    <row r="70" spans="1:9" x14ac:dyDescent="0.25">
      <c r="C70" s="17">
        <f>C69/$C$73</f>
        <v>8.2457113533570589E-2</v>
      </c>
      <c r="D70" s="17">
        <f t="shared" ref="D70:I70" si="1">D69/$C$73</f>
        <v>0.17187672049679117</v>
      </c>
      <c r="E70" s="17">
        <f t="shared" si="1"/>
        <v>0.1688050169426733</v>
      </c>
      <c r="F70" s="17">
        <f t="shared" si="1"/>
        <v>0.13577978887621564</v>
      </c>
      <c r="G70" s="17">
        <f t="shared" si="1"/>
        <v>0.14650062639068082</v>
      </c>
      <c r="H70" s="17">
        <f t="shared" si="1"/>
        <v>0.16189134666724839</v>
      </c>
      <c r="I70" s="17">
        <f t="shared" si="1"/>
        <v>0.13268938709282008</v>
      </c>
    </row>
    <row r="73" spans="1:9" x14ac:dyDescent="0.25">
      <c r="A73" s="32" t="s">
        <v>80</v>
      </c>
      <c r="C73" s="16">
        <f>SUM(C69:I69)</f>
        <v>3850632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22" sqref="M22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2728</v>
      </c>
      <c r="D2" s="52">
        <v>5197</v>
      </c>
      <c r="E2" s="52">
        <v>5991</v>
      </c>
      <c r="F2" s="52">
        <v>5993</v>
      </c>
      <c r="G2" s="52">
        <v>9177</v>
      </c>
      <c r="H2" s="52">
        <v>8571</v>
      </c>
      <c r="I2" s="52">
        <v>6361</v>
      </c>
      <c r="J2" s="10"/>
    </row>
    <row r="3" spans="1:10" x14ac:dyDescent="0.25">
      <c r="A3" s="11" t="s">
        <v>2</v>
      </c>
      <c r="B3" s="10" t="s">
        <v>70</v>
      </c>
      <c r="C3" s="52">
        <v>18451</v>
      </c>
      <c r="D3" s="52">
        <v>38729</v>
      </c>
      <c r="E3" s="52">
        <v>38971</v>
      </c>
      <c r="F3" s="52">
        <v>36636</v>
      </c>
      <c r="G3" s="52">
        <v>47751</v>
      </c>
      <c r="H3" s="52">
        <v>46805</v>
      </c>
      <c r="I3" s="52">
        <v>35595</v>
      </c>
    </row>
    <row r="4" spans="1:10" x14ac:dyDescent="0.25">
      <c r="A4" s="11" t="s">
        <v>3</v>
      </c>
      <c r="B4" s="10" t="s">
        <v>70</v>
      </c>
      <c r="C4" s="52">
        <v>1958</v>
      </c>
      <c r="D4" s="52">
        <v>3431</v>
      </c>
      <c r="E4" s="52">
        <v>3895</v>
      </c>
      <c r="F4" s="52">
        <v>4193</v>
      </c>
      <c r="G4" s="52">
        <v>5261</v>
      </c>
      <c r="H4" s="52">
        <v>5101</v>
      </c>
      <c r="I4" s="52">
        <v>3814</v>
      </c>
    </row>
    <row r="5" spans="1:10" x14ac:dyDescent="0.25">
      <c r="A5" s="11" t="s">
        <v>4</v>
      </c>
      <c r="B5" s="10" t="s">
        <v>70</v>
      </c>
      <c r="C5" s="52">
        <v>3350</v>
      </c>
      <c r="D5" s="52">
        <v>6707</v>
      </c>
      <c r="E5" s="52">
        <v>7900</v>
      </c>
      <c r="F5" s="52">
        <v>7703</v>
      </c>
      <c r="G5" s="52">
        <v>9994</v>
      </c>
      <c r="H5" s="52">
        <v>9505</v>
      </c>
      <c r="I5" s="52">
        <v>6711</v>
      </c>
    </row>
    <row r="6" spans="1:10" x14ac:dyDescent="0.25">
      <c r="A6" s="11" t="s">
        <v>5</v>
      </c>
      <c r="B6" s="10" t="s">
        <v>70</v>
      </c>
      <c r="C6" s="52">
        <v>1630</v>
      </c>
      <c r="D6" s="52">
        <v>3071</v>
      </c>
      <c r="E6" s="52">
        <v>3271</v>
      </c>
      <c r="F6" s="52">
        <v>3605</v>
      </c>
      <c r="G6" s="52">
        <v>4740</v>
      </c>
      <c r="H6" s="52">
        <v>4746</v>
      </c>
      <c r="I6" s="52">
        <v>3516</v>
      </c>
    </row>
    <row r="7" spans="1:10" x14ac:dyDescent="0.25">
      <c r="A7" s="11" t="s">
        <v>6</v>
      </c>
      <c r="B7" s="10" t="s">
        <v>70</v>
      </c>
      <c r="C7" s="52">
        <v>7979</v>
      </c>
      <c r="D7" s="52">
        <v>14603</v>
      </c>
      <c r="E7" s="52">
        <v>16796</v>
      </c>
      <c r="F7" s="52">
        <v>17424</v>
      </c>
      <c r="G7" s="52">
        <v>23822</v>
      </c>
      <c r="H7" s="52">
        <v>20860</v>
      </c>
      <c r="I7" s="52">
        <v>16456</v>
      </c>
    </row>
    <row r="8" spans="1:10" x14ac:dyDescent="0.25">
      <c r="A8" s="11" t="s">
        <v>7</v>
      </c>
      <c r="B8" s="10" t="s">
        <v>70</v>
      </c>
      <c r="C8" s="52">
        <v>3477</v>
      </c>
      <c r="D8" s="52">
        <v>5856</v>
      </c>
      <c r="E8" s="52">
        <v>6871</v>
      </c>
      <c r="F8" s="52">
        <v>7691</v>
      </c>
      <c r="G8" s="52">
        <v>9451</v>
      </c>
      <c r="H8" s="52">
        <v>9317</v>
      </c>
      <c r="I8" s="52">
        <v>7914</v>
      </c>
    </row>
    <row r="9" spans="1:10" x14ac:dyDescent="0.25">
      <c r="A9" s="11" t="s">
        <v>8</v>
      </c>
      <c r="B9" s="10" t="s">
        <v>70</v>
      </c>
      <c r="C9" s="52">
        <v>1822</v>
      </c>
      <c r="D9" s="52">
        <v>3152</v>
      </c>
      <c r="E9" s="52">
        <v>3615</v>
      </c>
      <c r="F9" s="52">
        <v>3637</v>
      </c>
      <c r="G9" s="52">
        <v>4984</v>
      </c>
      <c r="H9" s="52">
        <v>4640</v>
      </c>
      <c r="I9" s="52">
        <v>3795</v>
      </c>
    </row>
    <row r="10" spans="1:10" x14ac:dyDescent="0.25">
      <c r="A10" s="11" t="s">
        <v>9</v>
      </c>
      <c r="B10" s="10" t="s">
        <v>70</v>
      </c>
      <c r="C10" s="52">
        <v>13778</v>
      </c>
      <c r="D10" s="52">
        <v>24235</v>
      </c>
      <c r="E10" s="52">
        <v>26339</v>
      </c>
      <c r="F10" s="52">
        <v>28500</v>
      </c>
      <c r="G10" s="52">
        <v>41755</v>
      </c>
      <c r="H10" s="52">
        <v>37672</v>
      </c>
      <c r="I10" s="52">
        <v>29406</v>
      </c>
    </row>
    <row r="11" spans="1:10" x14ac:dyDescent="0.25">
      <c r="A11" s="11" t="s">
        <v>10</v>
      </c>
      <c r="B11" s="10" t="s">
        <v>70</v>
      </c>
      <c r="C11" s="52">
        <v>5755</v>
      </c>
      <c r="D11" s="52">
        <v>10946</v>
      </c>
      <c r="E11" s="52">
        <v>12174</v>
      </c>
      <c r="F11" s="52">
        <v>12272</v>
      </c>
      <c r="G11" s="52">
        <v>16322</v>
      </c>
      <c r="H11" s="52">
        <v>14689</v>
      </c>
      <c r="I11" s="52">
        <v>10795</v>
      </c>
    </row>
    <row r="12" spans="1:10" x14ac:dyDescent="0.25">
      <c r="A12" s="11" t="s">
        <v>11</v>
      </c>
      <c r="B12" s="10" t="s">
        <v>70</v>
      </c>
      <c r="C12" s="52">
        <v>3470</v>
      </c>
      <c r="D12" s="52">
        <v>5804</v>
      </c>
      <c r="E12" s="52">
        <v>6337</v>
      </c>
      <c r="F12" s="52">
        <v>7152</v>
      </c>
      <c r="G12" s="52">
        <v>8593</v>
      </c>
      <c r="H12" s="52">
        <v>8560</v>
      </c>
      <c r="I12" s="52">
        <v>6559</v>
      </c>
    </row>
    <row r="13" spans="1:10" x14ac:dyDescent="0.25">
      <c r="A13" s="11" t="s">
        <v>12</v>
      </c>
      <c r="B13" s="10" t="s">
        <v>70</v>
      </c>
      <c r="C13" s="52">
        <v>82</v>
      </c>
      <c r="D13" s="52">
        <v>165</v>
      </c>
      <c r="E13" s="52">
        <v>215</v>
      </c>
      <c r="F13" s="52">
        <v>230</v>
      </c>
      <c r="G13" s="52">
        <v>384</v>
      </c>
      <c r="H13" s="52">
        <v>420</v>
      </c>
      <c r="I13" s="52">
        <v>345</v>
      </c>
    </row>
    <row r="14" spans="1:10" x14ac:dyDescent="0.25">
      <c r="A14" s="11" t="s">
        <v>13</v>
      </c>
      <c r="B14" s="10" t="s">
        <v>70</v>
      </c>
      <c r="C14" s="52">
        <v>1506</v>
      </c>
      <c r="D14" s="52">
        <v>2845</v>
      </c>
      <c r="E14" s="52">
        <v>3305</v>
      </c>
      <c r="F14" s="52">
        <v>3660</v>
      </c>
      <c r="G14" s="52">
        <v>5043</v>
      </c>
      <c r="H14" s="52">
        <v>4484</v>
      </c>
      <c r="I14" s="52">
        <v>3104</v>
      </c>
    </row>
    <row r="15" spans="1:10" x14ac:dyDescent="0.25">
      <c r="A15" s="11" t="s">
        <v>14</v>
      </c>
      <c r="B15" s="10" t="s">
        <v>70</v>
      </c>
      <c r="C15" s="52">
        <v>5364</v>
      </c>
      <c r="D15" s="52">
        <v>5877</v>
      </c>
      <c r="E15" s="52">
        <v>5198</v>
      </c>
      <c r="F15" s="52">
        <v>5276</v>
      </c>
      <c r="G15" s="52">
        <v>7398</v>
      </c>
      <c r="H15" s="52">
        <v>6906</v>
      </c>
      <c r="I15" s="52">
        <v>5741</v>
      </c>
    </row>
    <row r="16" spans="1:10" x14ac:dyDescent="0.25">
      <c r="A16" s="11" t="s">
        <v>15</v>
      </c>
      <c r="B16" s="10" t="s">
        <v>70</v>
      </c>
      <c r="C16" s="52">
        <v>10694</v>
      </c>
      <c r="D16" s="52">
        <v>19048</v>
      </c>
      <c r="E16" s="52">
        <v>19583</v>
      </c>
      <c r="F16" s="52">
        <v>21668</v>
      </c>
      <c r="G16" s="52">
        <v>31074</v>
      </c>
      <c r="H16" s="52">
        <v>27262</v>
      </c>
      <c r="I16" s="52">
        <v>22349</v>
      </c>
    </row>
    <row r="17" spans="1:9" x14ac:dyDescent="0.25">
      <c r="A17" s="11" t="s">
        <v>16</v>
      </c>
      <c r="B17" s="10" t="s">
        <v>70</v>
      </c>
      <c r="C17" s="52">
        <v>1072</v>
      </c>
      <c r="D17" s="52">
        <v>1880</v>
      </c>
      <c r="E17" s="52">
        <v>2140</v>
      </c>
      <c r="F17" s="52">
        <v>2345</v>
      </c>
      <c r="G17" s="52">
        <v>3104</v>
      </c>
      <c r="H17" s="52">
        <v>2797</v>
      </c>
      <c r="I17" s="52">
        <v>2181</v>
      </c>
    </row>
    <row r="18" spans="1:9" x14ac:dyDescent="0.25">
      <c r="A18" s="11" t="s">
        <v>17</v>
      </c>
      <c r="B18" s="10" t="s">
        <v>70</v>
      </c>
      <c r="C18" s="52">
        <v>1997</v>
      </c>
      <c r="D18" s="52">
        <v>3886</v>
      </c>
      <c r="E18" s="52">
        <v>4382</v>
      </c>
      <c r="F18" s="52">
        <v>4918</v>
      </c>
      <c r="G18" s="52">
        <v>6270</v>
      </c>
      <c r="H18" s="52">
        <v>5733</v>
      </c>
      <c r="I18" s="52">
        <v>4228</v>
      </c>
    </row>
    <row r="19" spans="1:9" x14ac:dyDescent="0.25">
      <c r="A19" s="11" t="s">
        <v>18</v>
      </c>
      <c r="B19" s="10" t="s">
        <v>70</v>
      </c>
      <c r="C19" s="52">
        <v>949</v>
      </c>
      <c r="D19" s="52">
        <v>1738</v>
      </c>
      <c r="E19" s="52">
        <v>1842</v>
      </c>
      <c r="F19" s="52">
        <v>2066</v>
      </c>
      <c r="G19" s="52">
        <v>2541</v>
      </c>
      <c r="H19" s="52">
        <v>2340</v>
      </c>
      <c r="I19" s="52">
        <v>1783</v>
      </c>
    </row>
    <row r="20" spans="1:9" x14ac:dyDescent="0.25">
      <c r="A20" s="11" t="s">
        <v>19</v>
      </c>
      <c r="B20" s="10" t="s">
        <v>70</v>
      </c>
      <c r="C20" s="52">
        <v>1678</v>
      </c>
      <c r="D20" s="52">
        <v>2852</v>
      </c>
      <c r="E20" s="52">
        <v>3032</v>
      </c>
      <c r="F20" s="52">
        <v>3323</v>
      </c>
      <c r="G20" s="52">
        <v>4254</v>
      </c>
      <c r="H20" s="52">
        <v>4105</v>
      </c>
      <c r="I20" s="52">
        <v>3211</v>
      </c>
    </row>
    <row r="21" spans="1:9" x14ac:dyDescent="0.25">
      <c r="A21" s="11" t="s">
        <v>20</v>
      </c>
      <c r="B21" s="10" t="s">
        <v>70</v>
      </c>
      <c r="C21" s="52">
        <v>2093</v>
      </c>
      <c r="D21" s="52">
        <v>3747</v>
      </c>
      <c r="E21" s="52">
        <v>4320</v>
      </c>
      <c r="F21" s="52">
        <v>4592</v>
      </c>
      <c r="G21" s="52">
        <v>6172</v>
      </c>
      <c r="H21" s="52">
        <v>5994</v>
      </c>
      <c r="I21" s="52">
        <v>4818</v>
      </c>
    </row>
    <row r="22" spans="1:9" x14ac:dyDescent="0.25">
      <c r="A22" s="11" t="s">
        <v>21</v>
      </c>
      <c r="B22" s="10" t="s">
        <v>70</v>
      </c>
      <c r="C22" s="52">
        <v>5740</v>
      </c>
      <c r="D22" s="52">
        <v>10915</v>
      </c>
      <c r="E22" s="52">
        <v>12347</v>
      </c>
      <c r="F22" s="52">
        <v>12775</v>
      </c>
      <c r="G22" s="52">
        <v>16743</v>
      </c>
      <c r="H22" s="52">
        <v>15729</v>
      </c>
      <c r="I22" s="52">
        <v>13919</v>
      </c>
    </row>
    <row r="23" spans="1:9" x14ac:dyDescent="0.25">
      <c r="A23" s="11" t="s">
        <v>22</v>
      </c>
      <c r="B23" s="10" t="s">
        <v>70</v>
      </c>
      <c r="C23" s="52">
        <v>4782</v>
      </c>
      <c r="D23" s="52">
        <v>9701</v>
      </c>
      <c r="E23" s="52">
        <v>10826</v>
      </c>
      <c r="F23" s="52">
        <v>10989</v>
      </c>
      <c r="G23" s="52">
        <v>14727</v>
      </c>
      <c r="H23" s="52">
        <v>14031</v>
      </c>
      <c r="I23" s="52">
        <v>10839</v>
      </c>
    </row>
    <row r="24" spans="1:9" x14ac:dyDescent="0.25">
      <c r="A24" s="11" t="s">
        <v>23</v>
      </c>
      <c r="B24" s="10" t="s">
        <v>70</v>
      </c>
      <c r="C24" s="52">
        <v>9406</v>
      </c>
      <c r="D24" s="52">
        <v>17545</v>
      </c>
      <c r="E24" s="52">
        <v>19796</v>
      </c>
      <c r="F24" s="52">
        <v>19575</v>
      </c>
      <c r="G24" s="52">
        <v>27860</v>
      </c>
      <c r="H24" s="52">
        <v>27122</v>
      </c>
      <c r="I24" s="52">
        <v>21376</v>
      </c>
    </row>
    <row r="25" spans="1:9" x14ac:dyDescent="0.25">
      <c r="A25" s="11" t="s">
        <v>24</v>
      </c>
      <c r="B25" s="10" t="s">
        <v>70</v>
      </c>
      <c r="C25" s="52">
        <v>804</v>
      </c>
      <c r="D25" s="52">
        <v>1483</v>
      </c>
      <c r="E25" s="52">
        <v>1649</v>
      </c>
      <c r="F25" s="52">
        <v>1750</v>
      </c>
      <c r="G25" s="52">
        <v>2508</v>
      </c>
      <c r="H25" s="52">
        <v>2309</v>
      </c>
      <c r="I25" s="52">
        <v>1610</v>
      </c>
    </row>
    <row r="26" spans="1:9" x14ac:dyDescent="0.25">
      <c r="A26" s="11" t="s">
        <v>25</v>
      </c>
      <c r="B26" s="10" t="s">
        <v>70</v>
      </c>
      <c r="C26" s="52">
        <v>5287</v>
      </c>
      <c r="D26" s="52">
        <v>9429</v>
      </c>
      <c r="E26" s="52">
        <v>10237</v>
      </c>
      <c r="F26" s="52">
        <v>10768</v>
      </c>
      <c r="G26" s="52">
        <v>13732</v>
      </c>
      <c r="H26" s="52">
        <v>12151</v>
      </c>
      <c r="I26" s="52">
        <v>9165</v>
      </c>
    </row>
    <row r="27" spans="1:9" x14ac:dyDescent="0.25">
      <c r="A27" s="11" t="s">
        <v>26</v>
      </c>
      <c r="B27" s="10" t="s">
        <v>70</v>
      </c>
      <c r="C27" s="52">
        <v>2752</v>
      </c>
      <c r="D27" s="52">
        <v>5810</v>
      </c>
      <c r="E27" s="52">
        <v>6210</v>
      </c>
      <c r="F27" s="52">
        <v>6765</v>
      </c>
      <c r="G27" s="52">
        <v>7923</v>
      </c>
      <c r="H27" s="52">
        <v>6967</v>
      </c>
      <c r="I27" s="52">
        <v>4890</v>
      </c>
    </row>
    <row r="28" spans="1:9" x14ac:dyDescent="0.25">
      <c r="A28" s="11" t="s">
        <v>27</v>
      </c>
      <c r="B28" s="10" t="s">
        <v>70</v>
      </c>
      <c r="C28" s="52">
        <v>106</v>
      </c>
      <c r="D28" s="52">
        <v>138</v>
      </c>
      <c r="E28" s="52">
        <v>201</v>
      </c>
      <c r="F28" s="52">
        <v>270</v>
      </c>
      <c r="G28" s="52">
        <v>447</v>
      </c>
      <c r="H28" s="52">
        <v>504</v>
      </c>
      <c r="I28" s="52">
        <v>394</v>
      </c>
    </row>
    <row r="29" spans="1:9" x14ac:dyDescent="0.25">
      <c r="A29" s="11" t="s">
        <v>28</v>
      </c>
      <c r="B29" s="10" t="s">
        <v>70</v>
      </c>
      <c r="C29" s="52">
        <v>4159</v>
      </c>
      <c r="D29" s="52">
        <v>8040</v>
      </c>
      <c r="E29" s="52">
        <v>9112</v>
      </c>
      <c r="F29" s="52">
        <v>9745</v>
      </c>
      <c r="G29" s="52">
        <v>12499</v>
      </c>
      <c r="H29" s="52">
        <v>11190</v>
      </c>
      <c r="I29" s="52">
        <v>9552</v>
      </c>
    </row>
    <row r="30" spans="1:9" x14ac:dyDescent="0.25">
      <c r="A30" s="11" t="s">
        <v>29</v>
      </c>
      <c r="B30" s="10" t="s">
        <v>70</v>
      </c>
      <c r="C30" s="52">
        <v>523</v>
      </c>
      <c r="D30" s="52">
        <v>994</v>
      </c>
      <c r="E30" s="52">
        <v>1009</v>
      </c>
      <c r="F30" s="52">
        <v>1149</v>
      </c>
      <c r="G30" s="52">
        <v>1456</v>
      </c>
      <c r="H30" s="52">
        <v>1349</v>
      </c>
      <c r="I30" s="52">
        <v>982</v>
      </c>
    </row>
    <row r="31" spans="1:9" x14ac:dyDescent="0.25">
      <c r="A31" s="11" t="s">
        <v>30</v>
      </c>
      <c r="B31" s="10" t="s">
        <v>70</v>
      </c>
      <c r="C31" s="52">
        <v>972</v>
      </c>
      <c r="D31" s="52">
        <v>1776</v>
      </c>
      <c r="E31" s="52">
        <v>1775</v>
      </c>
      <c r="F31" s="52">
        <v>2067</v>
      </c>
      <c r="G31" s="52">
        <v>2254</v>
      </c>
      <c r="H31" s="52">
        <v>1952</v>
      </c>
      <c r="I31" s="52">
        <v>1387</v>
      </c>
    </row>
    <row r="32" spans="1:9" x14ac:dyDescent="0.25">
      <c r="A32" s="11" t="s">
        <v>31</v>
      </c>
      <c r="B32" s="10" t="s">
        <v>70</v>
      </c>
      <c r="C32" s="52">
        <v>1349</v>
      </c>
      <c r="D32" s="52">
        <v>2296</v>
      </c>
      <c r="E32" s="52">
        <v>2457</v>
      </c>
      <c r="F32" s="52">
        <v>2770</v>
      </c>
      <c r="G32" s="52">
        <v>3667</v>
      </c>
      <c r="H32" s="52">
        <v>3513</v>
      </c>
      <c r="I32" s="52">
        <v>2827</v>
      </c>
    </row>
    <row r="33" spans="1:9" x14ac:dyDescent="0.25">
      <c r="A33" s="11" t="s">
        <v>32</v>
      </c>
      <c r="B33" s="10" t="s">
        <v>70</v>
      </c>
      <c r="C33" s="52">
        <v>2391</v>
      </c>
      <c r="D33" s="52">
        <v>3568</v>
      </c>
      <c r="E33" s="52">
        <v>3965</v>
      </c>
      <c r="F33" s="52">
        <v>4395</v>
      </c>
      <c r="G33" s="52">
        <v>5354</v>
      </c>
      <c r="H33" s="52">
        <v>5214</v>
      </c>
      <c r="I33" s="52">
        <v>3969</v>
      </c>
    </row>
    <row r="34" spans="1:9" x14ac:dyDescent="0.25">
      <c r="A34" s="11" t="s">
        <v>33</v>
      </c>
      <c r="B34" s="10" t="s">
        <v>70</v>
      </c>
      <c r="C34" s="52">
        <v>1325</v>
      </c>
      <c r="D34" s="52">
        <v>2357</v>
      </c>
      <c r="E34" s="52">
        <v>2838</v>
      </c>
      <c r="F34" s="52">
        <v>2845</v>
      </c>
      <c r="G34" s="52">
        <v>3675</v>
      </c>
      <c r="H34" s="52">
        <v>3623</v>
      </c>
      <c r="I34" s="52">
        <v>2741</v>
      </c>
    </row>
    <row r="35" spans="1:9" x14ac:dyDescent="0.25">
      <c r="A35" s="11" t="s">
        <v>34</v>
      </c>
      <c r="B35" s="10" t="s">
        <v>70</v>
      </c>
      <c r="C35" s="52">
        <v>656</v>
      </c>
      <c r="D35" s="52">
        <v>1276</v>
      </c>
      <c r="E35" s="52">
        <v>1372</v>
      </c>
      <c r="F35" s="52">
        <v>1511</v>
      </c>
      <c r="G35" s="52">
        <v>1959</v>
      </c>
      <c r="H35" s="52">
        <v>1813</v>
      </c>
      <c r="I35" s="52">
        <v>1437</v>
      </c>
    </row>
    <row r="36" spans="1:9" x14ac:dyDescent="0.25">
      <c r="A36" s="11" t="s">
        <v>35</v>
      </c>
      <c r="B36" s="10" t="s">
        <v>70</v>
      </c>
      <c r="C36" s="52">
        <v>4161</v>
      </c>
      <c r="D36" s="52">
        <v>7234</v>
      </c>
      <c r="E36" s="52">
        <v>7824</v>
      </c>
      <c r="F36" s="52">
        <v>8170</v>
      </c>
      <c r="G36" s="52">
        <v>10021</v>
      </c>
      <c r="H36" s="52">
        <v>8309</v>
      </c>
      <c r="I36" s="52">
        <v>6544</v>
      </c>
    </row>
    <row r="37" spans="1:9" x14ac:dyDescent="0.25">
      <c r="A37" s="11" t="s">
        <v>36</v>
      </c>
      <c r="B37" s="10" t="s">
        <v>70</v>
      </c>
      <c r="C37" s="52">
        <v>12777</v>
      </c>
      <c r="D37" s="52">
        <v>24388</v>
      </c>
      <c r="E37" s="52">
        <v>26220</v>
      </c>
      <c r="F37" s="52">
        <v>25267</v>
      </c>
      <c r="G37" s="52">
        <v>32722</v>
      </c>
      <c r="H37" s="52">
        <v>32842</v>
      </c>
      <c r="I37" s="52">
        <v>29415</v>
      </c>
    </row>
    <row r="38" spans="1:9" x14ac:dyDescent="0.25">
      <c r="A38" s="11" t="s">
        <v>37</v>
      </c>
      <c r="B38" s="10" t="s">
        <v>70</v>
      </c>
      <c r="C38" s="52">
        <v>2335</v>
      </c>
      <c r="D38" s="52">
        <v>3833</v>
      </c>
      <c r="E38" s="52">
        <v>4245</v>
      </c>
      <c r="F38" s="52">
        <v>4589</v>
      </c>
      <c r="G38" s="52">
        <v>5548</v>
      </c>
      <c r="H38" s="52">
        <v>5380</v>
      </c>
      <c r="I38" s="52">
        <v>4165</v>
      </c>
    </row>
    <row r="39" spans="1:9" x14ac:dyDescent="0.25">
      <c r="A39" s="11" t="s">
        <v>38</v>
      </c>
      <c r="B39" s="10" t="s">
        <v>70</v>
      </c>
      <c r="C39" s="52">
        <v>3346</v>
      </c>
      <c r="D39" s="52">
        <v>6225</v>
      </c>
      <c r="E39" s="52">
        <v>7135</v>
      </c>
      <c r="F39" s="52">
        <v>7751</v>
      </c>
      <c r="G39" s="52">
        <v>9833</v>
      </c>
      <c r="H39" s="52">
        <v>9764</v>
      </c>
      <c r="I39" s="52">
        <v>8580</v>
      </c>
    </row>
    <row r="40" spans="1:9" x14ac:dyDescent="0.25">
      <c r="A40" s="11" t="s">
        <v>39</v>
      </c>
      <c r="B40" s="10" t="s">
        <v>70</v>
      </c>
      <c r="C40" s="52">
        <v>5806</v>
      </c>
      <c r="D40" s="52">
        <v>11504</v>
      </c>
      <c r="E40" s="52">
        <v>12628</v>
      </c>
      <c r="F40" s="52">
        <v>13151</v>
      </c>
      <c r="G40" s="52">
        <v>17279</v>
      </c>
      <c r="H40" s="52">
        <v>16042</v>
      </c>
      <c r="I40" s="52">
        <v>13040</v>
      </c>
    </row>
    <row r="41" spans="1:9" x14ac:dyDescent="0.25">
      <c r="A41" s="11" t="s">
        <v>40</v>
      </c>
      <c r="B41" s="10" t="s">
        <v>70</v>
      </c>
      <c r="C41" s="52">
        <v>5766</v>
      </c>
      <c r="D41" s="52">
        <v>11188</v>
      </c>
      <c r="E41" s="52">
        <v>13119</v>
      </c>
      <c r="F41" s="52">
        <v>13818</v>
      </c>
      <c r="G41" s="52">
        <v>18356</v>
      </c>
      <c r="H41" s="52">
        <v>15672</v>
      </c>
      <c r="I41" s="52">
        <v>12867</v>
      </c>
    </row>
    <row r="42" spans="1:9" x14ac:dyDescent="0.25">
      <c r="A42" s="11" t="s">
        <v>41</v>
      </c>
      <c r="B42" s="10" t="s">
        <v>70</v>
      </c>
      <c r="C42" s="52">
        <v>2803</v>
      </c>
      <c r="D42" s="52">
        <v>4965</v>
      </c>
      <c r="E42" s="52">
        <v>6275</v>
      </c>
      <c r="F42" s="52">
        <v>6329</v>
      </c>
      <c r="G42" s="52">
        <v>8185</v>
      </c>
      <c r="H42" s="52">
        <v>8486</v>
      </c>
      <c r="I42" s="52">
        <v>6667</v>
      </c>
    </row>
    <row r="43" spans="1:9" x14ac:dyDescent="0.25">
      <c r="A43" s="11" t="s">
        <v>42</v>
      </c>
      <c r="B43" s="10" t="s">
        <v>70</v>
      </c>
      <c r="C43" s="52">
        <v>1032</v>
      </c>
      <c r="D43" s="52">
        <v>1868</v>
      </c>
      <c r="E43" s="52">
        <v>2217</v>
      </c>
      <c r="F43" s="52">
        <v>2413</v>
      </c>
      <c r="G43" s="52">
        <v>3223</v>
      </c>
      <c r="H43" s="52">
        <v>3088</v>
      </c>
      <c r="I43" s="52">
        <v>2377</v>
      </c>
    </row>
    <row r="44" spans="1:9" x14ac:dyDescent="0.25">
      <c r="A44" s="11" t="s">
        <v>43</v>
      </c>
      <c r="B44" s="10" t="s">
        <v>70</v>
      </c>
      <c r="C44" s="52">
        <v>2885</v>
      </c>
      <c r="D44" s="52">
        <v>4991</v>
      </c>
      <c r="E44" s="52">
        <v>5008</v>
      </c>
      <c r="F44" s="52">
        <v>5496</v>
      </c>
      <c r="G44" s="52">
        <v>7185</v>
      </c>
      <c r="H44" s="52">
        <v>7005</v>
      </c>
      <c r="I44" s="52">
        <v>5726</v>
      </c>
    </row>
    <row r="45" spans="1:9" x14ac:dyDescent="0.25">
      <c r="A45" s="11" t="s">
        <v>44</v>
      </c>
      <c r="B45" s="10" t="s">
        <v>70</v>
      </c>
      <c r="C45" s="52">
        <v>1129</v>
      </c>
      <c r="D45" s="52">
        <v>2325</v>
      </c>
      <c r="E45" s="52">
        <v>2497</v>
      </c>
      <c r="F45" s="52">
        <v>2677</v>
      </c>
      <c r="G45" s="52">
        <v>3723</v>
      </c>
      <c r="H45" s="52">
        <v>3411</v>
      </c>
      <c r="I45" s="52">
        <v>2883</v>
      </c>
    </row>
    <row r="46" spans="1:9" x14ac:dyDescent="0.25">
      <c r="A46" s="11" t="s">
        <v>45</v>
      </c>
      <c r="B46" s="10" t="s">
        <v>70</v>
      </c>
      <c r="C46" s="52">
        <v>2508</v>
      </c>
      <c r="D46" s="52">
        <v>5178</v>
      </c>
      <c r="E46" s="52">
        <v>6197</v>
      </c>
      <c r="F46" s="52">
        <v>6482</v>
      </c>
      <c r="G46" s="52">
        <v>9317</v>
      </c>
      <c r="H46" s="52">
        <v>8449</v>
      </c>
      <c r="I46" s="52">
        <v>5233</v>
      </c>
    </row>
    <row r="47" spans="1:9" x14ac:dyDescent="0.25">
      <c r="A47" s="11" t="s">
        <v>46</v>
      </c>
      <c r="B47" s="10" t="s">
        <v>70</v>
      </c>
      <c r="C47" s="52">
        <v>13858</v>
      </c>
      <c r="D47" s="52">
        <v>26049</v>
      </c>
      <c r="E47" s="52">
        <v>28073</v>
      </c>
      <c r="F47" s="52">
        <v>29096</v>
      </c>
      <c r="G47" s="52">
        <v>41010</v>
      </c>
      <c r="H47" s="52">
        <v>37796</v>
      </c>
      <c r="I47" s="52">
        <v>31671</v>
      </c>
    </row>
    <row r="48" spans="1:9" x14ac:dyDescent="0.25">
      <c r="A48" s="11" t="s">
        <v>47</v>
      </c>
      <c r="B48" s="10" t="s">
        <v>70</v>
      </c>
      <c r="C48" s="52">
        <v>393</v>
      </c>
      <c r="D48" s="52">
        <v>820</v>
      </c>
      <c r="E48" s="52">
        <v>940</v>
      </c>
      <c r="F48" s="52">
        <v>868</v>
      </c>
      <c r="G48" s="52">
        <v>1216</v>
      </c>
      <c r="H48" s="52">
        <v>1245</v>
      </c>
      <c r="I48" s="52">
        <v>1075</v>
      </c>
    </row>
    <row r="49" spans="1:9" x14ac:dyDescent="0.25">
      <c r="A49" s="11" t="s">
        <v>48</v>
      </c>
      <c r="B49" s="10" t="s">
        <v>70</v>
      </c>
      <c r="C49" s="52">
        <v>6049</v>
      </c>
      <c r="D49" s="52">
        <v>11228</v>
      </c>
      <c r="E49" s="52">
        <v>11866</v>
      </c>
      <c r="F49" s="52">
        <v>12460</v>
      </c>
      <c r="G49" s="52">
        <v>17378</v>
      </c>
      <c r="H49" s="52">
        <v>15565</v>
      </c>
      <c r="I49" s="52">
        <v>12348</v>
      </c>
    </row>
    <row r="50" spans="1:9" x14ac:dyDescent="0.25">
      <c r="A50" s="11" t="s">
        <v>49</v>
      </c>
      <c r="B50" s="10" t="s">
        <v>70</v>
      </c>
      <c r="C50" s="52">
        <v>1999</v>
      </c>
      <c r="D50" s="52">
        <v>3642</v>
      </c>
      <c r="E50" s="52">
        <v>4585</v>
      </c>
      <c r="F50" s="52">
        <v>4807</v>
      </c>
      <c r="G50" s="52">
        <v>6180</v>
      </c>
      <c r="H50" s="52">
        <v>5971</v>
      </c>
      <c r="I50" s="52">
        <v>4722</v>
      </c>
    </row>
    <row r="51" spans="1:9" x14ac:dyDescent="0.25">
      <c r="A51" s="11" t="s">
        <v>50</v>
      </c>
      <c r="B51" s="10" t="s">
        <v>70</v>
      </c>
      <c r="C51" s="52">
        <v>1410</v>
      </c>
      <c r="D51" s="52">
        <v>2636</v>
      </c>
      <c r="E51" s="52">
        <v>3057</v>
      </c>
      <c r="F51" s="52">
        <v>3183</v>
      </c>
      <c r="G51" s="52">
        <v>4253</v>
      </c>
      <c r="H51" s="52">
        <v>3801</v>
      </c>
      <c r="I51" s="52">
        <v>2582</v>
      </c>
    </row>
    <row r="52" spans="1:9" x14ac:dyDescent="0.25">
      <c r="A52" s="11" t="s">
        <v>51</v>
      </c>
      <c r="B52" s="10" t="s">
        <v>70</v>
      </c>
      <c r="C52" s="52">
        <v>9828</v>
      </c>
      <c r="D52" s="52">
        <v>25674</v>
      </c>
      <c r="E52" s="52">
        <v>23664</v>
      </c>
      <c r="F52" s="52">
        <v>18733</v>
      </c>
      <c r="G52" s="52">
        <v>20740</v>
      </c>
      <c r="H52" s="52">
        <v>18182</v>
      </c>
      <c r="I52" s="52">
        <v>14412</v>
      </c>
    </row>
    <row r="53" spans="1:9" x14ac:dyDescent="0.25">
      <c r="A53" s="11" t="s">
        <v>52</v>
      </c>
      <c r="B53" s="10" t="s">
        <v>70</v>
      </c>
      <c r="C53" s="52">
        <v>1220</v>
      </c>
      <c r="D53" s="52">
        <v>2430</v>
      </c>
      <c r="E53" s="52">
        <v>3000</v>
      </c>
      <c r="F53" s="52">
        <v>3252</v>
      </c>
      <c r="G53" s="52">
        <v>5211</v>
      </c>
      <c r="H53" s="52">
        <v>4743</v>
      </c>
      <c r="I53" s="52">
        <v>3278</v>
      </c>
    </row>
    <row r="54" spans="1:9" x14ac:dyDescent="0.25">
      <c r="A54" s="11" t="s">
        <v>53</v>
      </c>
      <c r="B54" s="10" t="s">
        <v>70</v>
      </c>
      <c r="C54" s="52">
        <v>492</v>
      </c>
      <c r="D54" s="52">
        <v>908</v>
      </c>
      <c r="E54" s="52">
        <v>1053</v>
      </c>
      <c r="F54" s="52">
        <v>1060</v>
      </c>
      <c r="G54" s="52">
        <v>1544</v>
      </c>
      <c r="H54" s="52">
        <v>1637</v>
      </c>
      <c r="I54" s="52">
        <v>1293</v>
      </c>
    </row>
    <row r="55" spans="1:9" x14ac:dyDescent="0.25">
      <c r="A55" s="11" t="s">
        <v>54</v>
      </c>
      <c r="B55" s="10" t="s">
        <v>70</v>
      </c>
      <c r="C55" s="52">
        <v>3626</v>
      </c>
      <c r="D55" s="52">
        <v>6289</v>
      </c>
      <c r="E55" s="52">
        <v>7360</v>
      </c>
      <c r="F55" s="52">
        <v>8315</v>
      </c>
      <c r="G55" s="52">
        <v>10560</v>
      </c>
      <c r="H55" s="52">
        <v>9666</v>
      </c>
      <c r="I55" s="52">
        <v>7353</v>
      </c>
    </row>
    <row r="56" spans="1:9" x14ac:dyDescent="0.25">
      <c r="A56" s="11" t="s">
        <v>55</v>
      </c>
      <c r="B56" s="10" t="s">
        <v>70</v>
      </c>
      <c r="C56" s="52">
        <v>1213</v>
      </c>
      <c r="D56" s="52">
        <v>1853</v>
      </c>
      <c r="E56" s="52">
        <v>2244</v>
      </c>
      <c r="F56" s="52">
        <v>2359</v>
      </c>
      <c r="G56" s="52">
        <v>3040</v>
      </c>
      <c r="H56" s="52">
        <v>2835</v>
      </c>
      <c r="I56" s="52">
        <v>2397</v>
      </c>
    </row>
    <row r="57" spans="1:9" x14ac:dyDescent="0.25">
      <c r="A57" s="11" t="s">
        <v>56</v>
      </c>
      <c r="B57" s="10" t="s">
        <v>70</v>
      </c>
      <c r="C57" s="52">
        <v>2222</v>
      </c>
      <c r="D57" s="52">
        <v>3945</v>
      </c>
      <c r="E57" s="52">
        <v>4386</v>
      </c>
      <c r="F57" s="52">
        <v>4890</v>
      </c>
      <c r="G57" s="52">
        <v>6254</v>
      </c>
      <c r="H57" s="52">
        <v>6322</v>
      </c>
      <c r="I57" s="52">
        <v>4779</v>
      </c>
    </row>
    <row r="58" spans="1:9" x14ac:dyDescent="0.25">
      <c r="A58" s="11" t="s">
        <v>57</v>
      </c>
      <c r="B58" s="10" t="s">
        <v>70</v>
      </c>
      <c r="C58" s="52">
        <v>163</v>
      </c>
      <c r="D58" s="52">
        <v>263</v>
      </c>
      <c r="E58" s="52">
        <v>351</v>
      </c>
      <c r="F58" s="52">
        <v>376</v>
      </c>
      <c r="G58" s="52">
        <v>564</v>
      </c>
      <c r="H58" s="52">
        <v>667</v>
      </c>
      <c r="I58" s="52">
        <v>467</v>
      </c>
    </row>
    <row r="59" spans="1:9" x14ac:dyDescent="0.25">
      <c r="A59" s="11" t="s">
        <v>58</v>
      </c>
      <c r="B59" s="10" t="s">
        <v>70</v>
      </c>
      <c r="C59" s="52">
        <v>1113</v>
      </c>
      <c r="D59" s="52">
        <v>2103</v>
      </c>
      <c r="E59" s="52">
        <v>2377</v>
      </c>
      <c r="F59" s="52">
        <v>2352</v>
      </c>
      <c r="G59" s="52">
        <v>3396</v>
      </c>
      <c r="H59" s="52">
        <v>3317</v>
      </c>
      <c r="I59" s="52">
        <v>2602</v>
      </c>
    </row>
    <row r="60" spans="1:9" x14ac:dyDescent="0.25">
      <c r="A60" s="11" t="s">
        <v>59</v>
      </c>
      <c r="B60" s="10" t="s">
        <v>70</v>
      </c>
      <c r="C60" s="52">
        <v>1072</v>
      </c>
      <c r="D60" s="52">
        <v>1993</v>
      </c>
      <c r="E60" s="52">
        <v>2465</v>
      </c>
      <c r="F60" s="52">
        <v>2551</v>
      </c>
      <c r="G60" s="52">
        <v>3461</v>
      </c>
      <c r="H60" s="52">
        <v>3586</v>
      </c>
      <c r="I60" s="52">
        <v>2977</v>
      </c>
    </row>
    <row r="61" spans="1:9" x14ac:dyDescent="0.25">
      <c r="A61" s="11" t="s">
        <v>60</v>
      </c>
      <c r="B61" s="10" t="s">
        <v>70</v>
      </c>
      <c r="C61" s="52">
        <v>1332</v>
      </c>
      <c r="D61" s="52">
        <v>1774</v>
      </c>
      <c r="E61" s="52">
        <v>1909</v>
      </c>
      <c r="F61" s="52">
        <v>1954</v>
      </c>
      <c r="G61" s="52">
        <v>2620</v>
      </c>
      <c r="H61" s="52">
        <v>2417</v>
      </c>
      <c r="I61" s="52">
        <v>2378</v>
      </c>
    </row>
    <row r="62" spans="1:9" x14ac:dyDescent="0.25">
      <c r="A62" s="11" t="s">
        <v>61</v>
      </c>
      <c r="B62" s="10" t="s">
        <v>70</v>
      </c>
      <c r="C62" s="52">
        <v>1221</v>
      </c>
      <c r="D62" s="52">
        <v>2221</v>
      </c>
      <c r="E62" s="52">
        <v>2710</v>
      </c>
      <c r="F62" s="52">
        <v>3024</v>
      </c>
      <c r="G62" s="52">
        <v>3865</v>
      </c>
      <c r="H62" s="52">
        <v>4052</v>
      </c>
      <c r="I62" s="52">
        <v>3035</v>
      </c>
    </row>
    <row r="63" spans="1:9" x14ac:dyDescent="0.25">
      <c r="A63" s="11" t="s">
        <v>62</v>
      </c>
      <c r="B63" s="10" t="s">
        <v>70</v>
      </c>
      <c r="C63" s="52">
        <v>951</v>
      </c>
      <c r="D63" s="52">
        <v>1736</v>
      </c>
      <c r="E63" s="52">
        <v>2064</v>
      </c>
      <c r="F63" s="52">
        <v>2151</v>
      </c>
      <c r="G63" s="52">
        <v>3071</v>
      </c>
      <c r="H63" s="52">
        <v>3048</v>
      </c>
      <c r="I63" s="52">
        <v>2208</v>
      </c>
    </row>
    <row r="64" spans="1:9" x14ac:dyDescent="0.25">
      <c r="A64" s="11" t="s">
        <v>63</v>
      </c>
      <c r="B64" s="10" t="s">
        <v>70</v>
      </c>
      <c r="C64" s="52">
        <v>5202</v>
      </c>
      <c r="D64" s="52">
        <v>9674</v>
      </c>
      <c r="E64" s="52">
        <v>11129</v>
      </c>
      <c r="F64" s="52">
        <v>11444</v>
      </c>
      <c r="G64" s="52">
        <v>13845</v>
      </c>
      <c r="H64" s="52">
        <v>12604</v>
      </c>
      <c r="I64" s="52">
        <v>8816</v>
      </c>
    </row>
    <row r="65" spans="1:9" x14ac:dyDescent="0.25">
      <c r="A65" s="11" t="s">
        <v>64</v>
      </c>
      <c r="B65" s="10" t="s">
        <v>70</v>
      </c>
      <c r="C65" s="52">
        <v>1258</v>
      </c>
      <c r="D65" s="52">
        <v>2491</v>
      </c>
      <c r="E65" s="52">
        <v>2781</v>
      </c>
      <c r="F65" s="52">
        <v>2876</v>
      </c>
      <c r="G65" s="52">
        <v>4508</v>
      </c>
      <c r="H65" s="52">
        <v>4452</v>
      </c>
      <c r="I65" s="52">
        <v>3374</v>
      </c>
    </row>
    <row r="66" spans="1:9" x14ac:dyDescent="0.25">
      <c r="A66" s="11" t="s">
        <v>65</v>
      </c>
      <c r="B66" s="10" t="s">
        <v>70</v>
      </c>
      <c r="C66" s="52">
        <v>8681</v>
      </c>
      <c r="D66" s="52">
        <v>16496</v>
      </c>
      <c r="E66" s="52">
        <v>18382</v>
      </c>
      <c r="F66" s="52">
        <v>19156</v>
      </c>
      <c r="G66" s="52">
        <v>25854</v>
      </c>
      <c r="H66" s="52">
        <v>23932</v>
      </c>
      <c r="I66" s="52">
        <v>18275</v>
      </c>
    </row>
    <row r="67" spans="1:9" x14ac:dyDescent="0.25">
      <c r="A67" s="11" t="s">
        <v>66</v>
      </c>
      <c r="B67" s="10" t="s">
        <v>70</v>
      </c>
      <c r="C67" s="52">
        <v>708</v>
      </c>
      <c r="D67" s="52">
        <v>1379</v>
      </c>
      <c r="E67" s="52">
        <v>1521</v>
      </c>
      <c r="F67" s="52">
        <v>1732</v>
      </c>
      <c r="G67" s="52">
        <v>2151</v>
      </c>
      <c r="H67" s="52">
        <v>2084</v>
      </c>
      <c r="I67" s="52">
        <v>1737</v>
      </c>
    </row>
    <row r="68" spans="1:9" ht="13.8" thickBot="1" x14ac:dyDescent="0.3">
      <c r="A68" s="13" t="s">
        <v>67</v>
      </c>
      <c r="B68" s="12" t="s">
        <v>70</v>
      </c>
      <c r="C68" s="52">
        <v>10959</v>
      </c>
      <c r="D68" s="52">
        <v>21496</v>
      </c>
      <c r="E68" s="52">
        <v>25262</v>
      </c>
      <c r="F68" s="52">
        <v>25370</v>
      </c>
      <c r="G68" s="52">
        <v>34260</v>
      </c>
      <c r="H68" s="52">
        <v>29135</v>
      </c>
      <c r="I68" s="52">
        <v>21810</v>
      </c>
    </row>
    <row r="69" spans="1:9" x14ac:dyDescent="0.25">
      <c r="A69" s="32" t="s">
        <v>68</v>
      </c>
      <c r="C69" s="14">
        <f>SUM(C2:C68)</f>
        <v>249603</v>
      </c>
      <c r="D69" s="14">
        <f t="shared" ref="D69:I69" si="0">SUM(D2:D68)</f>
        <v>469896</v>
      </c>
      <c r="E69" s="14">
        <f t="shared" si="0"/>
        <v>514515</v>
      </c>
      <c r="F69" s="14">
        <f t="shared" si="0"/>
        <v>528410</v>
      </c>
      <c r="G69" s="14">
        <f t="shared" si="0"/>
        <v>703267</v>
      </c>
      <c r="H69" s="14">
        <f t="shared" si="0"/>
        <v>653479</v>
      </c>
      <c r="I69" s="14">
        <f t="shared" si="0"/>
        <v>514856</v>
      </c>
    </row>
    <row r="70" spans="1:9" x14ac:dyDescent="0.25">
      <c r="C70" s="17">
        <f>C69/$C$72</f>
        <v>6.8684979138839405E-2</v>
      </c>
      <c r="D70" s="17">
        <f t="shared" ref="D70:I70" si="1">D69/$C$72</f>
        <v>0.12930452341287596</v>
      </c>
      <c r="E70" s="17">
        <f t="shared" si="1"/>
        <v>0.14158264140102464</v>
      </c>
      <c r="F70" s="17">
        <f t="shared" si="1"/>
        <v>0.14540622439134998</v>
      </c>
      <c r="G70" s="17">
        <f t="shared" si="1"/>
        <v>0.19352283115200608</v>
      </c>
      <c r="H70" s="17">
        <f t="shared" si="1"/>
        <v>0.17982232378084251</v>
      </c>
      <c r="I70" s="17">
        <f t="shared" si="1"/>
        <v>0.14167647672306141</v>
      </c>
    </row>
    <row r="72" spans="1:9" x14ac:dyDescent="0.25">
      <c r="A72" s="32" t="s">
        <v>80</v>
      </c>
      <c r="C72" s="16">
        <f>SUM(C69:I69)</f>
        <v>3634026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I25" sqref="I25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17144</v>
      </c>
      <c r="C3" s="70">
        <v>2039</v>
      </c>
      <c r="D3" s="69">
        <v>41038</v>
      </c>
      <c r="E3" s="70">
        <v>2980</v>
      </c>
      <c r="F3" s="72">
        <v>11659</v>
      </c>
      <c r="G3" s="74">
        <v>1836</v>
      </c>
    </row>
    <row r="4" spans="1:7" x14ac:dyDescent="0.25">
      <c r="A4" s="11" t="s">
        <v>2</v>
      </c>
      <c r="B4" s="69">
        <v>448814</v>
      </c>
      <c r="C4" s="70">
        <v>55158</v>
      </c>
      <c r="D4" s="69">
        <v>242083</v>
      </c>
      <c r="E4" s="70">
        <v>20855</v>
      </c>
      <c r="F4" s="72">
        <v>128545</v>
      </c>
      <c r="G4" s="75">
        <v>23075</v>
      </c>
    </row>
    <row r="5" spans="1:7" x14ac:dyDescent="0.25">
      <c r="A5" s="11" t="s">
        <v>3</v>
      </c>
      <c r="B5" s="69">
        <v>9877</v>
      </c>
      <c r="C5" s="70">
        <v>754</v>
      </c>
      <c r="D5" s="69">
        <v>26322</v>
      </c>
      <c r="E5" s="70">
        <v>1331</v>
      </c>
      <c r="F5" s="72">
        <v>4786</v>
      </c>
      <c r="G5" s="75">
        <v>522</v>
      </c>
    </row>
    <row r="6" spans="1:7" x14ac:dyDescent="0.25">
      <c r="A6" s="11" t="s">
        <v>4</v>
      </c>
      <c r="B6" s="69">
        <v>42195</v>
      </c>
      <c r="C6" s="70">
        <v>3500</v>
      </c>
      <c r="D6" s="69">
        <v>48981</v>
      </c>
      <c r="E6" s="70">
        <v>2889</v>
      </c>
      <c r="F6" s="72">
        <v>14644</v>
      </c>
      <c r="G6" s="75">
        <v>1927</v>
      </c>
    </row>
    <row r="7" spans="1:7" x14ac:dyDescent="0.25">
      <c r="A7" s="11" t="s">
        <v>5</v>
      </c>
      <c r="B7" s="69">
        <v>4878</v>
      </c>
      <c r="C7" s="70">
        <v>387</v>
      </c>
      <c r="D7" s="69">
        <v>23520</v>
      </c>
      <c r="E7" s="70">
        <v>1059</v>
      </c>
      <c r="F7" s="72">
        <v>2882</v>
      </c>
      <c r="G7" s="75">
        <v>326</v>
      </c>
    </row>
    <row r="8" spans="1:7" x14ac:dyDescent="0.25">
      <c r="A8" s="11" t="s">
        <v>6</v>
      </c>
      <c r="B8" s="69">
        <v>93893</v>
      </c>
      <c r="C8" s="70">
        <v>10415</v>
      </c>
      <c r="D8" s="69">
        <v>111186</v>
      </c>
      <c r="E8" s="70">
        <v>6754</v>
      </c>
      <c r="F8" s="72">
        <v>46040</v>
      </c>
      <c r="G8" s="75">
        <v>6148</v>
      </c>
    </row>
    <row r="9" spans="1:7" x14ac:dyDescent="0.25">
      <c r="A9" s="11" t="s">
        <v>7</v>
      </c>
      <c r="B9" s="69">
        <v>17643</v>
      </c>
      <c r="C9" s="70">
        <v>2160</v>
      </c>
      <c r="D9" s="69">
        <v>47238</v>
      </c>
      <c r="E9" s="70">
        <v>3339</v>
      </c>
      <c r="F9" s="72">
        <v>9542</v>
      </c>
      <c r="G9" s="75">
        <v>1647</v>
      </c>
    </row>
    <row r="10" spans="1:7" x14ac:dyDescent="0.25">
      <c r="A10" s="11" t="s">
        <v>8</v>
      </c>
      <c r="B10" s="69">
        <v>7045</v>
      </c>
      <c r="C10" s="70">
        <v>775</v>
      </c>
      <c r="D10" s="69">
        <v>23983</v>
      </c>
      <c r="E10" s="70">
        <v>1662</v>
      </c>
      <c r="F10" s="72">
        <v>4787</v>
      </c>
      <c r="G10" s="75">
        <v>662</v>
      </c>
    </row>
    <row r="11" spans="1:7" x14ac:dyDescent="0.25">
      <c r="A11" s="11" t="s">
        <v>9</v>
      </c>
      <c r="B11" s="69">
        <v>178884</v>
      </c>
      <c r="C11" s="70">
        <v>15258</v>
      </c>
      <c r="D11" s="69">
        <v>190310</v>
      </c>
      <c r="E11" s="70">
        <v>11375</v>
      </c>
      <c r="F11" s="72">
        <v>80433</v>
      </c>
      <c r="G11" s="75">
        <v>8676</v>
      </c>
    </row>
    <row r="12" spans="1:7" x14ac:dyDescent="0.25">
      <c r="A12" s="11" t="s">
        <v>10</v>
      </c>
      <c r="B12" s="69">
        <v>36384</v>
      </c>
      <c r="C12" s="70">
        <v>2878</v>
      </c>
      <c r="D12" s="69">
        <v>78475</v>
      </c>
      <c r="E12" s="70">
        <v>4478</v>
      </c>
      <c r="F12" s="72">
        <v>19219</v>
      </c>
      <c r="G12" s="75">
        <v>2347</v>
      </c>
    </row>
    <row r="13" spans="1:7" x14ac:dyDescent="0.25">
      <c r="A13" s="11" t="s">
        <v>11</v>
      </c>
      <c r="B13" s="69">
        <v>27124</v>
      </c>
      <c r="C13" s="70">
        <v>2214</v>
      </c>
      <c r="D13" s="69">
        <v>44309</v>
      </c>
      <c r="E13" s="70">
        <v>2166</v>
      </c>
      <c r="F13" s="72">
        <v>8908</v>
      </c>
      <c r="G13" s="75">
        <v>1139</v>
      </c>
    </row>
    <row r="14" spans="1:7" x14ac:dyDescent="0.25">
      <c r="A14" s="11" t="s">
        <v>12</v>
      </c>
      <c r="B14" s="69">
        <v>604</v>
      </c>
      <c r="C14" s="70">
        <v>57</v>
      </c>
      <c r="D14" s="69">
        <v>1730</v>
      </c>
      <c r="E14" s="70">
        <v>111</v>
      </c>
      <c r="F14" s="72">
        <v>338</v>
      </c>
      <c r="G14" s="75">
        <v>40</v>
      </c>
    </row>
    <row r="15" spans="1:7" x14ac:dyDescent="0.25">
      <c r="A15" s="11" t="s">
        <v>13</v>
      </c>
      <c r="B15" s="69">
        <v>12762</v>
      </c>
      <c r="C15" s="70">
        <v>1304</v>
      </c>
      <c r="D15" s="69">
        <v>22336</v>
      </c>
      <c r="E15" s="70">
        <v>1611</v>
      </c>
      <c r="F15" s="72">
        <v>6766</v>
      </c>
      <c r="G15" s="75">
        <v>1009</v>
      </c>
    </row>
    <row r="16" spans="1:7" x14ac:dyDescent="0.25">
      <c r="A16" s="11" t="s">
        <v>14</v>
      </c>
      <c r="B16" s="69">
        <v>34158</v>
      </c>
      <c r="C16" s="70">
        <v>7285</v>
      </c>
      <c r="D16" s="69">
        <v>37546</v>
      </c>
      <c r="E16" s="70">
        <v>4214</v>
      </c>
      <c r="F16" s="72">
        <v>15002</v>
      </c>
      <c r="G16" s="75">
        <v>3854</v>
      </c>
    </row>
    <row r="17" spans="1:7" x14ac:dyDescent="0.25">
      <c r="A17" s="11" t="s">
        <v>15</v>
      </c>
      <c r="B17" s="69">
        <v>147371</v>
      </c>
      <c r="C17" s="70">
        <v>13737</v>
      </c>
      <c r="D17" s="69">
        <v>141765</v>
      </c>
      <c r="E17" s="70">
        <v>9913</v>
      </c>
      <c r="F17" s="72">
        <v>68782</v>
      </c>
      <c r="G17" s="75">
        <v>8061</v>
      </c>
    </row>
    <row r="18" spans="1:7" x14ac:dyDescent="0.25">
      <c r="A18" s="11" t="s">
        <v>16</v>
      </c>
      <c r="B18" s="69">
        <v>4660</v>
      </c>
      <c r="C18" s="70">
        <v>382</v>
      </c>
      <c r="D18" s="69">
        <v>14761</v>
      </c>
      <c r="E18" s="70">
        <v>758</v>
      </c>
      <c r="F18" s="72">
        <v>2444</v>
      </c>
      <c r="G18" s="75">
        <v>280</v>
      </c>
    </row>
    <row r="19" spans="1:7" x14ac:dyDescent="0.25">
      <c r="A19" s="11" t="s">
        <v>17</v>
      </c>
      <c r="B19" s="69">
        <v>10827</v>
      </c>
      <c r="C19" s="70">
        <v>1195</v>
      </c>
      <c r="D19" s="69">
        <v>29270</v>
      </c>
      <c r="E19" s="70">
        <v>2144</v>
      </c>
      <c r="F19" s="72">
        <v>5236</v>
      </c>
      <c r="G19" s="75">
        <v>882</v>
      </c>
    </row>
    <row r="20" spans="1:7" x14ac:dyDescent="0.25">
      <c r="A20" s="11" t="s">
        <v>18</v>
      </c>
      <c r="B20" s="69">
        <v>5602</v>
      </c>
      <c r="C20" s="70">
        <v>466</v>
      </c>
      <c r="D20" s="69">
        <v>12537</v>
      </c>
      <c r="E20" s="70">
        <v>722</v>
      </c>
      <c r="F20" s="72">
        <v>2817</v>
      </c>
      <c r="G20" s="75">
        <v>361</v>
      </c>
    </row>
    <row r="21" spans="1:7" x14ac:dyDescent="0.25">
      <c r="A21" s="11" t="s">
        <v>19</v>
      </c>
      <c r="B21" s="69">
        <v>10618</v>
      </c>
      <c r="C21" s="70">
        <v>1174</v>
      </c>
      <c r="D21" s="69">
        <v>21102</v>
      </c>
      <c r="E21" s="70">
        <v>1353</v>
      </c>
      <c r="F21" s="72">
        <v>5527</v>
      </c>
      <c r="G21" s="75">
        <v>844</v>
      </c>
    </row>
    <row r="22" spans="1:7" x14ac:dyDescent="0.25">
      <c r="A22" s="11" t="s">
        <v>20</v>
      </c>
      <c r="B22" s="69">
        <v>12811</v>
      </c>
      <c r="C22" s="70">
        <v>1583</v>
      </c>
      <c r="D22" s="69">
        <v>29758</v>
      </c>
      <c r="E22" s="70">
        <v>1978</v>
      </c>
      <c r="F22" s="72">
        <v>5880</v>
      </c>
      <c r="G22" s="75">
        <v>915</v>
      </c>
    </row>
    <row r="23" spans="1:7" x14ac:dyDescent="0.25">
      <c r="A23" s="11" t="s">
        <v>21</v>
      </c>
      <c r="B23" s="69">
        <v>56805</v>
      </c>
      <c r="C23" s="70">
        <v>5001</v>
      </c>
      <c r="D23" s="69">
        <v>83187</v>
      </c>
      <c r="E23" s="70">
        <v>4981</v>
      </c>
      <c r="F23" s="72">
        <v>30324</v>
      </c>
      <c r="G23" s="75">
        <v>3588</v>
      </c>
    </row>
    <row r="24" spans="1:7" x14ac:dyDescent="0.25">
      <c r="A24" s="11" t="s">
        <v>22</v>
      </c>
      <c r="B24" s="69">
        <v>77477</v>
      </c>
      <c r="C24" s="70">
        <v>9272</v>
      </c>
      <c r="D24" s="69">
        <v>70667</v>
      </c>
      <c r="E24" s="70">
        <v>5228</v>
      </c>
      <c r="F24" s="72">
        <v>33515</v>
      </c>
      <c r="G24" s="75">
        <v>5258</v>
      </c>
    </row>
    <row r="25" spans="1:7" x14ac:dyDescent="0.25">
      <c r="A25" s="11" t="s">
        <v>23</v>
      </c>
      <c r="B25" s="69">
        <v>180209</v>
      </c>
      <c r="C25" s="70">
        <v>23007</v>
      </c>
      <c r="D25" s="69">
        <v>131608</v>
      </c>
      <c r="E25" s="70">
        <v>11072</v>
      </c>
      <c r="F25" s="72">
        <v>56435</v>
      </c>
      <c r="G25" s="75">
        <v>8947</v>
      </c>
    </row>
    <row r="26" spans="1:7" x14ac:dyDescent="0.25">
      <c r="A26" s="11" t="s">
        <v>24</v>
      </c>
      <c r="B26" s="69">
        <v>5369</v>
      </c>
      <c r="C26" s="70">
        <v>392</v>
      </c>
      <c r="D26" s="69">
        <v>11566</v>
      </c>
      <c r="E26" s="70">
        <v>547</v>
      </c>
      <c r="F26" s="72">
        <v>2263</v>
      </c>
      <c r="G26" s="75">
        <v>299</v>
      </c>
    </row>
    <row r="27" spans="1:7" x14ac:dyDescent="0.25">
      <c r="A27" s="11" t="s">
        <v>25</v>
      </c>
      <c r="B27" s="69">
        <v>68976</v>
      </c>
      <c r="C27" s="70">
        <v>7434</v>
      </c>
      <c r="D27" s="69">
        <v>65588</v>
      </c>
      <c r="E27" s="70">
        <v>5181</v>
      </c>
      <c r="F27" s="72">
        <v>23374</v>
      </c>
      <c r="G27" s="75">
        <v>4164</v>
      </c>
    </row>
    <row r="28" spans="1:7" x14ac:dyDescent="0.25">
      <c r="A28" s="11" t="s">
        <v>26</v>
      </c>
      <c r="B28" s="69">
        <v>26684</v>
      </c>
      <c r="C28" s="70">
        <v>2732</v>
      </c>
      <c r="D28" s="69">
        <v>38854</v>
      </c>
      <c r="E28" s="70">
        <v>2463</v>
      </c>
      <c r="F28" s="72">
        <v>7643</v>
      </c>
      <c r="G28" s="75">
        <v>1158</v>
      </c>
    </row>
    <row r="29" spans="1:7" x14ac:dyDescent="0.25">
      <c r="A29" s="11" t="s">
        <v>27</v>
      </c>
      <c r="B29" s="69">
        <v>708</v>
      </c>
      <c r="C29" s="70">
        <v>79</v>
      </c>
      <c r="D29" s="69">
        <v>1925</v>
      </c>
      <c r="E29" s="70">
        <v>135</v>
      </c>
      <c r="F29" s="72">
        <v>355</v>
      </c>
      <c r="G29" s="75">
        <v>52</v>
      </c>
    </row>
    <row r="30" spans="1:7" x14ac:dyDescent="0.25">
      <c r="A30" s="11" t="s">
        <v>28</v>
      </c>
      <c r="B30" s="69">
        <v>21355</v>
      </c>
      <c r="C30" s="70">
        <v>2167</v>
      </c>
      <c r="D30" s="69">
        <v>60914</v>
      </c>
      <c r="E30" s="70">
        <v>3383</v>
      </c>
      <c r="F30" s="72">
        <v>15759</v>
      </c>
      <c r="G30" s="75">
        <v>1864</v>
      </c>
    </row>
    <row r="31" spans="1:7" x14ac:dyDescent="0.25">
      <c r="A31" s="11" t="s">
        <v>29</v>
      </c>
      <c r="B31" s="69">
        <v>1302</v>
      </c>
      <c r="C31" s="70">
        <v>172</v>
      </c>
      <c r="D31" s="69">
        <v>6987</v>
      </c>
      <c r="E31" s="70">
        <v>475</v>
      </c>
      <c r="F31" s="72">
        <v>982</v>
      </c>
      <c r="G31" s="75">
        <v>195</v>
      </c>
    </row>
    <row r="32" spans="1:7" x14ac:dyDescent="0.25">
      <c r="A32" s="11" t="s">
        <v>30</v>
      </c>
      <c r="B32" s="69">
        <v>6661</v>
      </c>
      <c r="C32" s="70">
        <v>679</v>
      </c>
      <c r="D32" s="69">
        <v>11361</v>
      </c>
      <c r="E32" s="70">
        <v>822</v>
      </c>
      <c r="F32" s="72">
        <v>1905</v>
      </c>
      <c r="G32" s="75">
        <v>360</v>
      </c>
    </row>
    <row r="33" spans="1:7" x14ac:dyDescent="0.25">
      <c r="A33" s="11" t="s">
        <v>31</v>
      </c>
      <c r="B33" s="69">
        <v>5177</v>
      </c>
      <c r="C33" s="70">
        <v>832</v>
      </c>
      <c r="D33" s="69">
        <v>17688</v>
      </c>
      <c r="E33" s="70">
        <v>1191</v>
      </c>
      <c r="F33" s="72">
        <v>2537</v>
      </c>
      <c r="G33" s="75">
        <v>447</v>
      </c>
    </row>
    <row r="34" spans="1:7" x14ac:dyDescent="0.25">
      <c r="A34" s="11" t="s">
        <v>32</v>
      </c>
      <c r="B34" s="69">
        <v>12939</v>
      </c>
      <c r="C34" s="70">
        <v>917</v>
      </c>
      <c r="D34" s="69">
        <v>27796</v>
      </c>
      <c r="E34" s="70">
        <v>1060</v>
      </c>
      <c r="F34" s="72">
        <v>5886</v>
      </c>
      <c r="G34" s="75">
        <v>491</v>
      </c>
    </row>
    <row r="35" spans="1:7" x14ac:dyDescent="0.25">
      <c r="A35" s="11" t="s">
        <v>33</v>
      </c>
      <c r="B35" s="69">
        <v>4944</v>
      </c>
      <c r="C35" s="70">
        <v>476</v>
      </c>
      <c r="D35" s="69">
        <v>18133</v>
      </c>
      <c r="E35" s="70">
        <v>1271</v>
      </c>
      <c r="F35" s="72">
        <v>2864</v>
      </c>
      <c r="G35" s="75">
        <v>362</v>
      </c>
    </row>
    <row r="36" spans="1:7" x14ac:dyDescent="0.25">
      <c r="A36" s="11" t="s">
        <v>34</v>
      </c>
      <c r="B36" s="69">
        <v>2321</v>
      </c>
      <c r="C36" s="70">
        <v>216</v>
      </c>
      <c r="D36" s="69">
        <v>9583</v>
      </c>
      <c r="E36" s="70">
        <v>441</v>
      </c>
      <c r="F36" s="72">
        <v>1358</v>
      </c>
      <c r="G36" s="75">
        <v>159</v>
      </c>
    </row>
    <row r="37" spans="1:7" x14ac:dyDescent="0.25">
      <c r="A37" s="11" t="s">
        <v>35</v>
      </c>
      <c r="B37" s="69">
        <v>70592</v>
      </c>
      <c r="C37" s="70">
        <v>6268</v>
      </c>
      <c r="D37" s="69">
        <v>48197</v>
      </c>
      <c r="E37" s="70">
        <v>4066</v>
      </c>
      <c r="F37" s="72">
        <v>17960</v>
      </c>
      <c r="G37" s="75">
        <v>2945</v>
      </c>
    </row>
    <row r="38" spans="1:7" x14ac:dyDescent="0.25">
      <c r="A38" s="11" t="s">
        <v>36</v>
      </c>
      <c r="B38" s="69">
        <v>102116</v>
      </c>
      <c r="C38" s="70">
        <v>11052</v>
      </c>
      <c r="D38" s="69">
        <v>171804</v>
      </c>
      <c r="E38" s="70">
        <v>11827</v>
      </c>
      <c r="F38" s="72">
        <v>59653</v>
      </c>
      <c r="G38" s="75">
        <v>8187</v>
      </c>
    </row>
    <row r="39" spans="1:7" x14ac:dyDescent="0.25">
      <c r="A39" s="11" t="s">
        <v>37</v>
      </c>
      <c r="B39" s="69">
        <v>17967</v>
      </c>
      <c r="C39" s="70">
        <v>1687</v>
      </c>
      <c r="D39" s="69">
        <v>28424</v>
      </c>
      <c r="E39" s="70">
        <v>1671</v>
      </c>
      <c r="F39" s="72">
        <v>6612</v>
      </c>
      <c r="G39" s="75">
        <v>939</v>
      </c>
    </row>
    <row r="40" spans="1:7" x14ac:dyDescent="0.25">
      <c r="A40" s="11" t="s">
        <v>38</v>
      </c>
      <c r="B40" s="69">
        <v>22759</v>
      </c>
      <c r="C40" s="70">
        <v>2707</v>
      </c>
      <c r="D40" s="69">
        <v>49583</v>
      </c>
      <c r="E40" s="70">
        <v>3051</v>
      </c>
      <c r="F40" s="72">
        <v>13967</v>
      </c>
      <c r="G40" s="75">
        <v>2105</v>
      </c>
    </row>
    <row r="41" spans="1:7" x14ac:dyDescent="0.25">
      <c r="A41" s="11" t="s">
        <v>39</v>
      </c>
      <c r="B41" s="69">
        <v>99053</v>
      </c>
      <c r="C41" s="70">
        <v>12829</v>
      </c>
      <c r="D41" s="69">
        <v>82970</v>
      </c>
      <c r="E41" s="70">
        <v>6480</v>
      </c>
      <c r="F41" s="72">
        <v>45566</v>
      </c>
      <c r="G41" s="75">
        <v>7630</v>
      </c>
    </row>
    <row r="42" spans="1:7" x14ac:dyDescent="0.25">
      <c r="A42" s="11" t="s">
        <v>40</v>
      </c>
      <c r="B42" s="69">
        <v>76892</v>
      </c>
      <c r="C42" s="70">
        <v>8679</v>
      </c>
      <c r="D42" s="69">
        <v>84356</v>
      </c>
      <c r="E42" s="70">
        <v>6430</v>
      </c>
      <c r="F42" s="72">
        <v>27006</v>
      </c>
      <c r="G42" s="75">
        <v>4629</v>
      </c>
    </row>
    <row r="43" spans="1:7" x14ac:dyDescent="0.25">
      <c r="A43" s="11" t="s">
        <v>41</v>
      </c>
      <c r="B43" s="69">
        <v>16540</v>
      </c>
      <c r="C43" s="70">
        <v>1672</v>
      </c>
      <c r="D43" s="69">
        <v>41606</v>
      </c>
      <c r="E43" s="70">
        <v>2104</v>
      </c>
      <c r="F43" s="72">
        <v>9530</v>
      </c>
      <c r="G43" s="75">
        <v>1207</v>
      </c>
    </row>
    <row r="44" spans="1:7" x14ac:dyDescent="0.25">
      <c r="A44" s="11" t="s">
        <v>42</v>
      </c>
      <c r="B44" s="69">
        <v>4705</v>
      </c>
      <c r="C44" s="70">
        <v>610</v>
      </c>
      <c r="D44" s="69">
        <v>14929</v>
      </c>
      <c r="E44" s="70">
        <v>1289</v>
      </c>
      <c r="F44" s="72">
        <v>3198</v>
      </c>
      <c r="G44" s="75">
        <v>591</v>
      </c>
    </row>
    <row r="45" spans="1:7" x14ac:dyDescent="0.25">
      <c r="A45" s="11" t="s">
        <v>43</v>
      </c>
      <c r="B45" s="69">
        <v>20967</v>
      </c>
      <c r="C45" s="70">
        <v>2164</v>
      </c>
      <c r="D45" s="69">
        <v>35852</v>
      </c>
      <c r="E45" s="70">
        <v>2444</v>
      </c>
      <c r="F45" s="72">
        <v>9124</v>
      </c>
      <c r="G45" s="75">
        <v>1354</v>
      </c>
    </row>
    <row r="46" spans="1:7" x14ac:dyDescent="0.25">
      <c r="A46" s="11" t="s">
        <v>44</v>
      </c>
      <c r="B46" s="69">
        <v>4838</v>
      </c>
      <c r="C46" s="70">
        <v>547</v>
      </c>
      <c r="D46" s="69">
        <v>17503</v>
      </c>
      <c r="E46" s="70">
        <v>1142</v>
      </c>
      <c r="F46" s="72">
        <v>2707</v>
      </c>
      <c r="G46" s="75">
        <v>433</v>
      </c>
    </row>
    <row r="47" spans="1:7" x14ac:dyDescent="0.25">
      <c r="A47" s="11" t="s">
        <v>45</v>
      </c>
      <c r="B47" s="69">
        <v>42270</v>
      </c>
      <c r="C47" s="70">
        <v>6374</v>
      </c>
      <c r="D47" s="69">
        <v>39575</v>
      </c>
      <c r="E47" s="70">
        <v>3789</v>
      </c>
      <c r="F47" s="72">
        <v>22209</v>
      </c>
      <c r="G47" s="75">
        <v>3568</v>
      </c>
    </row>
    <row r="48" spans="1:7" x14ac:dyDescent="0.25">
      <c r="A48" s="11" t="s">
        <v>46</v>
      </c>
      <c r="B48" s="69">
        <v>284057</v>
      </c>
      <c r="C48" s="70">
        <v>21727</v>
      </c>
      <c r="D48" s="69">
        <v>195864</v>
      </c>
      <c r="E48" s="70">
        <v>11689</v>
      </c>
      <c r="F48" s="72">
        <v>100571</v>
      </c>
      <c r="G48" s="75">
        <v>10486</v>
      </c>
    </row>
    <row r="49" spans="1:7" x14ac:dyDescent="0.25">
      <c r="A49" s="11" t="s">
        <v>47</v>
      </c>
      <c r="B49" s="69">
        <v>3417</v>
      </c>
      <c r="C49" s="70">
        <v>355</v>
      </c>
      <c r="D49" s="69">
        <v>6105</v>
      </c>
      <c r="E49" s="70">
        <v>452</v>
      </c>
      <c r="F49" s="72">
        <v>1773</v>
      </c>
      <c r="G49" s="75">
        <v>265</v>
      </c>
    </row>
    <row r="50" spans="1:7" x14ac:dyDescent="0.25">
      <c r="A50" s="11" t="s">
        <v>48</v>
      </c>
      <c r="B50" s="69">
        <v>85527</v>
      </c>
      <c r="C50" s="70">
        <v>10766</v>
      </c>
      <c r="D50" s="69">
        <v>80434</v>
      </c>
      <c r="E50" s="70">
        <v>6460</v>
      </c>
      <c r="F50" s="72">
        <v>42816</v>
      </c>
      <c r="G50" s="75">
        <v>6704</v>
      </c>
    </row>
    <row r="51" spans="1:7" x14ac:dyDescent="0.25">
      <c r="A51" s="11" t="s">
        <v>49</v>
      </c>
      <c r="B51" s="69">
        <v>12121</v>
      </c>
      <c r="C51" s="70">
        <v>3194</v>
      </c>
      <c r="D51" s="69">
        <v>27108</v>
      </c>
      <c r="E51" s="70">
        <v>4798</v>
      </c>
      <c r="F51" s="72">
        <v>5043</v>
      </c>
      <c r="G51" s="75">
        <v>3046</v>
      </c>
    </row>
    <row r="52" spans="1:7" x14ac:dyDescent="0.25">
      <c r="A52" s="11" t="s">
        <v>50</v>
      </c>
      <c r="B52" s="69">
        <v>5654</v>
      </c>
      <c r="C52" s="70">
        <v>367</v>
      </c>
      <c r="D52" s="69">
        <v>19983</v>
      </c>
      <c r="E52" s="70">
        <v>939</v>
      </c>
      <c r="F52" s="72">
        <v>3865</v>
      </c>
      <c r="G52" s="75">
        <v>436</v>
      </c>
    </row>
    <row r="53" spans="1:7" x14ac:dyDescent="0.25">
      <c r="A53" s="11" t="s">
        <v>51</v>
      </c>
      <c r="B53" s="69">
        <v>652110</v>
      </c>
      <c r="C53" s="70">
        <v>127929</v>
      </c>
      <c r="D53" s="69">
        <v>111011</v>
      </c>
      <c r="E53" s="70">
        <v>20222</v>
      </c>
      <c r="F53" s="72">
        <v>146528</v>
      </c>
      <c r="G53" s="75">
        <v>34521</v>
      </c>
    </row>
    <row r="54" spans="1:7" x14ac:dyDescent="0.25">
      <c r="A54" s="11" t="s">
        <v>52</v>
      </c>
      <c r="B54" s="69">
        <v>11824</v>
      </c>
      <c r="C54" s="70">
        <v>1801</v>
      </c>
      <c r="D54" s="69">
        <v>20965</v>
      </c>
      <c r="E54" s="70">
        <v>2169</v>
      </c>
      <c r="F54" s="72">
        <v>9176</v>
      </c>
      <c r="G54" s="75">
        <v>1506</v>
      </c>
    </row>
    <row r="55" spans="1:7" x14ac:dyDescent="0.25">
      <c r="A55" s="11" t="s">
        <v>53</v>
      </c>
      <c r="B55" s="69">
        <v>1594</v>
      </c>
      <c r="C55" s="70">
        <v>137</v>
      </c>
      <c r="D55" s="69">
        <v>7477</v>
      </c>
      <c r="E55" s="70">
        <v>510</v>
      </c>
      <c r="F55" s="72">
        <v>1099</v>
      </c>
      <c r="G55" s="75">
        <v>170</v>
      </c>
    </row>
    <row r="56" spans="1:7" x14ac:dyDescent="0.25">
      <c r="A56" s="11" t="s">
        <v>54</v>
      </c>
      <c r="B56" s="69">
        <v>23376</v>
      </c>
      <c r="C56" s="70">
        <v>1998</v>
      </c>
      <c r="D56" s="69">
        <v>50637</v>
      </c>
      <c r="E56" s="70">
        <v>2532</v>
      </c>
      <c r="F56" s="72">
        <v>12508</v>
      </c>
      <c r="G56" s="75">
        <v>1441</v>
      </c>
    </row>
    <row r="57" spans="1:7" x14ac:dyDescent="0.25">
      <c r="A57" s="11" t="s">
        <v>55</v>
      </c>
      <c r="B57" s="69">
        <v>4377</v>
      </c>
      <c r="C57" s="70">
        <v>511</v>
      </c>
      <c r="D57" s="69">
        <v>15053</v>
      </c>
      <c r="E57" s="70">
        <v>888</v>
      </c>
      <c r="F57" s="72">
        <v>2570</v>
      </c>
      <c r="G57" s="75">
        <v>451</v>
      </c>
    </row>
    <row r="58" spans="1:7" x14ac:dyDescent="0.25">
      <c r="A58" s="11" t="s">
        <v>56</v>
      </c>
      <c r="B58" s="69">
        <v>9691</v>
      </c>
      <c r="C58" s="70">
        <v>791</v>
      </c>
      <c r="D58" s="69">
        <v>31231</v>
      </c>
      <c r="E58" s="70">
        <v>1567</v>
      </c>
      <c r="F58" s="72">
        <v>4630</v>
      </c>
      <c r="G58" s="75">
        <v>577</v>
      </c>
    </row>
    <row r="59" spans="1:7" x14ac:dyDescent="0.25">
      <c r="A59" s="11" t="s">
        <v>57</v>
      </c>
      <c r="B59" s="69">
        <v>993</v>
      </c>
      <c r="C59" s="70">
        <v>74</v>
      </c>
      <c r="D59" s="69">
        <v>2705</v>
      </c>
      <c r="E59" s="70">
        <v>146</v>
      </c>
      <c r="F59" s="72">
        <v>491</v>
      </c>
      <c r="G59" s="75">
        <v>54</v>
      </c>
    </row>
    <row r="60" spans="1:7" x14ac:dyDescent="0.25">
      <c r="A60" s="11" t="s">
        <v>58</v>
      </c>
      <c r="B60" s="69">
        <v>5417</v>
      </c>
      <c r="C60" s="70">
        <v>718</v>
      </c>
      <c r="D60" s="69">
        <v>15975</v>
      </c>
      <c r="E60" s="70">
        <v>1285</v>
      </c>
      <c r="F60" s="72">
        <v>3418</v>
      </c>
      <c r="G60" s="75">
        <v>596</v>
      </c>
    </row>
    <row r="61" spans="1:7" x14ac:dyDescent="0.25">
      <c r="A61" s="11" t="s">
        <v>59</v>
      </c>
      <c r="B61" s="69">
        <v>4552</v>
      </c>
      <c r="C61" s="70">
        <v>376</v>
      </c>
      <c r="D61" s="69">
        <v>17070</v>
      </c>
      <c r="E61" s="70">
        <v>1035</v>
      </c>
      <c r="F61" s="72">
        <v>3327</v>
      </c>
      <c r="G61" s="75">
        <v>451</v>
      </c>
    </row>
    <row r="62" spans="1:7" x14ac:dyDescent="0.25">
      <c r="A62" s="11" t="s">
        <v>60</v>
      </c>
      <c r="B62" s="69">
        <v>6584</v>
      </c>
      <c r="C62" s="70">
        <v>1281</v>
      </c>
      <c r="D62" s="69">
        <v>13184</v>
      </c>
      <c r="E62" s="70">
        <v>1200</v>
      </c>
      <c r="F62" s="72">
        <v>3418</v>
      </c>
      <c r="G62" s="75">
        <v>833</v>
      </c>
    </row>
    <row r="63" spans="1:7" x14ac:dyDescent="0.25">
      <c r="A63" s="11" t="s">
        <v>61</v>
      </c>
      <c r="B63" s="69">
        <v>7362</v>
      </c>
      <c r="C63" s="70">
        <v>664</v>
      </c>
      <c r="D63" s="69">
        <v>18986</v>
      </c>
      <c r="E63" s="70">
        <v>1142</v>
      </c>
      <c r="F63" s="72">
        <v>4158</v>
      </c>
      <c r="G63" s="75">
        <v>520</v>
      </c>
    </row>
    <row r="64" spans="1:7" x14ac:dyDescent="0.25">
      <c r="A64" s="11" t="s">
        <v>62</v>
      </c>
      <c r="B64" s="69">
        <v>5891</v>
      </c>
      <c r="C64" s="70">
        <v>449</v>
      </c>
      <c r="D64" s="69">
        <v>14361</v>
      </c>
      <c r="E64" s="70">
        <v>868</v>
      </c>
      <c r="F64" s="72">
        <v>3483</v>
      </c>
      <c r="G64" s="75">
        <v>370</v>
      </c>
    </row>
    <row r="65" spans="1:7" x14ac:dyDescent="0.25">
      <c r="A65" s="11" t="s">
        <v>63</v>
      </c>
      <c r="B65" s="69">
        <v>48891</v>
      </c>
      <c r="C65" s="70">
        <v>3682</v>
      </c>
      <c r="D65" s="69">
        <v>69118</v>
      </c>
      <c r="E65" s="70">
        <v>3596</v>
      </c>
      <c r="F65" s="72">
        <v>17658</v>
      </c>
      <c r="G65" s="75">
        <v>2101</v>
      </c>
    </row>
    <row r="66" spans="1:7" x14ac:dyDescent="0.25">
      <c r="A66" s="11" t="s">
        <v>64</v>
      </c>
      <c r="B66" s="69">
        <v>7886</v>
      </c>
      <c r="C66" s="70">
        <v>827</v>
      </c>
      <c r="D66" s="69">
        <v>20346</v>
      </c>
      <c r="E66" s="70">
        <v>1394</v>
      </c>
      <c r="F66" s="72">
        <v>5504</v>
      </c>
      <c r="G66" s="75">
        <v>752</v>
      </c>
    </row>
    <row r="67" spans="1:7" x14ac:dyDescent="0.25">
      <c r="A67" s="11" t="s">
        <v>65</v>
      </c>
      <c r="B67" s="69">
        <v>80459</v>
      </c>
      <c r="C67" s="70">
        <v>6237</v>
      </c>
      <c r="D67" s="69">
        <v>123831</v>
      </c>
      <c r="E67" s="70">
        <v>6945</v>
      </c>
      <c r="F67" s="72">
        <v>29667</v>
      </c>
      <c r="G67" s="75">
        <v>3569</v>
      </c>
    </row>
    <row r="68" spans="1:7" x14ac:dyDescent="0.25">
      <c r="A68" s="11" t="s">
        <v>66</v>
      </c>
      <c r="B68" s="69">
        <v>4327</v>
      </c>
      <c r="C68" s="70">
        <v>367</v>
      </c>
      <c r="D68" s="69">
        <v>10679</v>
      </c>
      <c r="E68" s="70">
        <v>633</v>
      </c>
      <c r="F68" s="72">
        <v>2198</v>
      </c>
      <c r="G68" s="75">
        <v>292</v>
      </c>
    </row>
    <row r="69" spans="1:7" x14ac:dyDescent="0.25">
      <c r="A69" s="19" t="s">
        <v>67</v>
      </c>
      <c r="B69" s="68">
        <v>85974</v>
      </c>
      <c r="C69" s="71">
        <v>10691</v>
      </c>
      <c r="D69" s="68">
        <v>156237</v>
      </c>
      <c r="E69" s="71">
        <v>12055</v>
      </c>
      <c r="F69" s="73">
        <v>55007</v>
      </c>
      <c r="G69" s="76">
        <v>8174</v>
      </c>
    </row>
    <row r="70" spans="1:7" x14ac:dyDescent="0.25">
      <c r="A70" s="32" t="s">
        <v>68</v>
      </c>
      <c r="B70" s="14">
        <f>SUM(B3:B69)</f>
        <v>3425004</v>
      </c>
      <c r="C70" s="14">
        <f t="shared" ref="C70:G70" si="0">SUM(C3:C69)</f>
        <v>425628</v>
      </c>
      <c r="D70" s="14">
        <f t="shared" si="0"/>
        <v>3387266</v>
      </c>
      <c r="E70" s="14">
        <f t="shared" si="0"/>
        <v>246760</v>
      </c>
      <c r="F70" s="14">
        <f t="shared" si="0"/>
        <v>1305877</v>
      </c>
      <c r="G70" s="14">
        <f t="shared" si="0"/>
        <v>202798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8993333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2026-09-14T12:31:03Z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