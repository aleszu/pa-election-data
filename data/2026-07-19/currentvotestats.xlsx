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VR Stats/"/>
    </mc:Choice>
  </mc:AlternateContent>
  <xr:revisionPtr revIDLastSave="2" documentId="8_{AA27EAA6-A304-4B41-B65C-1CFA9D206FCD}" xr6:coauthVersionLast="47" xr6:coauthVersionMax="47" xr10:uidLastSave="{40D372FC-A61F-44A0-B5C1-5BB855FE4543}"/>
  <bookViews>
    <workbookView xWindow="34800" yWindow="2475" windowWidth="21600" windowHeight="11295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<sst xmlns="http://schemas.openxmlformats.org/spreadsheetml/2006/main" count="1141" uniqueCount="131">
  <si>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</si>
  <si>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</si>
  <si>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</si>
  <si>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</si>
  <si>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</si>
  <si>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</si>
  <si>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</si>
  <si>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</si>
  <si>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</si>
  <si>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</si>
  <si>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</si>
  <si>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</si>
  <si>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</si>
  <si>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</si>
  <si>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</si>
  <si>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</si>
  <si>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</si>
  <si>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</si>
  <si>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</si>
  <si>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</si>
  <si>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</si>
  <si>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</si>
  <si>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</si>
  <si>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</si>
  <si>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</si>
  <si>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</si>
  <si>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</si>
  <si>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</si>
  <si>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</si>
  <si>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</si>
  <si>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</si>
  <si>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</si>
  <si>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</si>
  <si>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</si>
  <si>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</si>
  <si>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</si>
  <si>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</si>
  <si>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</si>
  <si>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</si>
  <si>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</si>
  <si>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</si>
  <si>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</si>
  <si>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</si>
  <si>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</si>
  <si>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</si>
  <si>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</si>
  <si>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</si>
  <si>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</si>
  <si>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</si>
  <si>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</si>
  <si>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</si>
  <si>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</si>
  <si>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</si>
  <si>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</si>
  <si>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</si>
  <si>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</si>
  <si>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</si>
  <si>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</si>
  <si>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</si>
  <si>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</si>
  <si>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</si>
  <si>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</si>
  <si>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</si>
  <si>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</si>
  <si>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</si>
  <si>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</si>
  <si>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</si>
  <si>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</si>
  <si>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</si>
  <si>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</si>
  <si>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</si>
  <si>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</si>
  <si>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</si>
  <si>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</si>
  <si>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</si>
  <si>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</si>
  <si>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</si>
  <si>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</si>
  <si>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</si>
  <si>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</si>
  <si>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</si>
  <si>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</si>
  <si>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</si>
  <si>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</si>
  <si>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</si>
  <si>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</si>
  <si>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</si>
  <si>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</si>
  <si>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</si>
  <si>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</si>
  <si>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</si>
  <si>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</si>
  <si>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</si>
  <si>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</si>
  <si>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</si>
  <si>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</si>
  <si>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</si>
  <si>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</si>
  <si>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</si>
  <si>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</si>
  <si>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</si>
  <si>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</si>
  <si>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</si>
  <si>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</si>
  <si>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</si>
  <si>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</si>
  <si>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</si>
  <si>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</si>
  <si>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</si>
  <si>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</si>
  <si>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</si>
  <si>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</si>
  <si>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</si>
  <si>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</si>
  <si>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</si>
  <si>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</si>
  <si>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</si>
  <si>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</si>
  <si>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</si>
  <si>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</si>
  <si>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</si>
  <si>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</si>
  <si>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</si>
  <si>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</si>
  <si>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</si>
  <si>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</si>
  <si>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</si>
  <si>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</si>
  <si>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</si>
  <si>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07/13/2026</t>
  </si>
  <si>
    <t>Week Of 07-06-2026 to 07-13-2026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</si>
</sst>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E2" sqref="E2"/>
    </sheetView>
  </sheetViews>
  <sheetFormatPr defaultRowHeight="12.75" x14ac:dyDescent="0.2"/>
  <cols>
    <col min="1" max="1" width="22.85546875" customWidth="1"/>
    <col min="2" max="2" width="9.7109375" style="1" customWidth="1"/>
    <col min="3" max="3" width="18.7109375" style="11" customWidth="1"/>
    <col min="4" max="4" width="2.5703125" style="11" customWidth="1"/>
    <col min="5" max="5" width="18.7109375" style="11" customWidth="1"/>
    <col min="6" max="6" width="2" style="11" customWidth="1"/>
    <col min="7" max="7" width="18.7109375" style="11" customWidth="1"/>
    <col min="8" max="8" width="1.5703125" style="11" customWidth="1"/>
    <col min="9" max="9" width="21.5703125" style="10" customWidth="1"/>
    <col min="10" max="10" width="1.7109375" style="11" customWidth="1"/>
    <col min="11" max="11" width="18" style="1" customWidth="1"/>
    <col min="18" max="18" width="7.85546875" bestFit="1" customWidth="1"/>
  </cols>
  <sheetData>
    <row r="1" spans="1:12" s="1" customFormat="1" ht="30" customHeight="1" x14ac:dyDescent="0.2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5.5" x14ac:dyDescent="0.2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">
      <c r="A3" t="s">
        <v>1</v>
      </c>
      <c r="B3" s="1">
        <v>2290</v>
      </c>
      <c r="C3">
        <v>19167</v>
      </c>
      <c r="D3"/>
      <c r="E3">
        <v>43995</v>
      </c>
      <c r="F3"/>
      <c r="G3">
        <v>10546</v>
      </c>
      <c r="H3"/>
      <c r="I3">
        <v>2793</v>
      </c>
      <c r="K3" s="10">
        <f t="shared" ref="K3:K34" si="0">SUM(C3+E3+G3+I3)</f>
        <v>76501</v>
      </c>
    </row>
    <row r="4" spans="1:12" x14ac:dyDescent="0.2">
      <c r="A4" t="s">
        <v>2</v>
      </c>
      <c r="B4" s="1">
        <v>2291</v>
      </c>
      <c r="C4">
        <v>502819</v>
      </c>
      <c r="D4"/>
      <c r="E4">
        <v>263253</v>
      </c>
      <c r="F4"/>
      <c r="G4">
        <v>113150</v>
      </c>
      <c r="H4"/>
      <c r="I4">
        <v>36837</v>
      </c>
      <c r="K4" s="10">
        <f t="shared" si="0"/>
        <v>916059</v>
      </c>
    </row>
    <row r="5" spans="1:12" x14ac:dyDescent="0.2">
      <c r="A5" t="s">
        <v>3</v>
      </c>
      <c r="B5" s="1">
        <v>2292</v>
      </c>
      <c r="C5">
        <v>10655</v>
      </c>
      <c r="D5"/>
      <c r="E5">
        <v>27620</v>
      </c>
      <c r="F5"/>
      <c r="G5">
        <v>3692</v>
      </c>
      <c r="H5"/>
      <c r="I5">
        <v>1588</v>
      </c>
      <c r="K5" s="10">
        <f t="shared" si="0"/>
        <v>43555</v>
      </c>
    </row>
    <row r="6" spans="1:12" x14ac:dyDescent="0.2">
      <c r="A6" t="s">
        <v>4</v>
      </c>
      <c r="B6" s="1">
        <v>2293</v>
      </c>
      <c r="C6">
        <v>45769</v>
      </c>
      <c r="D6"/>
      <c r="E6">
        <v>51865</v>
      </c>
      <c r="F6"/>
      <c r="G6">
        <v>11747</v>
      </c>
      <c r="H6"/>
      <c r="I6">
        <v>4713</v>
      </c>
      <c r="K6" s="10">
        <f t="shared" si="0"/>
        <v>114094</v>
      </c>
    </row>
    <row r="7" spans="1:12" x14ac:dyDescent="0.2">
      <c r="A7" t="s">
        <v>5</v>
      </c>
      <c r="B7" s="1">
        <v>2294</v>
      </c>
      <c r="C7">
        <v>5268</v>
      </c>
      <c r="D7"/>
      <c r="E7">
        <v>24582</v>
      </c>
      <c r="F7"/>
      <c r="G7">
        <v>2301</v>
      </c>
      <c r="H7"/>
      <c r="I7">
        <v>891</v>
      </c>
      <c r="K7" s="10">
        <f t="shared" si="0"/>
        <v>33042</v>
      </c>
    </row>
    <row r="8" spans="1:12" x14ac:dyDescent="0.2">
      <c r="A8" t="s">
        <v>6</v>
      </c>
      <c r="B8" s="1">
        <v>2295</v>
      </c>
      <c r="C8">
        <v>104309</v>
      </c>
      <c r="D8"/>
      <c r="E8">
        <v>118149</v>
      </c>
      <c r="F8"/>
      <c r="G8">
        <v>41237</v>
      </c>
      <c r="H8"/>
      <c r="I8">
        <v>10397</v>
      </c>
      <c r="K8" s="10">
        <f t="shared" si="0"/>
        <v>274092</v>
      </c>
    </row>
    <row r="9" spans="1:12" x14ac:dyDescent="0.2">
      <c r="A9" t="s">
        <v>7</v>
      </c>
      <c r="B9" s="1">
        <v>2296</v>
      </c>
      <c r="C9">
        <v>19780</v>
      </c>
      <c r="D9"/>
      <c r="E9">
        <v>50639</v>
      </c>
      <c r="F9"/>
      <c r="G9">
        <v>8423</v>
      </c>
      <c r="H9"/>
      <c r="I9">
        <v>2709</v>
      </c>
      <c r="K9" s="10">
        <f t="shared" si="0"/>
        <v>81551</v>
      </c>
    </row>
    <row r="10" spans="1:12" x14ac:dyDescent="0.2">
      <c r="A10" t="s">
        <v>8</v>
      </c>
      <c r="B10" s="1">
        <v>2297</v>
      </c>
      <c r="C10">
        <v>7800</v>
      </c>
      <c r="D10"/>
      <c r="E10">
        <v>25640</v>
      </c>
      <c r="F10"/>
      <c r="G10">
        <v>3855</v>
      </c>
      <c r="H10"/>
      <c r="I10">
        <v>1528</v>
      </c>
      <c r="K10" s="10">
        <f t="shared" si="0"/>
        <v>38823</v>
      </c>
    </row>
    <row r="11" spans="1:12" x14ac:dyDescent="0.2">
      <c r="A11" t="s">
        <v>9</v>
      </c>
      <c r="B11" s="1">
        <v>2298</v>
      </c>
      <c r="C11">
        <v>193846</v>
      </c>
      <c r="D11"/>
      <c r="E11">
        <v>202062</v>
      </c>
      <c r="F11"/>
      <c r="G11">
        <v>69723</v>
      </c>
      <c r="H11"/>
      <c r="I11">
        <v>18368</v>
      </c>
      <c r="K11" s="10">
        <f t="shared" si="0"/>
        <v>483999</v>
      </c>
    </row>
    <row r="12" spans="1:12" x14ac:dyDescent="0.2">
      <c r="A12" t="s">
        <v>10</v>
      </c>
      <c r="B12" s="1">
        <v>2299</v>
      </c>
      <c r="C12">
        <v>39148</v>
      </c>
      <c r="D12"/>
      <c r="E12">
        <v>82889</v>
      </c>
      <c r="F12"/>
      <c r="G12">
        <v>16247</v>
      </c>
      <c r="H12"/>
      <c r="I12">
        <v>5156</v>
      </c>
      <c r="K12" s="10">
        <f t="shared" si="0"/>
        <v>143440</v>
      </c>
    </row>
    <row r="13" spans="1:12" x14ac:dyDescent="0.2">
      <c r="A13" t="s">
        <v>11</v>
      </c>
      <c r="B13" s="1">
        <v>2300</v>
      </c>
      <c r="C13">
        <v>29426</v>
      </c>
      <c r="D13"/>
      <c r="E13">
        <v>46507</v>
      </c>
      <c r="F13"/>
      <c r="G13">
        <v>7817</v>
      </c>
      <c r="H13"/>
      <c r="I13">
        <v>2126</v>
      </c>
      <c r="K13" s="10">
        <f t="shared" si="0"/>
        <v>85876</v>
      </c>
    </row>
    <row r="14" spans="1:12" x14ac:dyDescent="0.2">
      <c r="A14" t="s">
        <v>12</v>
      </c>
      <c r="B14" s="1">
        <v>2301</v>
      </c>
      <c r="C14">
        <v>666</v>
      </c>
      <c r="D14"/>
      <c r="E14">
        <v>1839</v>
      </c>
      <c r="F14"/>
      <c r="G14">
        <v>253</v>
      </c>
      <c r="H14"/>
      <c r="I14">
        <v>123</v>
      </c>
      <c r="K14" s="10">
        <f t="shared" si="0"/>
        <v>2881</v>
      </c>
    </row>
    <row r="15" spans="1:12" x14ac:dyDescent="0.2">
      <c r="A15" t="s">
        <v>13</v>
      </c>
      <c r="B15" s="1">
        <v>2302</v>
      </c>
      <c r="C15">
        <v>14071</v>
      </c>
      <c r="D15"/>
      <c r="E15">
        <v>23854</v>
      </c>
      <c r="F15"/>
      <c r="G15">
        <v>5805</v>
      </c>
      <c r="H15"/>
      <c r="I15">
        <v>1920</v>
      </c>
      <c r="K15" s="10">
        <f t="shared" si="0"/>
        <v>45650</v>
      </c>
    </row>
    <row r="16" spans="1:12" x14ac:dyDescent="0.2">
      <c r="A16" t="s">
        <v>14</v>
      </c>
      <c r="B16" s="1">
        <v>2303</v>
      </c>
      <c r="C16">
        <v>41431</v>
      </c>
      <c r="D16"/>
      <c r="E16">
        <v>41812</v>
      </c>
      <c r="F16"/>
      <c r="G16">
        <v>16073</v>
      </c>
      <c r="H16"/>
      <c r="I16">
        <v>2686</v>
      </c>
      <c r="K16" s="10">
        <f t="shared" si="0"/>
        <v>102002</v>
      </c>
    </row>
    <row r="17" spans="1:11" x14ac:dyDescent="0.2">
      <c r="A17" t="s">
        <v>15</v>
      </c>
      <c r="B17" s="1">
        <v>2304</v>
      </c>
      <c r="C17">
        <v>160680</v>
      </c>
      <c r="D17"/>
      <c r="E17">
        <v>151933</v>
      </c>
      <c r="F17"/>
      <c r="G17">
        <v>58373</v>
      </c>
      <c r="H17"/>
      <c r="I17">
        <v>17963</v>
      </c>
      <c r="K17" s="10">
        <f t="shared" si="0"/>
        <v>388949</v>
      </c>
    </row>
    <row r="18" spans="1:11" x14ac:dyDescent="0.2">
      <c r="A18" t="s">
        <v>16</v>
      </c>
      <c r="B18" s="1">
        <v>2305</v>
      </c>
      <c r="C18">
        <v>5063</v>
      </c>
      <c r="D18"/>
      <c r="E18">
        <v>15559</v>
      </c>
      <c r="F18"/>
      <c r="G18">
        <v>2091</v>
      </c>
      <c r="H18"/>
      <c r="I18">
        <v>644</v>
      </c>
      <c r="K18" s="10">
        <f t="shared" si="0"/>
        <v>23357</v>
      </c>
    </row>
    <row r="19" spans="1:11" x14ac:dyDescent="0.2">
      <c r="A19" t="s">
        <v>17</v>
      </c>
      <c r="B19" s="1">
        <v>2306</v>
      </c>
      <c r="C19">
        <v>12030</v>
      </c>
      <c r="D19"/>
      <c r="E19">
        <v>31440</v>
      </c>
      <c r="F19"/>
      <c r="G19">
        <v>4289</v>
      </c>
      <c r="H19"/>
      <c r="I19">
        <v>1788</v>
      </c>
      <c r="K19" s="10">
        <f t="shared" si="0"/>
        <v>49547</v>
      </c>
    </row>
    <row r="20" spans="1:11" x14ac:dyDescent="0.2">
      <c r="A20" t="s">
        <v>18</v>
      </c>
      <c r="B20" s="1">
        <v>2307</v>
      </c>
      <c r="C20">
        <v>6073</v>
      </c>
      <c r="D20"/>
      <c r="E20">
        <v>13294</v>
      </c>
      <c r="F20"/>
      <c r="G20">
        <v>2405</v>
      </c>
      <c r="H20"/>
      <c r="I20">
        <v>742</v>
      </c>
      <c r="K20" s="10">
        <f t="shared" si="0"/>
        <v>22514</v>
      </c>
    </row>
    <row r="21" spans="1:11" x14ac:dyDescent="0.2">
      <c r="A21" t="s">
        <v>19</v>
      </c>
      <c r="B21" s="1">
        <v>2308</v>
      </c>
      <c r="C21">
        <v>11800</v>
      </c>
      <c r="D21"/>
      <c r="E21">
        <v>22479</v>
      </c>
      <c r="F21"/>
      <c r="G21">
        <v>4858</v>
      </c>
      <c r="H21"/>
      <c r="I21">
        <v>1491</v>
      </c>
      <c r="K21" s="10">
        <f t="shared" si="0"/>
        <v>40628</v>
      </c>
    </row>
    <row r="22" spans="1:11" x14ac:dyDescent="0.2">
      <c r="A22" t="s">
        <v>20</v>
      </c>
      <c r="B22" s="1">
        <v>2309</v>
      </c>
      <c r="C22">
        <v>14464</v>
      </c>
      <c r="D22"/>
      <c r="E22">
        <v>31900</v>
      </c>
      <c r="F22"/>
      <c r="G22">
        <v>4949</v>
      </c>
      <c r="H22"/>
      <c r="I22">
        <v>1839</v>
      </c>
      <c r="K22" s="10">
        <f t="shared" si="0"/>
        <v>53152</v>
      </c>
    </row>
    <row r="23" spans="1:11" x14ac:dyDescent="0.2">
      <c r="A23" t="s">
        <v>21</v>
      </c>
      <c r="B23" s="1">
        <v>2310</v>
      </c>
      <c r="C23">
        <v>61614</v>
      </c>
      <c r="D23"/>
      <c r="E23">
        <v>88503</v>
      </c>
      <c r="F23"/>
      <c r="G23">
        <v>27036</v>
      </c>
      <c r="H23"/>
      <c r="I23">
        <v>6501</v>
      </c>
      <c r="K23" s="10">
        <f t="shared" si="0"/>
        <v>183654</v>
      </c>
    </row>
    <row r="24" spans="1:11" x14ac:dyDescent="0.2">
      <c r="A24" t="s">
        <v>22</v>
      </c>
      <c r="B24" s="1">
        <v>2311</v>
      </c>
      <c r="C24">
        <v>86207</v>
      </c>
      <c r="D24"/>
      <c r="E24">
        <v>76096</v>
      </c>
      <c r="F24"/>
      <c r="G24">
        <v>30808</v>
      </c>
      <c r="H24"/>
      <c r="I24">
        <v>7231</v>
      </c>
      <c r="K24" s="10">
        <f t="shared" si="0"/>
        <v>200342</v>
      </c>
    </row>
    <row r="25" spans="1:11" x14ac:dyDescent="0.2">
      <c r="A25" t="s">
        <v>23</v>
      </c>
      <c r="B25" s="1">
        <v>2312</v>
      </c>
      <c r="C25">
        <v>202681</v>
      </c>
      <c r="D25"/>
      <c r="E25">
        <v>142995</v>
      </c>
      <c r="F25"/>
      <c r="G25">
        <v>48901</v>
      </c>
      <c r="H25"/>
      <c r="I25">
        <v>15699</v>
      </c>
      <c r="K25" s="10">
        <f t="shared" si="0"/>
        <v>410276</v>
      </c>
    </row>
    <row r="26" spans="1:11" x14ac:dyDescent="0.2">
      <c r="A26" t="s">
        <v>24</v>
      </c>
      <c r="B26" s="1">
        <v>2313</v>
      </c>
      <c r="C26">
        <v>5787</v>
      </c>
      <c r="D26"/>
      <c r="E26">
        <v>12123</v>
      </c>
      <c r="F26"/>
      <c r="G26">
        <v>1766</v>
      </c>
      <c r="H26"/>
      <c r="I26">
        <v>786</v>
      </c>
      <c r="K26" s="10">
        <f t="shared" si="0"/>
        <v>20462</v>
      </c>
    </row>
    <row r="27" spans="1:11" x14ac:dyDescent="0.2">
      <c r="A27" t="s">
        <v>25</v>
      </c>
      <c r="B27" s="1">
        <v>2314</v>
      </c>
      <c r="C27">
        <v>76527</v>
      </c>
      <c r="D27"/>
      <c r="E27">
        <v>70942</v>
      </c>
      <c r="F27"/>
      <c r="G27">
        <v>20796</v>
      </c>
      <c r="H27"/>
      <c r="I27">
        <v>6662</v>
      </c>
      <c r="K27" s="10">
        <f t="shared" si="0"/>
        <v>174927</v>
      </c>
    </row>
    <row r="28" spans="1:11" x14ac:dyDescent="0.2">
      <c r="A28" t="s">
        <v>26</v>
      </c>
      <c r="B28" s="1">
        <v>2315</v>
      </c>
      <c r="C28">
        <v>29542</v>
      </c>
      <c r="D28"/>
      <c r="E28">
        <v>41303</v>
      </c>
      <c r="F28"/>
      <c r="G28">
        <v>6656</v>
      </c>
      <c r="H28"/>
      <c r="I28">
        <v>2065</v>
      </c>
      <c r="K28" s="10">
        <f t="shared" si="0"/>
        <v>79566</v>
      </c>
    </row>
    <row r="29" spans="1:11" x14ac:dyDescent="0.2">
      <c r="A29" t="s">
        <v>27</v>
      </c>
      <c r="B29" s="1">
        <v>2316</v>
      </c>
      <c r="C29">
        <v>776</v>
      </c>
      <c r="D29"/>
      <c r="E29">
        <v>2040</v>
      </c>
      <c r="F29"/>
      <c r="G29">
        <v>274</v>
      </c>
      <c r="H29"/>
      <c r="I29">
        <v>123</v>
      </c>
      <c r="K29" s="10">
        <f t="shared" si="0"/>
        <v>3213</v>
      </c>
    </row>
    <row r="30" spans="1:11" x14ac:dyDescent="0.2">
      <c r="A30" t="s">
        <v>28</v>
      </c>
      <c r="B30" s="1">
        <v>2317</v>
      </c>
      <c r="C30">
        <v>23461</v>
      </c>
      <c r="D30"/>
      <c r="E30">
        <v>64360</v>
      </c>
      <c r="F30"/>
      <c r="G30">
        <v>13981</v>
      </c>
      <c r="H30"/>
      <c r="I30">
        <v>3413</v>
      </c>
      <c r="K30" s="10">
        <f t="shared" si="0"/>
        <v>105215</v>
      </c>
    </row>
    <row r="31" spans="1:11" x14ac:dyDescent="0.2">
      <c r="A31" t="s">
        <v>29</v>
      </c>
      <c r="B31" s="1">
        <v>2318</v>
      </c>
      <c r="C31">
        <v>1472</v>
      </c>
      <c r="D31"/>
      <c r="E31">
        <v>7475</v>
      </c>
      <c r="F31"/>
      <c r="G31">
        <v>900</v>
      </c>
      <c r="H31"/>
      <c r="I31">
        <v>266</v>
      </c>
      <c r="K31" s="10">
        <f t="shared" si="0"/>
        <v>10113</v>
      </c>
    </row>
    <row r="32" spans="1:11" x14ac:dyDescent="0.2">
      <c r="A32" t="s">
        <v>30</v>
      </c>
      <c r="B32" s="1">
        <v>2319</v>
      </c>
      <c r="C32">
        <v>7389</v>
      </c>
      <c r="D32"/>
      <c r="E32">
        <v>12149</v>
      </c>
      <c r="F32"/>
      <c r="G32">
        <v>1638</v>
      </c>
      <c r="H32"/>
      <c r="I32">
        <v>602</v>
      </c>
      <c r="K32" s="10">
        <f t="shared" si="0"/>
        <v>21778</v>
      </c>
    </row>
    <row r="33" spans="1:11" x14ac:dyDescent="0.2">
      <c r="A33" t="s">
        <v>31</v>
      </c>
      <c r="B33" s="1">
        <v>2320</v>
      </c>
      <c r="C33">
        <v>6020</v>
      </c>
      <c r="D33"/>
      <c r="E33">
        <v>18901</v>
      </c>
      <c r="F33"/>
      <c r="G33">
        <v>2365</v>
      </c>
      <c r="H33"/>
      <c r="I33">
        <v>600</v>
      </c>
      <c r="K33" s="10">
        <f t="shared" si="0"/>
        <v>27886</v>
      </c>
    </row>
    <row r="34" spans="1:11" x14ac:dyDescent="0.2">
      <c r="A34" t="s">
        <v>32</v>
      </c>
      <c r="B34" s="1">
        <v>2321</v>
      </c>
      <c r="C34">
        <v>13919</v>
      </c>
      <c r="D34"/>
      <c r="E34">
        <v>28886</v>
      </c>
      <c r="F34"/>
      <c r="G34">
        <v>4654</v>
      </c>
      <c r="H34"/>
      <c r="I34">
        <v>1683</v>
      </c>
      <c r="K34" s="10">
        <f t="shared" si="0"/>
        <v>49142</v>
      </c>
    </row>
    <row r="35" spans="1:11" x14ac:dyDescent="0.2">
      <c r="A35" t="s">
        <v>33</v>
      </c>
      <c r="B35" s="1">
        <v>2322</v>
      </c>
      <c r="C35">
        <v>5424</v>
      </c>
      <c r="D35"/>
      <c r="E35">
        <v>19430</v>
      </c>
      <c r="F35"/>
      <c r="G35">
        <v>2276</v>
      </c>
      <c r="H35"/>
      <c r="I35">
        <v>926</v>
      </c>
      <c r="K35" s="10">
        <f t="shared" ref="K35:K69" si="1">SUM(C35+E35+G35+I35)</f>
        <v>28056</v>
      </c>
    </row>
    <row r="36" spans="1:11" x14ac:dyDescent="0.2">
      <c r="A36" t="s">
        <v>34</v>
      </c>
      <c r="B36" s="1">
        <v>2323</v>
      </c>
      <c r="C36">
        <v>2544</v>
      </c>
      <c r="D36"/>
      <c r="E36">
        <v>10025</v>
      </c>
      <c r="F36"/>
      <c r="G36">
        <v>1172</v>
      </c>
      <c r="H36"/>
      <c r="I36">
        <v>337</v>
      </c>
      <c r="K36" s="10">
        <f t="shared" si="1"/>
        <v>14078</v>
      </c>
    </row>
    <row r="37" spans="1:11" x14ac:dyDescent="0.2">
      <c r="A37" t="s">
        <v>35</v>
      </c>
      <c r="B37" s="1">
        <v>2324</v>
      </c>
      <c r="C37">
        <v>76536</v>
      </c>
      <c r="D37"/>
      <c r="E37">
        <v>52284</v>
      </c>
      <c r="F37"/>
      <c r="G37">
        <v>17188</v>
      </c>
      <c r="H37"/>
      <c r="I37">
        <v>3488</v>
      </c>
      <c r="K37" s="10">
        <f t="shared" si="1"/>
        <v>149496</v>
      </c>
    </row>
    <row r="38" spans="1:11" x14ac:dyDescent="0.2">
      <c r="A38" t="s">
        <v>36</v>
      </c>
      <c r="B38" s="1">
        <v>2325</v>
      </c>
      <c r="C38">
        <v>112787</v>
      </c>
      <c r="D38"/>
      <c r="E38">
        <v>183861</v>
      </c>
      <c r="F38"/>
      <c r="G38">
        <v>51245</v>
      </c>
      <c r="H38"/>
      <c r="I38">
        <v>15985</v>
      </c>
      <c r="K38" s="10">
        <f t="shared" si="1"/>
        <v>363878</v>
      </c>
    </row>
    <row r="39" spans="1:11" x14ac:dyDescent="0.2">
      <c r="A39" t="s">
        <v>37</v>
      </c>
      <c r="B39" s="1">
        <v>2326</v>
      </c>
      <c r="C39">
        <v>19683</v>
      </c>
      <c r="D39"/>
      <c r="E39">
        <v>30127</v>
      </c>
      <c r="F39"/>
      <c r="G39">
        <v>5614</v>
      </c>
      <c r="H39"/>
      <c r="I39">
        <v>1895</v>
      </c>
      <c r="K39" s="10">
        <f t="shared" si="1"/>
        <v>57319</v>
      </c>
    </row>
    <row r="40" spans="1:11" x14ac:dyDescent="0.2">
      <c r="A40" t="s">
        <v>38</v>
      </c>
      <c r="B40" s="1">
        <v>2327</v>
      </c>
      <c r="C40">
        <v>25354</v>
      </c>
      <c r="D40"/>
      <c r="E40">
        <v>52616</v>
      </c>
      <c r="F40"/>
      <c r="G40">
        <v>12212</v>
      </c>
      <c r="H40"/>
      <c r="I40">
        <v>3686</v>
      </c>
      <c r="K40" s="10">
        <f t="shared" si="1"/>
        <v>93868</v>
      </c>
    </row>
    <row r="41" spans="1:11" x14ac:dyDescent="0.2">
      <c r="A41" t="s">
        <v>39</v>
      </c>
      <c r="B41" s="1">
        <v>2328</v>
      </c>
      <c r="C41">
        <v>111290</v>
      </c>
      <c r="D41"/>
      <c r="E41">
        <v>89557</v>
      </c>
      <c r="F41"/>
      <c r="G41">
        <v>45381</v>
      </c>
      <c r="H41"/>
      <c r="I41">
        <v>7332</v>
      </c>
      <c r="K41" s="10">
        <f t="shared" si="1"/>
        <v>253560</v>
      </c>
    </row>
    <row r="42" spans="1:11" x14ac:dyDescent="0.2">
      <c r="A42" t="s">
        <v>40</v>
      </c>
      <c r="B42" s="1">
        <v>2329</v>
      </c>
      <c r="C42">
        <v>84759</v>
      </c>
      <c r="D42"/>
      <c r="E42">
        <v>91058</v>
      </c>
      <c r="F42"/>
      <c r="G42">
        <v>25556</v>
      </c>
      <c r="H42"/>
      <c r="I42">
        <v>5661</v>
      </c>
      <c r="K42" s="10">
        <f t="shared" si="1"/>
        <v>207034</v>
      </c>
    </row>
    <row r="43" spans="1:11" x14ac:dyDescent="0.2">
      <c r="A43" t="s">
        <v>41</v>
      </c>
      <c r="B43" s="1">
        <v>2330</v>
      </c>
      <c r="C43">
        <v>18198</v>
      </c>
      <c r="D43"/>
      <c r="E43">
        <v>43826</v>
      </c>
      <c r="F43"/>
      <c r="G43">
        <v>7905</v>
      </c>
      <c r="H43"/>
      <c r="I43">
        <v>2720</v>
      </c>
      <c r="K43" s="10">
        <f t="shared" si="1"/>
        <v>72649</v>
      </c>
    </row>
    <row r="44" spans="1:11" x14ac:dyDescent="0.2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1027</v>
      </c>
      <c r="K44" s="10">
        <f t="shared" si="1"/>
        <v>25175</v>
      </c>
    </row>
    <row r="45" spans="1:11" x14ac:dyDescent="0.2">
      <c r="A45" t="s">
        <v>43</v>
      </c>
      <c r="B45" s="1">
        <v>2332</v>
      </c>
      <c r="C45">
        <v>23109</v>
      </c>
      <c r="D45"/>
      <c r="E45">
        <v>38261</v>
      </c>
      <c r="F45"/>
      <c r="G45">
        <v>8404</v>
      </c>
      <c r="H45"/>
      <c r="I45">
        <v>2026</v>
      </c>
      <c r="K45" s="10">
        <f t="shared" si="1"/>
        <v>71800</v>
      </c>
    </row>
    <row r="46" spans="1:11" x14ac:dyDescent="0.2">
      <c r="A46" t="s">
        <v>44</v>
      </c>
      <c r="B46" s="1">
        <v>2333</v>
      </c>
      <c r="C46">
        <v>5367</v>
      </c>
      <c r="D46"/>
      <c r="E46">
        <v>18625</v>
      </c>
      <c r="F46"/>
      <c r="G46">
        <v>2506</v>
      </c>
      <c r="H46"/>
      <c r="I46">
        <v>622</v>
      </c>
      <c r="K46" s="10">
        <f t="shared" si="1"/>
        <v>27120</v>
      </c>
    </row>
    <row r="47" spans="1:11" x14ac:dyDescent="0.2">
      <c r="A47" t="s">
        <v>45</v>
      </c>
      <c r="B47" s="1">
        <v>2334</v>
      </c>
      <c r="C47">
        <v>48430</v>
      </c>
      <c r="D47"/>
      <c r="E47">
        <v>43279</v>
      </c>
      <c r="F47"/>
      <c r="G47">
        <v>20509</v>
      </c>
      <c r="H47"/>
      <c r="I47">
        <v>5000</v>
      </c>
      <c r="K47" s="10">
        <f t="shared" si="1"/>
        <v>117218</v>
      </c>
    </row>
    <row r="48" spans="1:11" x14ac:dyDescent="0.2">
      <c r="A48" t="s">
        <v>46</v>
      </c>
      <c r="B48" s="1">
        <v>2335</v>
      </c>
      <c r="C48">
        <v>305169</v>
      </c>
      <c r="D48"/>
      <c r="E48">
        <v>207937</v>
      </c>
      <c r="F48"/>
      <c r="G48">
        <v>83967</v>
      </c>
      <c r="H48"/>
      <c r="I48">
        <v>26061</v>
      </c>
      <c r="K48" s="10">
        <f t="shared" si="1"/>
        <v>623134</v>
      </c>
    </row>
    <row r="49" spans="1:11" x14ac:dyDescent="0.2">
      <c r="A49" t="s">
        <v>47</v>
      </c>
      <c r="B49" s="1">
        <v>2336</v>
      </c>
      <c r="C49">
        <v>3765</v>
      </c>
      <c r="D49"/>
      <c r="E49">
        <v>6551</v>
      </c>
      <c r="F49"/>
      <c r="G49">
        <v>1612</v>
      </c>
      <c r="H49"/>
      <c r="I49">
        <v>409</v>
      </c>
      <c r="K49" s="10">
        <f t="shared" si="1"/>
        <v>12337</v>
      </c>
    </row>
    <row r="50" spans="1:11" x14ac:dyDescent="0.2">
      <c r="A50" t="s">
        <v>48</v>
      </c>
      <c r="B50" s="1">
        <v>2337</v>
      </c>
      <c r="C50">
        <v>95904</v>
      </c>
      <c r="D50"/>
      <c r="E50">
        <v>86929</v>
      </c>
      <c r="F50"/>
      <c r="G50">
        <v>39561</v>
      </c>
      <c r="H50"/>
      <c r="I50">
        <v>9579</v>
      </c>
      <c r="K50" s="10">
        <f t="shared" si="1"/>
        <v>231973</v>
      </c>
    </row>
    <row r="51" spans="1:11" x14ac:dyDescent="0.2">
      <c r="A51" t="s">
        <v>49</v>
      </c>
      <c r="B51" s="1">
        <v>2338</v>
      </c>
      <c r="C51">
        <v>15333</v>
      </c>
      <c r="D51"/>
      <c r="E51">
        <v>31944</v>
      </c>
      <c r="F51"/>
      <c r="G51">
        <v>5806</v>
      </c>
      <c r="H51"/>
      <c r="I51">
        <v>2241</v>
      </c>
      <c r="K51" s="10">
        <f t="shared" si="1"/>
        <v>55324</v>
      </c>
    </row>
    <row r="52" spans="1:11" x14ac:dyDescent="0.2">
      <c r="A52" t="s">
        <v>50</v>
      </c>
      <c r="B52" s="1">
        <v>2339</v>
      </c>
      <c r="C52">
        <v>6021</v>
      </c>
      <c r="D52"/>
      <c r="E52">
        <v>20948</v>
      </c>
      <c r="F52"/>
      <c r="G52">
        <v>3412</v>
      </c>
      <c r="H52"/>
      <c r="I52">
        <v>846</v>
      </c>
      <c r="K52" s="10">
        <f t="shared" si="1"/>
        <v>31227</v>
      </c>
    </row>
    <row r="53" spans="1:11" x14ac:dyDescent="0.2">
      <c r="A53" t="s">
        <v>51</v>
      </c>
      <c r="B53" s="1">
        <v>2340</v>
      </c>
      <c r="C53">
        <v>775997</v>
      </c>
      <c r="D53"/>
      <c r="E53">
        <v>131222</v>
      </c>
      <c r="F53"/>
      <c r="G53">
        <v>150144</v>
      </c>
      <c r="H53"/>
      <c r="I53">
        <v>26341</v>
      </c>
      <c r="K53" s="10">
        <f t="shared" si="1"/>
        <v>1083704</v>
      </c>
    </row>
    <row r="54" spans="1:11" x14ac:dyDescent="0.2">
      <c r="A54" t="s">
        <v>52</v>
      </c>
      <c r="B54" s="1">
        <v>2341</v>
      </c>
      <c r="C54">
        <v>13560</v>
      </c>
      <c r="D54"/>
      <c r="E54">
        <v>22999</v>
      </c>
      <c r="F54"/>
      <c r="G54">
        <v>8433</v>
      </c>
      <c r="H54"/>
      <c r="I54">
        <v>2148</v>
      </c>
      <c r="K54" s="10">
        <f t="shared" si="1"/>
        <v>47140</v>
      </c>
    </row>
    <row r="55" spans="1:11" x14ac:dyDescent="0.2">
      <c r="A55" t="s">
        <v>53</v>
      </c>
      <c r="B55" s="1">
        <v>2342</v>
      </c>
      <c r="C55">
        <v>1742</v>
      </c>
      <c r="D55"/>
      <c r="E55">
        <v>8010</v>
      </c>
      <c r="F55"/>
      <c r="G55">
        <v>996</v>
      </c>
      <c r="H55"/>
      <c r="I55">
        <v>274</v>
      </c>
      <c r="K55" s="10">
        <f t="shared" si="1"/>
        <v>11022</v>
      </c>
    </row>
    <row r="56" spans="1:11" x14ac:dyDescent="0.2">
      <c r="A56" t="s">
        <v>54</v>
      </c>
      <c r="B56" s="1">
        <v>2343</v>
      </c>
      <c r="C56">
        <v>25329</v>
      </c>
      <c r="D56"/>
      <c r="E56">
        <v>53118</v>
      </c>
      <c r="F56"/>
      <c r="G56">
        <v>10037</v>
      </c>
      <c r="H56"/>
      <c r="I56">
        <v>3772</v>
      </c>
      <c r="K56" s="10">
        <f t="shared" si="1"/>
        <v>92256</v>
      </c>
    </row>
    <row r="57" spans="1:11" x14ac:dyDescent="0.2">
      <c r="A57" t="s">
        <v>55</v>
      </c>
      <c r="B57" s="1">
        <v>2344</v>
      </c>
      <c r="C57">
        <v>4881</v>
      </c>
      <c r="D57"/>
      <c r="E57">
        <v>15960</v>
      </c>
      <c r="F57"/>
      <c r="G57">
        <v>2352</v>
      </c>
      <c r="H57"/>
      <c r="I57">
        <v>669</v>
      </c>
      <c r="K57" s="10">
        <f t="shared" si="1"/>
        <v>23862</v>
      </c>
    </row>
    <row r="58" spans="1:11" x14ac:dyDescent="0.2">
      <c r="A58" t="s">
        <v>56</v>
      </c>
      <c r="B58" s="1">
        <v>2345</v>
      </c>
      <c r="C58">
        <v>10505</v>
      </c>
      <c r="D58"/>
      <c r="E58">
        <v>32825</v>
      </c>
      <c r="F58"/>
      <c r="G58">
        <v>4379</v>
      </c>
      <c r="H58"/>
      <c r="I58">
        <v>763</v>
      </c>
      <c r="K58" s="10">
        <f t="shared" si="1"/>
        <v>48472</v>
      </c>
    </row>
    <row r="59" spans="1:11" x14ac:dyDescent="0.2">
      <c r="A59" t="s">
        <v>57</v>
      </c>
      <c r="B59" s="1">
        <v>2346</v>
      </c>
      <c r="C59">
        <v>1060</v>
      </c>
      <c r="D59"/>
      <c r="E59">
        <v>2852</v>
      </c>
      <c r="F59"/>
      <c r="G59">
        <v>376</v>
      </c>
      <c r="H59"/>
      <c r="I59">
        <v>161</v>
      </c>
      <c r="K59" s="10">
        <f t="shared" si="1"/>
        <v>4449</v>
      </c>
    </row>
    <row r="60" spans="1:11" x14ac:dyDescent="0.2">
      <c r="A60" t="s">
        <v>58</v>
      </c>
      <c r="B60" s="1">
        <v>2347</v>
      </c>
      <c r="C60">
        <v>6244</v>
      </c>
      <c r="D60"/>
      <c r="E60">
        <v>17522</v>
      </c>
      <c r="F60"/>
      <c r="G60">
        <v>2927</v>
      </c>
      <c r="H60"/>
      <c r="I60">
        <v>1154</v>
      </c>
      <c r="K60" s="10">
        <f t="shared" si="1"/>
        <v>27847</v>
      </c>
    </row>
    <row r="61" spans="1:11" x14ac:dyDescent="0.2">
      <c r="A61" t="s">
        <v>59</v>
      </c>
      <c r="B61" s="1">
        <v>2348</v>
      </c>
      <c r="C61">
        <v>4928</v>
      </c>
      <c r="D61"/>
      <c r="E61">
        <v>18110</v>
      </c>
      <c r="F61"/>
      <c r="G61">
        <v>2956</v>
      </c>
      <c r="H61"/>
      <c r="I61">
        <v>793</v>
      </c>
      <c r="K61" s="10">
        <f t="shared" si="1"/>
        <v>26787</v>
      </c>
    </row>
    <row r="62" spans="1:11" x14ac:dyDescent="0.2">
      <c r="A62" t="s">
        <v>60</v>
      </c>
      <c r="B62" s="1">
        <v>2349</v>
      </c>
      <c r="C62">
        <v>7777</v>
      </c>
      <c r="D62"/>
      <c r="E62">
        <v>14395</v>
      </c>
      <c r="F62"/>
      <c r="G62">
        <v>3229</v>
      </c>
      <c r="H62"/>
      <c r="I62">
        <v>976</v>
      </c>
      <c r="K62" s="10">
        <f t="shared" si="1"/>
        <v>26377</v>
      </c>
    </row>
    <row r="63" spans="1:11" x14ac:dyDescent="0.2">
      <c r="A63" t="s">
        <v>61</v>
      </c>
      <c r="B63" s="1">
        <v>2350</v>
      </c>
      <c r="C63">
        <v>8037</v>
      </c>
      <c r="D63"/>
      <c r="E63">
        <v>20118</v>
      </c>
      <c r="F63"/>
      <c r="G63">
        <v>3395</v>
      </c>
      <c r="H63"/>
      <c r="I63">
        <v>1218</v>
      </c>
      <c r="K63" s="10">
        <f t="shared" si="1"/>
        <v>32768</v>
      </c>
    </row>
    <row r="64" spans="1:11" x14ac:dyDescent="0.2">
      <c r="A64" t="s">
        <v>62</v>
      </c>
      <c r="B64" s="1">
        <v>2351</v>
      </c>
      <c r="C64">
        <v>6345</v>
      </c>
      <c r="D64"/>
      <c r="E64">
        <v>15224</v>
      </c>
      <c r="F64"/>
      <c r="G64">
        <v>2580</v>
      </c>
      <c r="H64"/>
      <c r="I64">
        <v>1255</v>
      </c>
      <c r="K64" s="10">
        <f t="shared" si="1"/>
        <v>25404</v>
      </c>
    </row>
    <row r="65" spans="1:11" x14ac:dyDescent="0.2">
      <c r="A65" t="s">
        <v>63</v>
      </c>
      <c r="B65" s="1">
        <v>2352</v>
      </c>
      <c r="C65">
        <v>52855</v>
      </c>
      <c r="D65"/>
      <c r="E65">
        <v>72943</v>
      </c>
      <c r="F65"/>
      <c r="G65">
        <v>15959</v>
      </c>
      <c r="H65"/>
      <c r="I65">
        <v>3798</v>
      </c>
      <c r="K65" s="10">
        <f t="shared" si="1"/>
        <v>145555</v>
      </c>
    </row>
    <row r="66" spans="1:11" x14ac:dyDescent="0.2">
      <c r="A66" t="s">
        <v>64</v>
      </c>
      <c r="B66" s="1">
        <v>2353</v>
      </c>
      <c r="C66">
        <v>8696</v>
      </c>
      <c r="D66"/>
      <c r="E66">
        <v>21743</v>
      </c>
      <c r="F66"/>
      <c r="G66">
        <v>5150</v>
      </c>
      <c r="H66"/>
      <c r="I66">
        <v>1056</v>
      </c>
      <c r="K66" s="10">
        <f t="shared" si="1"/>
        <v>36645</v>
      </c>
    </row>
    <row r="67" spans="1:11" x14ac:dyDescent="0.2">
      <c r="A67" t="s">
        <v>65</v>
      </c>
      <c r="B67" s="1">
        <v>2354</v>
      </c>
      <c r="C67">
        <v>86871</v>
      </c>
      <c r="D67"/>
      <c r="E67">
        <v>130964</v>
      </c>
      <c r="F67"/>
      <c r="G67">
        <v>23866</v>
      </c>
      <c r="H67"/>
      <c r="I67">
        <v>9210</v>
      </c>
      <c r="K67" s="10">
        <f t="shared" si="1"/>
        <v>250911</v>
      </c>
    </row>
    <row r="68" spans="1:11" x14ac:dyDescent="0.2">
      <c r="A68" t="s">
        <v>66</v>
      </c>
      <c r="B68" s="1">
        <v>2355</v>
      </c>
      <c r="C68">
        <v>4679</v>
      </c>
      <c r="D68"/>
      <c r="E68">
        <v>11340</v>
      </c>
      <c r="F68"/>
      <c r="G68">
        <v>1808</v>
      </c>
      <c r="H68"/>
      <c r="I68">
        <v>660</v>
      </c>
      <c r="K68" s="10">
        <f t="shared" si="1"/>
        <v>18487</v>
      </c>
    </row>
    <row r="69" spans="1:11" ht="13.5" thickBot="1" x14ac:dyDescent="0.25">
      <c r="A69" s="2" t="s">
        <v>67</v>
      </c>
      <c r="B69" s="5">
        <v>2356</v>
      </c>
      <c r="C69">
        <v>96332</v>
      </c>
      <c r="D69"/>
      <c r="E69">
        <v>168234</v>
      </c>
      <c r="F69"/>
      <c r="G69">
        <v>53418</v>
      </c>
      <c r="H69"/>
      <c r="I69">
        <v>8820</v>
      </c>
      <c r="J69" s="13"/>
      <c r="K69" s="10">
        <f t="shared" si="1"/>
        <v>326804</v>
      </c>
    </row>
    <row r="70" spans="1:11" ht="21.75" customHeight="1" x14ac:dyDescent="0.2">
      <c r="A70" s="6" t="s">
        <v>68</v>
      </c>
      <c r="C70" s="14">
        <f>SUM(C3:C69)</f>
        <v>3840455</v>
      </c>
      <c r="D70" s="14"/>
      <c r="E70" s="14">
        <f>SUM(E3:E69)</f>
        <v>3638086</v>
      </c>
      <c r="F70" s="14"/>
      <c r="G70" s="14">
        <f>SUM(G3:G69)</f>
        <v>1176639</v>
      </c>
      <c r="H70" s="14"/>
      <c r="I70" s="14">
        <f>SUM(I3:I69)</f>
        <v>314842</v>
      </c>
      <c r="J70" s="14"/>
      <c r="K70" s="44">
        <f>SUM(K3:K69)</f>
        <v>8970022</v>
      </c>
    </row>
    <row r="71" spans="1:11" x14ac:dyDescent="0.2">
      <c r="I71" s="31"/>
    </row>
    <row r="73" spans="1:11" x14ac:dyDescent="0.2">
      <c r="I73" s="11"/>
      <c r="K73" s="11"/>
    </row>
    <row r="75" spans="1:11" x14ac:dyDescent="0.2">
      <c r="E75" s="40"/>
      <c r="K75" s="10"/>
    </row>
    <row r="76" spans="1:11" x14ac:dyDescent="0.2">
      <c r="E76" s="40"/>
    </row>
    <row r="77" spans="1:11" x14ac:dyDescent="0.2">
      <c r="E77" s="40"/>
    </row>
    <row r="78" spans="1:11" x14ac:dyDescent="0.2">
      <c r="E78" s="40"/>
    </row>
    <row r="79" spans="1:11" x14ac:dyDescent="0.2">
      <c r="E79" s="40"/>
    </row>
    <row r="80" spans="1:11" x14ac:dyDescent="0.2">
      <c r="C80" s="40"/>
      <c r="E80" s="40"/>
    </row>
    <row r="81" spans="3:11" x14ac:dyDescent="0.2">
      <c r="E81" s="41"/>
    </row>
    <row r="82" spans="3:11" x14ac:dyDescent="0.2">
      <c r="E82" s="41"/>
      <c r="K82"/>
    </row>
    <row r="83" spans="3:11" x14ac:dyDescent="0.2">
      <c r="E83" s="41"/>
      <c r="K83"/>
    </row>
    <row r="84" spans="3:11" x14ac:dyDescent="0.2">
      <c r="C84" s="10"/>
      <c r="K84"/>
    </row>
    <row r="85" spans="3:11" x14ac:dyDescent="0.2">
      <c r="K85"/>
    </row>
    <row r="86" spans="3:11" x14ac:dyDescent="0.2">
      <c r="C86" s="1"/>
      <c r="K86"/>
    </row>
    <row r="87" spans="3:11" x14ac:dyDescent="0.2">
      <c r="K87"/>
    </row>
    <row r="88" spans="3:11" x14ac:dyDescent="0.2">
      <c r="K88"/>
    </row>
    <row r="89" spans="3:11" x14ac:dyDescent="0.2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19.140625" style="11" bestFit="1" customWidth="1"/>
    <col min="2" max="2" width="10.42578125" customWidth="1"/>
    <col min="3" max="3" width="12.5703125" customWidth="1"/>
    <col min="4" max="4" width="11" customWidth="1"/>
    <col min="5" max="5" width="12.42578125" customWidth="1"/>
    <col min="6" max="6" width="11.85546875" customWidth="1"/>
    <col min="7" max="7" width="11.140625" customWidth="1"/>
    <col min="8" max="8" width="15.140625" customWidth="1"/>
    <col min="9" max="9" width="13.5703125" customWidth="1"/>
    <col min="10" max="10" width="8" style="1" customWidth="1"/>
    <col min="12" max="12" width="11.28515625" bestFit="1" customWidth="1"/>
    <col min="13" max="13" width="10.5703125" bestFit="1" customWidth="1"/>
    <col min="14" max="14" width="11.28515625" bestFit="1" customWidth="1"/>
    <col min="15" max="15" width="10" bestFit="1" customWidth="1"/>
  </cols>
  <sheetData>
    <row r="1" spans="1:15" x14ac:dyDescent="0.2">
      <c r="A1" s="42" t="s">
        <v>115</v>
      </c>
      <c r="B1" s="81" t="s">
        <v>130</v>
      </c>
      <c r="C1" s="81"/>
      <c r="D1" s="81"/>
      <c r="E1" s="81"/>
      <c r="F1" s="80" t="s">
        <v>126</v>
      </c>
      <c r="G1" s="80"/>
      <c r="H1" s="80"/>
      <c r="I1" s="80"/>
      <c r="J1"/>
    </row>
    <row r="2" spans="1:15" x14ac:dyDescent="0.2">
      <c r="A2" s="42"/>
      <c r="B2" s="49" t="s">
        <v>86</v>
      </c>
      <c r="C2" s="50"/>
      <c r="D2" s="50" t="s">
        <v>87</v>
      </c>
      <c r="E2" s="50"/>
      <c r="F2" s="79" t="s">
        <v>86</v>
      </c>
      <c r="G2" s="79"/>
      <c r="H2" s="79" t="s">
        <v>87</v>
      </c>
      <c r="I2" s="79"/>
      <c r="J2"/>
    </row>
    <row r="3" spans="1:15" x14ac:dyDescent="0.2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">
      <c r="A4" s="64" t="s">
        <v>1</v>
      </c>
      <c r="B4" s="42">
        <v>2</v>
      </c>
      <c r="C4" s="42">
        <v>2</v>
      </c>
      <c r="D4" s="42">
        <v>4</v>
      </c>
      <c r="E4" s="42">
        <v>3</v>
      </c>
      <c r="F4" s="42">
        <v>101</v>
      </c>
      <c r="G4" s="42">
        <v>132</v>
      </c>
      <c r="H4" s="42">
        <v>100</v>
      </c>
      <c r="I4" s="42">
        <v>138</v>
      </c>
      <c r="J4"/>
      <c r="K4" s="11"/>
      <c r="L4" s="11"/>
      <c r="M4" s="11"/>
      <c r="N4" s="11"/>
      <c r="O4" s="11"/>
    </row>
    <row r="5" spans="1:15" x14ac:dyDescent="0.2">
      <c r="A5" s="64" t="s">
        <v>2</v>
      </c>
      <c r="B5" s="42">
        <v>36</v>
      </c>
      <c r="C5" s="42">
        <v>94</v>
      </c>
      <c r="D5" s="42">
        <v>61</v>
      </c>
      <c r="E5" s="42">
        <v>28</v>
      </c>
      <c r="F5" s="42">
        <v>1091</v>
      </c>
      <c r="G5" s="42">
        <v>1917</v>
      </c>
      <c r="H5" s="42">
        <v>1070</v>
      </c>
      <c r="I5" s="42">
        <v>527</v>
      </c>
      <c r="J5"/>
      <c r="K5" s="11"/>
      <c r="L5" s="11"/>
      <c r="M5" s="11"/>
      <c r="N5" s="11"/>
      <c r="O5" s="11"/>
    </row>
    <row r="6" spans="1:15" x14ac:dyDescent="0.2">
      <c r="A6" s="64" t="s">
        <v>3</v>
      </c>
      <c r="B6" s="42">
        <v>1</v>
      </c>
      <c r="C6" s="42">
        <v>0</v>
      </c>
      <c r="D6" s="42">
        <v>3</v>
      </c>
      <c r="E6" s="42">
        <v>0</v>
      </c>
      <c r="F6" s="42">
        <v>32</v>
      </c>
      <c r="G6" s="42">
        <v>34</v>
      </c>
      <c r="H6" s="42">
        <v>87</v>
      </c>
      <c r="I6" s="42">
        <v>35</v>
      </c>
      <c r="J6"/>
      <c r="K6" s="11"/>
      <c r="L6" s="11"/>
      <c r="M6" s="11"/>
      <c r="N6" s="11"/>
      <c r="O6" s="11"/>
    </row>
    <row r="7" spans="1:15" x14ac:dyDescent="0.2">
      <c r="A7" s="64" t="s">
        <v>4</v>
      </c>
      <c r="B7" s="42">
        <v>0</v>
      </c>
      <c r="C7" s="42">
        <v>4</v>
      </c>
      <c r="D7" s="42">
        <v>4</v>
      </c>
      <c r="E7" s="42">
        <v>2</v>
      </c>
      <c r="F7" s="42">
        <v>112</v>
      </c>
      <c r="G7" s="42">
        <v>161</v>
      </c>
      <c r="H7" s="42">
        <v>213</v>
      </c>
      <c r="I7" s="42">
        <v>82</v>
      </c>
      <c r="J7"/>
      <c r="K7" s="11"/>
      <c r="L7" s="11"/>
      <c r="M7" s="11"/>
      <c r="N7" s="11"/>
      <c r="O7" s="11"/>
    </row>
    <row r="8" spans="1:15" x14ac:dyDescent="0.2">
      <c r="A8" s="64" t="s">
        <v>5</v>
      </c>
      <c r="B8" s="42">
        <v>0</v>
      </c>
      <c r="C8" s="42">
        <v>0</v>
      </c>
      <c r="D8" s="42">
        <v>0</v>
      </c>
      <c r="E8" s="42">
        <v>1</v>
      </c>
      <c r="F8" s="42">
        <v>18</v>
      </c>
      <c r="G8" s="42">
        <v>18</v>
      </c>
      <c r="H8" s="42">
        <v>23</v>
      </c>
      <c r="I8" s="42">
        <v>19</v>
      </c>
      <c r="J8"/>
      <c r="K8" s="11"/>
      <c r="L8" s="11"/>
      <c r="M8" s="11"/>
      <c r="N8" s="11"/>
      <c r="O8" s="11"/>
    </row>
    <row r="9" spans="1:15" x14ac:dyDescent="0.2">
      <c r="A9" s="64" t="s">
        <v>6</v>
      </c>
      <c r="B9" s="42">
        <v>22</v>
      </c>
      <c r="C9" s="42">
        <v>30</v>
      </c>
      <c r="D9" s="42">
        <v>31</v>
      </c>
      <c r="E9" s="42">
        <v>17</v>
      </c>
      <c r="F9" s="42">
        <v>439</v>
      </c>
      <c r="G9" s="42">
        <v>648</v>
      </c>
      <c r="H9" s="42">
        <v>542</v>
      </c>
      <c r="I9" s="42">
        <v>424</v>
      </c>
      <c r="J9"/>
      <c r="K9" s="11"/>
      <c r="L9" s="11"/>
      <c r="M9" s="11"/>
      <c r="N9" s="11"/>
      <c r="O9" s="11"/>
    </row>
    <row r="10" spans="1:15" x14ac:dyDescent="0.2">
      <c r="A10" s="64" t="s">
        <v>7</v>
      </c>
      <c r="B10" s="42">
        <v>1</v>
      </c>
      <c r="C10" s="42">
        <v>2</v>
      </c>
      <c r="D10" s="42">
        <v>6</v>
      </c>
      <c r="E10" s="42">
        <v>1</v>
      </c>
      <c r="F10" s="42">
        <v>87</v>
      </c>
      <c r="G10" s="42">
        <v>111</v>
      </c>
      <c r="H10" s="42">
        <v>81</v>
      </c>
      <c r="I10" s="42">
        <v>80</v>
      </c>
      <c r="J10"/>
      <c r="K10" s="11"/>
      <c r="L10" s="11"/>
      <c r="M10" s="11"/>
      <c r="N10" s="11"/>
      <c r="O10" s="11"/>
    </row>
    <row r="11" spans="1:15" x14ac:dyDescent="0.2">
      <c r="A11" s="64" t="s">
        <v>8</v>
      </c>
      <c r="B11" s="42">
        <v>2</v>
      </c>
      <c r="C11" s="42">
        <v>2</v>
      </c>
      <c r="D11" s="42">
        <v>4</v>
      </c>
      <c r="E11" s="42">
        <v>2</v>
      </c>
      <c r="F11" s="42">
        <v>38</v>
      </c>
      <c r="G11" s="42">
        <v>44</v>
      </c>
      <c r="H11" s="42">
        <v>54</v>
      </c>
      <c r="I11" s="42">
        <v>64</v>
      </c>
      <c r="J11"/>
      <c r="K11" s="11"/>
      <c r="L11" s="11"/>
      <c r="M11" s="11"/>
      <c r="N11" s="11"/>
      <c r="O11" s="11"/>
    </row>
    <row r="12" spans="1:15" s="21" customFormat="1" x14ac:dyDescent="0.2">
      <c r="A12" s="65" t="s">
        <v>9</v>
      </c>
      <c r="B12" s="42">
        <v>27</v>
      </c>
      <c r="C12" s="42">
        <v>25</v>
      </c>
      <c r="D12" s="42">
        <v>19</v>
      </c>
      <c r="E12" s="42">
        <v>23</v>
      </c>
      <c r="F12" s="42">
        <v>832</v>
      </c>
      <c r="G12" s="42">
        <v>1371</v>
      </c>
      <c r="H12" s="42">
        <v>728</v>
      </c>
      <c r="I12" s="42">
        <v>760</v>
      </c>
      <c r="J12"/>
      <c r="K12" s="11"/>
      <c r="L12" s="11"/>
      <c r="M12" s="11"/>
      <c r="N12" s="11"/>
      <c r="O12" s="11"/>
    </row>
    <row r="13" spans="1:15" x14ac:dyDescent="0.2">
      <c r="A13" s="64" t="s">
        <v>10</v>
      </c>
      <c r="B13" s="42">
        <v>1</v>
      </c>
      <c r="C13" s="42">
        <v>2</v>
      </c>
      <c r="D13" s="42">
        <v>9</v>
      </c>
      <c r="E13" s="42">
        <v>3</v>
      </c>
      <c r="F13" s="42">
        <v>173</v>
      </c>
      <c r="G13" s="42">
        <v>215</v>
      </c>
      <c r="H13" s="42">
        <v>132</v>
      </c>
      <c r="I13" s="42">
        <v>156</v>
      </c>
      <c r="J13"/>
      <c r="K13" s="11"/>
      <c r="L13" s="11"/>
      <c r="M13" s="11"/>
      <c r="N13" s="11"/>
      <c r="O13" s="11"/>
    </row>
    <row r="14" spans="1:15" x14ac:dyDescent="0.2">
      <c r="A14" s="64" t="s">
        <v>11</v>
      </c>
      <c r="B14" s="42">
        <v>2</v>
      </c>
      <c r="C14" s="42">
        <v>1</v>
      </c>
      <c r="D14" s="42">
        <v>4</v>
      </c>
      <c r="E14" s="42">
        <v>0</v>
      </c>
      <c r="F14" s="42">
        <v>100</v>
      </c>
      <c r="G14" s="42">
        <v>83</v>
      </c>
      <c r="H14" s="42">
        <v>212</v>
      </c>
      <c r="I14" s="42">
        <v>85</v>
      </c>
      <c r="J14"/>
      <c r="K14" s="11"/>
      <c r="L14" s="11"/>
      <c r="M14" s="11"/>
      <c r="N14" s="11"/>
      <c r="O14" s="11"/>
    </row>
    <row r="15" spans="1:15" s="21" customFormat="1" x14ac:dyDescent="0.2">
      <c r="A15" s="65" t="s">
        <v>12</v>
      </c>
      <c r="B15" s="42">
        <v>0</v>
      </c>
      <c r="C15" s="42">
        <v>0</v>
      </c>
      <c r="D15" s="42">
        <v>1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">
      <c r="A16" s="64" t="s">
        <v>13</v>
      </c>
      <c r="B16" s="42">
        <v>4</v>
      </c>
      <c r="C16" s="42">
        <v>0</v>
      </c>
      <c r="D16" s="42">
        <v>2</v>
      </c>
      <c r="E16" s="42">
        <v>1</v>
      </c>
      <c r="F16" s="42">
        <v>48</v>
      </c>
      <c r="G16" s="42">
        <v>88</v>
      </c>
      <c r="H16" s="42">
        <v>72</v>
      </c>
      <c r="I16" s="42">
        <v>58</v>
      </c>
      <c r="J16"/>
      <c r="K16" s="11"/>
      <c r="L16" s="11"/>
      <c r="M16" s="11"/>
      <c r="N16" s="11"/>
      <c r="O16" s="11"/>
    </row>
    <row r="17" spans="1:15" x14ac:dyDescent="0.2">
      <c r="A17" s="64" t="s">
        <v>14</v>
      </c>
      <c r="B17" s="42">
        <v>3</v>
      </c>
      <c r="C17" s="42">
        <v>3</v>
      </c>
      <c r="D17" s="42">
        <v>0</v>
      </c>
      <c r="E17" s="42">
        <v>0</v>
      </c>
      <c r="F17" s="42">
        <v>122</v>
      </c>
      <c r="G17" s="42">
        <v>169</v>
      </c>
      <c r="H17" s="42">
        <v>64</v>
      </c>
      <c r="I17" s="42">
        <v>92</v>
      </c>
      <c r="J17"/>
      <c r="K17" s="11"/>
      <c r="L17" s="11"/>
      <c r="M17" s="11"/>
      <c r="N17" s="11"/>
      <c r="O17" s="11"/>
    </row>
    <row r="18" spans="1:15" s="21" customFormat="1" x14ac:dyDescent="0.2">
      <c r="A18" s="65" t="s">
        <v>15</v>
      </c>
      <c r="B18" s="42">
        <v>16</v>
      </c>
      <c r="C18" s="42">
        <v>35</v>
      </c>
      <c r="D18" s="42">
        <v>9</v>
      </c>
      <c r="E18" s="42">
        <v>6</v>
      </c>
      <c r="F18" s="42">
        <v>670</v>
      </c>
      <c r="G18" s="42">
        <v>1131</v>
      </c>
      <c r="H18" s="42">
        <v>347</v>
      </c>
      <c r="I18" s="42">
        <v>548</v>
      </c>
      <c r="J18"/>
      <c r="K18" s="11"/>
      <c r="L18" s="11"/>
      <c r="M18" s="11"/>
      <c r="N18" s="11"/>
      <c r="O18" s="11"/>
    </row>
    <row r="19" spans="1:15" x14ac:dyDescent="0.2">
      <c r="A19" s="64" t="s">
        <v>16</v>
      </c>
      <c r="B19" s="42">
        <v>1</v>
      </c>
      <c r="C19" s="42">
        <v>1</v>
      </c>
      <c r="D19" s="42">
        <v>1</v>
      </c>
      <c r="E19" s="42">
        <v>0</v>
      </c>
      <c r="F19" s="42">
        <v>13</v>
      </c>
      <c r="G19" s="42">
        <v>15</v>
      </c>
      <c r="H19" s="42">
        <v>24</v>
      </c>
      <c r="I19" s="42">
        <v>11</v>
      </c>
      <c r="J19"/>
      <c r="K19" s="11"/>
      <c r="L19" s="11"/>
      <c r="M19" s="11"/>
      <c r="N19" s="11"/>
      <c r="O19" s="11"/>
    </row>
    <row r="20" spans="1:15" x14ac:dyDescent="0.2">
      <c r="A20" s="64" t="s">
        <v>17</v>
      </c>
      <c r="B20" s="42">
        <v>0</v>
      </c>
      <c r="C20" s="42">
        <v>1</v>
      </c>
      <c r="D20" s="42">
        <v>4</v>
      </c>
      <c r="E20" s="42">
        <v>1</v>
      </c>
      <c r="F20" s="42">
        <v>30</v>
      </c>
      <c r="G20" s="42">
        <v>43</v>
      </c>
      <c r="H20" s="42">
        <v>89</v>
      </c>
      <c r="I20" s="42">
        <v>57</v>
      </c>
      <c r="J20"/>
      <c r="K20" s="11"/>
      <c r="L20" s="11"/>
      <c r="M20" s="11"/>
      <c r="N20" s="11"/>
      <c r="O20" s="11"/>
    </row>
    <row r="21" spans="1:15" x14ac:dyDescent="0.2">
      <c r="A21" s="64" t="s">
        <v>18</v>
      </c>
      <c r="B21" s="42">
        <v>2</v>
      </c>
      <c r="C21" s="42">
        <v>1</v>
      </c>
      <c r="D21" s="42">
        <v>0</v>
      </c>
      <c r="E21" s="42">
        <v>1</v>
      </c>
      <c r="F21" s="42">
        <v>22</v>
      </c>
      <c r="G21" s="42">
        <v>35</v>
      </c>
      <c r="H21" s="42">
        <v>31</v>
      </c>
      <c r="I21" s="42">
        <v>32</v>
      </c>
      <c r="J21"/>
      <c r="K21" s="11"/>
      <c r="L21" s="11"/>
      <c r="M21" s="11"/>
      <c r="N21" s="11"/>
      <c r="O21" s="11"/>
    </row>
    <row r="22" spans="1:15" x14ac:dyDescent="0.2">
      <c r="A22" s="64" t="s">
        <v>19</v>
      </c>
      <c r="B22" s="42">
        <v>2</v>
      </c>
      <c r="C22" s="42">
        <v>3</v>
      </c>
      <c r="D22" s="42">
        <v>9</v>
      </c>
      <c r="E22" s="42">
        <v>0</v>
      </c>
      <c r="F22" s="42">
        <v>41</v>
      </c>
      <c r="G22" s="42">
        <v>48</v>
      </c>
      <c r="H22" s="42">
        <v>43</v>
      </c>
      <c r="I22" s="42">
        <v>36</v>
      </c>
      <c r="J22"/>
      <c r="K22" s="11"/>
      <c r="L22" s="11"/>
      <c r="M22" s="11"/>
      <c r="N22" s="11"/>
      <c r="O22" s="11"/>
    </row>
    <row r="23" spans="1:15" x14ac:dyDescent="0.2">
      <c r="A23" s="64" t="s">
        <v>20</v>
      </c>
      <c r="B23" s="42">
        <v>2</v>
      </c>
      <c r="C23" s="42">
        <v>0</v>
      </c>
      <c r="D23" s="42">
        <v>0</v>
      </c>
      <c r="E23" s="42">
        <v>1</v>
      </c>
      <c r="F23" s="42">
        <v>48</v>
      </c>
      <c r="G23" s="42">
        <v>42</v>
      </c>
      <c r="H23" s="42">
        <v>57</v>
      </c>
      <c r="I23" s="42">
        <v>40</v>
      </c>
      <c r="J23"/>
      <c r="K23" s="11"/>
      <c r="L23" s="11"/>
      <c r="M23" s="11"/>
      <c r="N23" s="11"/>
      <c r="O23" s="11"/>
    </row>
    <row r="24" spans="1:15" x14ac:dyDescent="0.2">
      <c r="A24" s="64" t="s">
        <v>21</v>
      </c>
      <c r="B24" s="42">
        <v>28</v>
      </c>
      <c r="C24" s="42">
        <v>42</v>
      </c>
      <c r="D24" s="42">
        <v>29</v>
      </c>
      <c r="E24" s="42">
        <v>11</v>
      </c>
      <c r="F24" s="42">
        <v>366</v>
      </c>
      <c r="G24" s="42">
        <v>512</v>
      </c>
      <c r="H24" s="42">
        <v>216</v>
      </c>
      <c r="I24" s="42">
        <v>342</v>
      </c>
      <c r="J24"/>
      <c r="K24" s="11"/>
      <c r="L24" s="11"/>
      <c r="M24" s="11"/>
      <c r="N24" s="11"/>
      <c r="O24" s="11"/>
    </row>
    <row r="25" spans="1:15" x14ac:dyDescent="0.2">
      <c r="A25" s="64" t="s">
        <v>22</v>
      </c>
      <c r="B25" s="42">
        <v>29</v>
      </c>
      <c r="C25" s="42">
        <v>50</v>
      </c>
      <c r="D25" s="42">
        <v>16</v>
      </c>
      <c r="E25" s="42">
        <v>8</v>
      </c>
      <c r="F25" s="42">
        <v>546</v>
      </c>
      <c r="G25" s="42">
        <v>1077</v>
      </c>
      <c r="H25" s="42">
        <v>318</v>
      </c>
      <c r="I25" s="42">
        <v>290</v>
      </c>
      <c r="J25"/>
      <c r="K25" s="11"/>
      <c r="L25" s="11"/>
      <c r="M25" s="11"/>
      <c r="N25" s="11"/>
      <c r="O25" s="11"/>
    </row>
    <row r="26" spans="1:15" x14ac:dyDescent="0.2">
      <c r="A26" s="64" t="s">
        <v>23</v>
      </c>
      <c r="B26" s="42">
        <v>33</v>
      </c>
      <c r="C26" s="42">
        <v>39</v>
      </c>
      <c r="D26" s="42">
        <v>21</v>
      </c>
      <c r="E26" s="42">
        <v>15</v>
      </c>
      <c r="F26" s="42">
        <v>631</v>
      </c>
      <c r="G26" s="42">
        <v>780</v>
      </c>
      <c r="H26" s="42">
        <v>385</v>
      </c>
      <c r="I26" s="42">
        <v>203</v>
      </c>
      <c r="J26"/>
      <c r="K26" s="11"/>
      <c r="L26" s="11"/>
      <c r="M26" s="11"/>
      <c r="N26" s="11"/>
      <c r="O26" s="11"/>
    </row>
    <row r="27" spans="1:15" x14ac:dyDescent="0.2">
      <c r="A27" s="64" t="s">
        <v>24</v>
      </c>
      <c r="B27" s="42">
        <v>0</v>
      </c>
      <c r="C27" s="42">
        <v>0</v>
      </c>
      <c r="D27" s="42">
        <v>3</v>
      </c>
      <c r="E27" s="42">
        <v>0</v>
      </c>
      <c r="F27" s="42">
        <v>18</v>
      </c>
      <c r="G27" s="42">
        <v>15</v>
      </c>
      <c r="H27" s="42">
        <v>39</v>
      </c>
      <c r="I27" s="42">
        <v>13</v>
      </c>
      <c r="J27"/>
      <c r="K27" s="11"/>
      <c r="L27" s="11"/>
      <c r="M27" s="11"/>
      <c r="N27" s="11"/>
      <c r="O27" s="11"/>
    </row>
    <row r="28" spans="1:15" x14ac:dyDescent="0.2">
      <c r="A28" s="64" t="s">
        <v>25</v>
      </c>
      <c r="B28" s="42">
        <v>11</v>
      </c>
      <c r="C28" s="42">
        <v>10</v>
      </c>
      <c r="D28" s="42">
        <v>8</v>
      </c>
      <c r="E28" s="42">
        <v>4</v>
      </c>
      <c r="F28" s="42">
        <v>258</v>
      </c>
      <c r="G28" s="42">
        <v>271</v>
      </c>
      <c r="H28" s="42">
        <v>265</v>
      </c>
      <c r="I28" s="42">
        <v>122</v>
      </c>
      <c r="J28"/>
      <c r="K28" s="11"/>
      <c r="L28" s="11"/>
      <c r="M28" s="11"/>
      <c r="N28" s="11"/>
      <c r="O28" s="11"/>
    </row>
    <row r="29" spans="1:15" x14ac:dyDescent="0.2">
      <c r="A29" s="64" t="s">
        <v>26</v>
      </c>
      <c r="B29" s="42">
        <v>7</v>
      </c>
      <c r="C29" s="42">
        <v>1</v>
      </c>
      <c r="D29" s="42">
        <v>5</v>
      </c>
      <c r="E29" s="42">
        <v>6</v>
      </c>
      <c r="F29" s="42">
        <v>97</v>
      </c>
      <c r="G29" s="42">
        <v>70</v>
      </c>
      <c r="H29" s="42">
        <v>240</v>
      </c>
      <c r="I29" s="42">
        <v>73</v>
      </c>
      <c r="J29"/>
      <c r="K29" s="11"/>
      <c r="L29" s="11"/>
      <c r="M29" s="11"/>
      <c r="N29" s="11"/>
      <c r="O29" s="11"/>
    </row>
    <row r="30" spans="1:15" x14ac:dyDescent="0.2">
      <c r="A30" s="64" t="s">
        <v>27</v>
      </c>
      <c r="B30" s="42">
        <v>0</v>
      </c>
      <c r="C30" s="42">
        <v>0</v>
      </c>
      <c r="D30" s="42">
        <v>0</v>
      </c>
      <c r="E30" s="42">
        <v>1</v>
      </c>
      <c r="F30" s="42">
        <v>2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">
      <c r="A31" s="64" t="s">
        <v>28</v>
      </c>
      <c r="B31" s="42">
        <v>4</v>
      </c>
      <c r="C31" s="42">
        <v>12</v>
      </c>
      <c r="D31" s="42">
        <v>11</v>
      </c>
      <c r="E31" s="42">
        <v>14</v>
      </c>
      <c r="F31" s="42">
        <v>151</v>
      </c>
      <c r="G31" s="42">
        <v>161</v>
      </c>
      <c r="H31" s="42">
        <v>112</v>
      </c>
      <c r="I31" s="42">
        <v>170</v>
      </c>
      <c r="J31"/>
      <c r="K31" s="11"/>
      <c r="L31" s="11"/>
      <c r="M31" s="11"/>
      <c r="N31" s="11"/>
      <c r="O31" s="11"/>
    </row>
    <row r="32" spans="1:15" x14ac:dyDescent="0.2">
      <c r="A32" s="64" t="s">
        <v>29</v>
      </c>
      <c r="B32" s="42">
        <v>0</v>
      </c>
      <c r="C32" s="42">
        <v>0</v>
      </c>
      <c r="D32" s="42">
        <v>1</v>
      </c>
      <c r="E32" s="42">
        <v>2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16</v>
      </c>
      <c r="G33" s="42">
        <v>11</v>
      </c>
      <c r="H33" s="42">
        <v>86</v>
      </c>
      <c r="I33" s="42">
        <v>42</v>
      </c>
      <c r="J33"/>
      <c r="K33" s="11"/>
      <c r="L33" s="11"/>
      <c r="M33" s="11"/>
      <c r="N33" s="11"/>
      <c r="O33" s="11"/>
    </row>
    <row r="34" spans="1:15" x14ac:dyDescent="0.2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20</v>
      </c>
      <c r="G34" s="42">
        <v>26</v>
      </c>
      <c r="H34" s="42">
        <v>37</v>
      </c>
      <c r="I34" s="42">
        <v>21</v>
      </c>
      <c r="J34"/>
      <c r="K34" s="11"/>
      <c r="L34" s="11"/>
      <c r="M34" s="11"/>
      <c r="N34" s="11"/>
      <c r="O34" s="11"/>
    </row>
    <row r="35" spans="1:15" x14ac:dyDescent="0.2">
      <c r="A35" s="64" t="s">
        <v>32</v>
      </c>
      <c r="B35" s="42">
        <v>2</v>
      </c>
      <c r="C35" s="42">
        <v>1</v>
      </c>
      <c r="D35" s="42">
        <v>4</v>
      </c>
      <c r="E35" s="42">
        <v>1</v>
      </c>
      <c r="F35" s="42">
        <v>32</v>
      </c>
      <c r="G35" s="42">
        <v>42</v>
      </c>
      <c r="H35" s="42">
        <v>75</v>
      </c>
      <c r="I35" s="42">
        <v>59</v>
      </c>
      <c r="J35"/>
      <c r="K35" s="11"/>
      <c r="L35" s="11"/>
      <c r="M35" s="11"/>
      <c r="N35" s="11"/>
      <c r="O35" s="11"/>
    </row>
    <row r="36" spans="1:15" x14ac:dyDescent="0.2">
      <c r="A36" s="64" t="s">
        <v>33</v>
      </c>
      <c r="B36" s="42">
        <v>1</v>
      </c>
      <c r="C36" s="42">
        <v>1</v>
      </c>
      <c r="D36" s="42">
        <v>0</v>
      </c>
      <c r="E36" s="42">
        <v>6</v>
      </c>
      <c r="F36" s="42">
        <v>15</v>
      </c>
      <c r="G36" s="42">
        <v>23</v>
      </c>
      <c r="H36" s="42">
        <v>13</v>
      </c>
      <c r="I36" s="42">
        <v>16</v>
      </c>
      <c r="J36"/>
      <c r="K36" s="11"/>
      <c r="L36" s="11"/>
      <c r="M36" s="11"/>
      <c r="N36" s="11"/>
      <c r="O36" s="11"/>
    </row>
    <row r="37" spans="1:15" x14ac:dyDescent="0.2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12</v>
      </c>
      <c r="G37" s="42">
        <v>8</v>
      </c>
      <c r="H37" s="42">
        <v>11</v>
      </c>
      <c r="I37" s="42">
        <v>11</v>
      </c>
      <c r="J37"/>
      <c r="K37" s="11"/>
      <c r="L37" s="11"/>
      <c r="M37" s="11"/>
      <c r="N37" s="11"/>
      <c r="O37" s="11"/>
    </row>
    <row r="38" spans="1:15" x14ac:dyDescent="0.2">
      <c r="A38" s="64" t="s">
        <v>35</v>
      </c>
      <c r="B38" s="42">
        <v>17</v>
      </c>
      <c r="C38" s="42">
        <v>22</v>
      </c>
      <c r="D38" s="42">
        <v>14</v>
      </c>
      <c r="E38" s="42">
        <v>4</v>
      </c>
      <c r="F38" s="42">
        <v>320</v>
      </c>
      <c r="G38" s="42">
        <v>321</v>
      </c>
      <c r="H38" s="42">
        <v>328</v>
      </c>
      <c r="I38" s="42">
        <v>132</v>
      </c>
      <c r="J38"/>
      <c r="K38" s="11"/>
      <c r="L38" s="11"/>
      <c r="M38" s="11"/>
      <c r="N38" s="11"/>
      <c r="O38" s="11"/>
    </row>
    <row r="39" spans="1:15" x14ac:dyDescent="0.2">
      <c r="A39" s="64" t="s">
        <v>36</v>
      </c>
      <c r="B39" s="42">
        <v>21</v>
      </c>
      <c r="C39" s="42">
        <v>32</v>
      </c>
      <c r="D39" s="42">
        <v>11</v>
      </c>
      <c r="E39" s="42">
        <v>14</v>
      </c>
      <c r="F39" s="42">
        <v>664</v>
      </c>
      <c r="G39" s="42">
        <v>1008</v>
      </c>
      <c r="H39" s="42">
        <v>485</v>
      </c>
      <c r="I39" s="42">
        <v>677</v>
      </c>
      <c r="J39"/>
      <c r="K39" s="11"/>
      <c r="L39" s="11"/>
      <c r="M39" s="11"/>
      <c r="N39" s="11"/>
      <c r="O39" s="11"/>
    </row>
    <row r="40" spans="1:15" x14ac:dyDescent="0.2">
      <c r="A40" s="64" t="s">
        <v>37</v>
      </c>
      <c r="B40" s="42">
        <v>2</v>
      </c>
      <c r="C40" s="42">
        <v>1</v>
      </c>
      <c r="D40" s="42">
        <v>3</v>
      </c>
      <c r="E40" s="42">
        <v>0</v>
      </c>
      <c r="F40" s="42">
        <v>52</v>
      </c>
      <c r="G40" s="42">
        <v>51</v>
      </c>
      <c r="H40" s="42">
        <v>92</v>
      </c>
      <c r="I40" s="42">
        <v>60</v>
      </c>
      <c r="J40"/>
      <c r="K40" s="11"/>
      <c r="L40" s="11"/>
      <c r="M40" s="11"/>
      <c r="N40" s="11"/>
      <c r="O40" s="11"/>
    </row>
    <row r="41" spans="1:15" x14ac:dyDescent="0.2">
      <c r="A41" s="64" t="s">
        <v>38</v>
      </c>
      <c r="B41" s="42">
        <v>3</v>
      </c>
      <c r="C41" s="42">
        <v>0</v>
      </c>
      <c r="D41" s="42">
        <v>2</v>
      </c>
      <c r="E41" s="42">
        <v>1</v>
      </c>
      <c r="F41" s="42">
        <v>161</v>
      </c>
      <c r="G41" s="42">
        <v>151</v>
      </c>
      <c r="H41" s="42">
        <v>135</v>
      </c>
      <c r="I41" s="42">
        <v>148</v>
      </c>
      <c r="J41"/>
      <c r="K41" s="11"/>
      <c r="L41" s="11"/>
      <c r="M41" s="11"/>
      <c r="N41" s="11"/>
      <c r="O41" s="11"/>
    </row>
    <row r="42" spans="1:15" x14ac:dyDescent="0.2">
      <c r="A42" s="64" t="s">
        <v>39</v>
      </c>
      <c r="B42" s="42">
        <v>12</v>
      </c>
      <c r="C42" s="42">
        <v>21</v>
      </c>
      <c r="D42" s="42">
        <v>21</v>
      </c>
      <c r="E42" s="42">
        <v>4</v>
      </c>
      <c r="F42" s="42">
        <v>566</v>
      </c>
      <c r="G42" s="42">
        <v>816</v>
      </c>
      <c r="H42" s="42">
        <v>353</v>
      </c>
      <c r="I42" s="42">
        <v>272</v>
      </c>
      <c r="J42"/>
      <c r="K42" s="11"/>
      <c r="L42" s="11"/>
      <c r="M42" s="11"/>
      <c r="N42" s="11"/>
      <c r="O42" s="11"/>
    </row>
    <row r="43" spans="1:15" x14ac:dyDescent="0.2">
      <c r="A43" s="64" t="s">
        <v>40</v>
      </c>
      <c r="B43" s="42">
        <v>42</v>
      </c>
      <c r="C43" s="42">
        <v>89</v>
      </c>
      <c r="D43" s="42">
        <v>22</v>
      </c>
      <c r="E43" s="42">
        <v>15</v>
      </c>
      <c r="F43" s="42">
        <v>324</v>
      </c>
      <c r="G43" s="42">
        <v>395</v>
      </c>
      <c r="H43" s="42">
        <v>473</v>
      </c>
      <c r="I43" s="42">
        <v>214</v>
      </c>
      <c r="J43"/>
      <c r="K43" s="11"/>
      <c r="L43" s="11"/>
      <c r="M43" s="11"/>
      <c r="N43" s="11"/>
      <c r="O43" s="11"/>
    </row>
    <row r="44" spans="1:15" x14ac:dyDescent="0.2">
      <c r="A44" s="64" t="s">
        <v>41</v>
      </c>
      <c r="B44" s="42">
        <v>2</v>
      </c>
      <c r="C44" s="42">
        <v>3</v>
      </c>
      <c r="D44" s="42">
        <v>0</v>
      </c>
      <c r="E44" s="42">
        <v>2</v>
      </c>
      <c r="F44" s="42">
        <v>105</v>
      </c>
      <c r="G44" s="42">
        <v>111</v>
      </c>
      <c r="H44" s="42">
        <v>100</v>
      </c>
      <c r="I44" s="42">
        <v>125</v>
      </c>
      <c r="J44"/>
      <c r="K44" s="11"/>
      <c r="L44" s="11"/>
      <c r="M44" s="11"/>
      <c r="N44" s="11"/>
      <c r="O44" s="11"/>
    </row>
    <row r="45" spans="1:15" x14ac:dyDescent="0.2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">
      <c r="A46" s="64" t="s">
        <v>43</v>
      </c>
      <c r="B46" s="42">
        <v>0</v>
      </c>
      <c r="C46" s="42">
        <v>0</v>
      </c>
      <c r="D46" s="42">
        <v>2</v>
      </c>
      <c r="E46" s="42">
        <v>1</v>
      </c>
      <c r="F46" s="42">
        <v>77</v>
      </c>
      <c r="G46" s="42">
        <v>94</v>
      </c>
      <c r="H46" s="42">
        <v>107</v>
      </c>
      <c r="I46" s="42">
        <v>66</v>
      </c>
      <c r="J46"/>
      <c r="K46" s="11"/>
      <c r="L46" s="11"/>
      <c r="M46" s="11"/>
      <c r="N46" s="11"/>
      <c r="O46" s="11"/>
    </row>
    <row r="47" spans="1:15" x14ac:dyDescent="0.2">
      <c r="A47" s="64" t="s">
        <v>44</v>
      </c>
      <c r="B47" s="42">
        <v>1</v>
      </c>
      <c r="C47" s="42">
        <v>2</v>
      </c>
      <c r="D47" s="42">
        <v>1</v>
      </c>
      <c r="E47" s="42">
        <v>0</v>
      </c>
      <c r="F47" s="42">
        <v>29</v>
      </c>
      <c r="G47" s="42">
        <v>29</v>
      </c>
      <c r="H47" s="42">
        <v>31</v>
      </c>
      <c r="I47" s="42">
        <v>21</v>
      </c>
      <c r="J47"/>
      <c r="K47" s="11"/>
      <c r="L47" s="11"/>
      <c r="M47" s="11"/>
      <c r="N47" s="11"/>
      <c r="O47" s="11"/>
    </row>
    <row r="48" spans="1:15" x14ac:dyDescent="0.2">
      <c r="A48" s="64" t="s">
        <v>45</v>
      </c>
      <c r="B48" s="42">
        <v>2</v>
      </c>
      <c r="C48" s="42">
        <v>6</v>
      </c>
      <c r="D48" s="42">
        <v>3</v>
      </c>
      <c r="E48" s="42">
        <v>5</v>
      </c>
      <c r="F48" s="42">
        <v>123</v>
      </c>
      <c r="G48" s="42">
        <v>264</v>
      </c>
      <c r="H48" s="42">
        <v>167</v>
      </c>
      <c r="I48" s="42">
        <v>187</v>
      </c>
      <c r="J48"/>
      <c r="K48" s="11"/>
      <c r="L48" s="11"/>
      <c r="M48" s="11"/>
      <c r="N48" s="11"/>
      <c r="O48" s="11"/>
    </row>
    <row r="49" spans="1:15" x14ac:dyDescent="0.2">
      <c r="A49" s="64" t="s">
        <v>46</v>
      </c>
      <c r="B49" s="42">
        <v>30</v>
      </c>
      <c r="C49" s="42">
        <v>37</v>
      </c>
      <c r="D49" s="42">
        <v>27</v>
      </c>
      <c r="E49" s="42">
        <v>20</v>
      </c>
      <c r="F49" s="42">
        <v>1139</v>
      </c>
      <c r="G49" s="42">
        <v>1589</v>
      </c>
      <c r="H49" s="42">
        <v>802</v>
      </c>
      <c r="I49" s="42">
        <v>665</v>
      </c>
      <c r="J49"/>
      <c r="K49" s="11"/>
      <c r="L49" s="11"/>
      <c r="M49" s="11"/>
      <c r="N49" s="11"/>
      <c r="O49" s="11"/>
    </row>
    <row r="50" spans="1:15" x14ac:dyDescent="0.2">
      <c r="A50" s="64" t="s">
        <v>47</v>
      </c>
      <c r="B50" s="42">
        <v>0</v>
      </c>
      <c r="C50" s="42">
        <v>1</v>
      </c>
      <c r="D50" s="42">
        <v>0</v>
      </c>
      <c r="E50" s="42">
        <v>0</v>
      </c>
      <c r="F50" s="42">
        <v>12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">
      <c r="A51" s="64" t="s">
        <v>48</v>
      </c>
      <c r="B51" s="42">
        <v>13</v>
      </c>
      <c r="C51" s="42">
        <v>22</v>
      </c>
      <c r="D51" s="42">
        <v>18</v>
      </c>
      <c r="E51" s="42">
        <v>17</v>
      </c>
      <c r="F51" s="42">
        <v>395</v>
      </c>
      <c r="G51" s="42">
        <v>676</v>
      </c>
      <c r="H51" s="42">
        <v>386</v>
      </c>
      <c r="I51" s="42">
        <v>372</v>
      </c>
      <c r="J51"/>
      <c r="K51" s="11"/>
      <c r="L51" s="11"/>
      <c r="M51" s="11"/>
      <c r="N51" s="11"/>
      <c r="O51" s="11"/>
    </row>
    <row r="52" spans="1:15" x14ac:dyDescent="0.2">
      <c r="A52" s="64" t="s">
        <v>49</v>
      </c>
      <c r="B52" s="42">
        <v>1</v>
      </c>
      <c r="C52" s="42">
        <v>0</v>
      </c>
      <c r="D52" s="42">
        <v>4</v>
      </c>
      <c r="E52" s="42">
        <v>1</v>
      </c>
      <c r="F52" s="42">
        <v>65</v>
      </c>
      <c r="G52" s="42">
        <v>64</v>
      </c>
      <c r="H52" s="42">
        <v>75</v>
      </c>
      <c r="I52" s="42">
        <v>40</v>
      </c>
      <c r="J52"/>
      <c r="K52" s="11"/>
      <c r="L52" s="11"/>
      <c r="M52" s="11"/>
      <c r="N52" s="11"/>
      <c r="O52" s="11"/>
    </row>
    <row r="53" spans="1:15" x14ac:dyDescent="0.2">
      <c r="A53" s="64" t="s">
        <v>50</v>
      </c>
      <c r="B53" s="42">
        <v>2</v>
      </c>
      <c r="C53" s="42">
        <v>0</v>
      </c>
      <c r="D53" s="42">
        <v>3</v>
      </c>
      <c r="E53" s="42">
        <v>1</v>
      </c>
      <c r="F53" s="42">
        <v>37</v>
      </c>
      <c r="G53" s="42">
        <v>53</v>
      </c>
      <c r="H53" s="42">
        <v>39</v>
      </c>
      <c r="I53" s="42">
        <v>43</v>
      </c>
      <c r="J53"/>
      <c r="K53" s="11"/>
      <c r="L53" s="11"/>
      <c r="M53" s="11"/>
      <c r="N53" s="11"/>
      <c r="O53" s="11"/>
    </row>
    <row r="54" spans="1:15" x14ac:dyDescent="0.2">
      <c r="A54" s="64" t="s">
        <v>51</v>
      </c>
      <c r="B54" s="42">
        <v>144</v>
      </c>
      <c r="C54" s="42">
        <v>408</v>
      </c>
      <c r="D54" s="42">
        <v>145</v>
      </c>
      <c r="E54" s="42">
        <v>67</v>
      </c>
      <c r="F54" s="42">
        <v>1402</v>
      </c>
      <c r="G54" s="42">
        <v>4261</v>
      </c>
      <c r="H54" s="42">
        <v>1474</v>
      </c>
      <c r="I54" s="42">
        <v>592</v>
      </c>
      <c r="J54"/>
      <c r="K54" s="11"/>
      <c r="L54" s="11"/>
      <c r="M54" s="11"/>
      <c r="N54" s="11"/>
      <c r="O54" s="11"/>
    </row>
    <row r="55" spans="1:15" x14ac:dyDescent="0.2">
      <c r="A55" s="64" t="s">
        <v>52</v>
      </c>
      <c r="B55" s="42">
        <v>1</v>
      </c>
      <c r="C55" s="42">
        <v>0</v>
      </c>
      <c r="D55" s="42">
        <v>4</v>
      </c>
      <c r="E55" s="42">
        <v>1</v>
      </c>
      <c r="F55" s="42">
        <v>43</v>
      </c>
      <c r="G55" s="42">
        <v>73</v>
      </c>
      <c r="H55" s="42">
        <v>55</v>
      </c>
      <c r="I55" s="42">
        <v>94</v>
      </c>
      <c r="J55"/>
      <c r="K55" s="11"/>
      <c r="L55" s="11"/>
      <c r="M55" s="11"/>
      <c r="N55" s="11"/>
      <c r="O55" s="11"/>
    </row>
    <row r="56" spans="1:15" x14ac:dyDescent="0.2">
      <c r="A56" s="64" t="s">
        <v>53</v>
      </c>
      <c r="B56" s="42">
        <v>0</v>
      </c>
      <c r="C56" s="42">
        <v>0</v>
      </c>
      <c r="D56" s="42">
        <v>1</v>
      </c>
      <c r="E56" s="42">
        <v>0</v>
      </c>
      <c r="F56" s="42">
        <v>5</v>
      </c>
      <c r="G56" s="42">
        <v>4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">
      <c r="A57" s="64" t="s">
        <v>54</v>
      </c>
      <c r="B57" s="42">
        <v>6</v>
      </c>
      <c r="C57" s="42">
        <v>3</v>
      </c>
      <c r="D57" s="42">
        <v>8</v>
      </c>
      <c r="E57" s="42">
        <v>5</v>
      </c>
      <c r="F57" s="42">
        <v>107</v>
      </c>
      <c r="G57" s="42">
        <v>108</v>
      </c>
      <c r="H57" s="42">
        <v>172</v>
      </c>
      <c r="I57" s="42">
        <v>103</v>
      </c>
      <c r="J57"/>
      <c r="K57" s="11"/>
      <c r="L57" s="11"/>
      <c r="M57" s="11"/>
      <c r="N57" s="11"/>
      <c r="O57" s="11"/>
    </row>
    <row r="58" spans="1:15" x14ac:dyDescent="0.2">
      <c r="A58" s="64" t="s">
        <v>55</v>
      </c>
      <c r="B58" s="42">
        <v>0</v>
      </c>
      <c r="C58" s="42">
        <v>0</v>
      </c>
      <c r="D58" s="42">
        <v>1</v>
      </c>
      <c r="E58" s="42">
        <v>1</v>
      </c>
      <c r="F58" s="42">
        <v>16</v>
      </c>
      <c r="G58" s="42">
        <v>18</v>
      </c>
      <c r="H58" s="42">
        <v>9</v>
      </c>
      <c r="I58" s="42">
        <v>23</v>
      </c>
      <c r="J58"/>
      <c r="K58" s="11"/>
      <c r="L58" s="11"/>
      <c r="M58" s="11"/>
      <c r="N58" s="11"/>
      <c r="O58" s="11"/>
    </row>
    <row r="59" spans="1:15" x14ac:dyDescent="0.2">
      <c r="A59" s="64" t="s">
        <v>56</v>
      </c>
      <c r="B59" s="42">
        <v>0</v>
      </c>
      <c r="C59" s="42">
        <v>0</v>
      </c>
      <c r="D59" s="42">
        <v>3</v>
      </c>
      <c r="E59" s="42">
        <v>3</v>
      </c>
      <c r="F59" s="42">
        <v>47</v>
      </c>
      <c r="G59" s="42">
        <v>46</v>
      </c>
      <c r="H59" s="42">
        <v>112</v>
      </c>
      <c r="I59" s="42">
        <v>80</v>
      </c>
      <c r="J59"/>
      <c r="K59" s="11"/>
      <c r="L59" s="11"/>
      <c r="M59" s="11"/>
      <c r="N59" s="11"/>
      <c r="O59" s="11"/>
    </row>
    <row r="60" spans="1:15" x14ac:dyDescent="0.2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6</v>
      </c>
      <c r="I60" s="42">
        <v>5</v>
      </c>
      <c r="J60"/>
      <c r="K60" s="11"/>
      <c r="L60" s="11"/>
      <c r="M60" s="11"/>
      <c r="N60" s="11"/>
      <c r="O60" s="11"/>
    </row>
    <row r="61" spans="1:15" x14ac:dyDescent="0.2">
      <c r="A61" s="64" t="s">
        <v>58</v>
      </c>
      <c r="B61" s="42">
        <v>0</v>
      </c>
      <c r="C61" s="42">
        <v>0</v>
      </c>
      <c r="D61" s="42">
        <v>1</v>
      </c>
      <c r="E61" s="42">
        <v>1</v>
      </c>
      <c r="F61" s="42">
        <v>34</v>
      </c>
      <c r="G61" s="42">
        <v>31</v>
      </c>
      <c r="H61" s="42">
        <v>32</v>
      </c>
      <c r="I61" s="42">
        <v>31</v>
      </c>
      <c r="J61"/>
      <c r="K61" s="11"/>
      <c r="L61" s="11"/>
      <c r="M61" s="11"/>
      <c r="N61" s="11"/>
      <c r="O61" s="11"/>
    </row>
    <row r="62" spans="1:15" x14ac:dyDescent="0.2">
      <c r="A62" s="64" t="s">
        <v>59</v>
      </c>
      <c r="B62" s="42">
        <v>2</v>
      </c>
      <c r="C62" s="42">
        <v>1</v>
      </c>
      <c r="D62" s="42">
        <v>2</v>
      </c>
      <c r="E62" s="42">
        <v>0</v>
      </c>
      <c r="F62" s="42">
        <v>32</v>
      </c>
      <c r="G62" s="42">
        <v>35</v>
      </c>
      <c r="H62" s="42">
        <v>37</v>
      </c>
      <c r="I62" s="42">
        <v>40</v>
      </c>
      <c r="J62"/>
      <c r="K62" s="11"/>
      <c r="L62" s="11"/>
      <c r="M62" s="11"/>
      <c r="N62" s="11"/>
      <c r="O62" s="11"/>
    </row>
    <row r="63" spans="1:15" x14ac:dyDescent="0.2">
      <c r="A63" s="64" t="s">
        <v>60</v>
      </c>
      <c r="B63" s="42">
        <v>0</v>
      </c>
      <c r="C63" s="42">
        <v>1</v>
      </c>
      <c r="D63" s="42">
        <v>1</v>
      </c>
      <c r="E63" s="42">
        <v>0</v>
      </c>
      <c r="F63" s="42">
        <v>14</v>
      </c>
      <c r="G63" s="42">
        <v>30</v>
      </c>
      <c r="H63" s="42">
        <v>19</v>
      </c>
      <c r="I63" s="42">
        <v>19</v>
      </c>
      <c r="J63"/>
      <c r="K63" s="11"/>
      <c r="L63" s="11"/>
      <c r="M63" s="11"/>
      <c r="N63" s="11"/>
      <c r="O63" s="11"/>
    </row>
    <row r="64" spans="1:15" x14ac:dyDescent="0.2">
      <c r="A64" s="64" t="s">
        <v>61</v>
      </c>
      <c r="B64" s="42">
        <v>0</v>
      </c>
      <c r="C64" s="42">
        <v>1</v>
      </c>
      <c r="D64" s="42">
        <v>0</v>
      </c>
      <c r="E64" s="42">
        <v>0</v>
      </c>
      <c r="F64" s="42">
        <v>37</v>
      </c>
      <c r="G64" s="42">
        <v>45</v>
      </c>
      <c r="H64" s="42">
        <v>40</v>
      </c>
      <c r="I64" s="42">
        <v>35</v>
      </c>
      <c r="J64"/>
      <c r="K64" s="11"/>
      <c r="L64" s="11"/>
      <c r="M64" s="11"/>
      <c r="N64" s="11"/>
      <c r="O64" s="11"/>
    </row>
    <row r="65" spans="1:15" x14ac:dyDescent="0.2">
      <c r="A65" s="64" t="s">
        <v>62</v>
      </c>
      <c r="B65" s="42">
        <v>1</v>
      </c>
      <c r="C65" s="42">
        <v>0</v>
      </c>
      <c r="D65" s="42">
        <v>5</v>
      </c>
      <c r="E65" s="42">
        <v>1</v>
      </c>
      <c r="F65" s="42">
        <v>28</v>
      </c>
      <c r="G65" s="42">
        <v>37</v>
      </c>
      <c r="H65" s="42">
        <v>26</v>
      </c>
      <c r="I65" s="42">
        <v>28</v>
      </c>
      <c r="J65"/>
      <c r="K65" s="11"/>
      <c r="L65" s="11"/>
      <c r="M65" s="11"/>
      <c r="N65" s="11"/>
      <c r="O65" s="11"/>
    </row>
    <row r="66" spans="1:15" x14ac:dyDescent="0.2">
      <c r="A66" s="64" t="s">
        <v>63</v>
      </c>
      <c r="B66" s="42">
        <v>6</v>
      </c>
      <c r="C66" s="42">
        <v>6</v>
      </c>
      <c r="D66" s="42">
        <v>13</v>
      </c>
      <c r="E66" s="42">
        <v>5</v>
      </c>
      <c r="F66" s="42">
        <v>153</v>
      </c>
      <c r="G66" s="42">
        <v>178</v>
      </c>
      <c r="H66" s="42">
        <v>254</v>
      </c>
      <c r="I66" s="42">
        <v>153</v>
      </c>
      <c r="J66"/>
      <c r="K66" s="11"/>
      <c r="L66" s="11"/>
      <c r="M66" s="11"/>
      <c r="N66" s="11"/>
      <c r="O66" s="11"/>
    </row>
    <row r="67" spans="1:15" x14ac:dyDescent="0.2">
      <c r="A67" s="64" t="s">
        <v>64</v>
      </c>
      <c r="B67" s="42">
        <v>0</v>
      </c>
      <c r="C67" s="42">
        <v>0</v>
      </c>
      <c r="D67" s="42">
        <v>3</v>
      </c>
      <c r="E67" s="42">
        <v>0</v>
      </c>
      <c r="F67" s="42">
        <v>26</v>
      </c>
      <c r="G67" s="42">
        <v>47</v>
      </c>
      <c r="H67" s="42">
        <v>51</v>
      </c>
      <c r="I67" s="42">
        <v>52</v>
      </c>
      <c r="J67"/>
      <c r="K67" s="11"/>
      <c r="L67" s="11"/>
      <c r="M67" s="11"/>
      <c r="N67" s="11"/>
      <c r="O67" s="11"/>
    </row>
    <row r="68" spans="1:15" x14ac:dyDescent="0.2">
      <c r="A68" s="64" t="s">
        <v>65</v>
      </c>
      <c r="B68" s="42">
        <v>11</v>
      </c>
      <c r="C68" s="42">
        <v>11</v>
      </c>
      <c r="D68" s="42">
        <v>20</v>
      </c>
      <c r="E68" s="42">
        <v>12</v>
      </c>
      <c r="F68" s="42">
        <v>284</v>
      </c>
      <c r="G68" s="42">
        <v>312</v>
      </c>
      <c r="H68" s="42">
        <v>410</v>
      </c>
      <c r="I68" s="42">
        <v>221</v>
      </c>
      <c r="J68"/>
      <c r="K68" s="11"/>
      <c r="L68" s="11"/>
      <c r="M68" s="11"/>
      <c r="N68" s="11"/>
      <c r="O68" s="11"/>
    </row>
    <row r="69" spans="1:15" x14ac:dyDescent="0.2">
      <c r="A69" s="64" t="s">
        <v>66</v>
      </c>
      <c r="B69" s="42">
        <v>2</v>
      </c>
      <c r="C69" s="42">
        <v>1</v>
      </c>
      <c r="D69" s="42">
        <v>1</v>
      </c>
      <c r="E69" s="42">
        <v>4</v>
      </c>
      <c r="F69" s="42">
        <v>29</v>
      </c>
      <c r="G69" s="42">
        <v>24</v>
      </c>
      <c r="H69" s="42">
        <v>38</v>
      </c>
      <c r="I69" s="42">
        <v>25</v>
      </c>
      <c r="J69"/>
      <c r="K69" s="11"/>
      <c r="L69" s="11"/>
      <c r="M69" s="11"/>
      <c r="N69" s="11"/>
      <c r="O69" s="11"/>
    </row>
    <row r="70" spans="1:15" x14ac:dyDescent="0.2">
      <c r="A70" s="64" t="s">
        <v>67</v>
      </c>
      <c r="B70" s="42">
        <v>21</v>
      </c>
      <c r="C70" s="42">
        <v>31</v>
      </c>
      <c r="D70" s="42">
        <v>17</v>
      </c>
      <c r="E70" s="42">
        <v>19</v>
      </c>
      <c r="F70" s="42">
        <v>569</v>
      </c>
      <c r="G70" s="42">
        <v>894</v>
      </c>
      <c r="H70" s="42">
        <v>420</v>
      </c>
      <c r="I70" s="42">
        <v>542</v>
      </c>
      <c r="J70"/>
      <c r="K70" s="11"/>
      <c r="L70" s="11"/>
      <c r="M70" s="11"/>
      <c r="N70" s="11"/>
      <c r="O70" s="11"/>
    </row>
    <row r="71" spans="1:15" x14ac:dyDescent="0.2">
      <c r="A71" s="39" t="s">
        <v>68</v>
      </c>
      <c r="B71" s="67">
        <f>SUM(B4:B70)</f>
        <v>581</v>
      </c>
      <c r="C71" s="67">
        <f>SUM(C4:C70)</f>
        <v>1061</v>
      </c>
      <c r="D71" s="67">
        <f>SUM(D4:D70)</f>
        <v>625</v>
      </c>
      <c r="E71" s="67">
        <f>SUM(E4:E70)</f>
        <v>362</v>
      </c>
      <c r="F71" s="67">
        <f t="shared" ref="F71:I71" si="0">SUM(F4:F70)</f>
        <v>13104</v>
      </c>
      <c r="G71" s="67">
        <f t="shared" si="0"/>
        <v>21090</v>
      </c>
      <c r="H71" s="67">
        <f t="shared" si="0"/>
        <v>12544</v>
      </c>
      <c r="I71" s="67">
        <f t="shared" si="0"/>
        <v>9707</v>
      </c>
      <c r="J71"/>
    </row>
    <row r="73" spans="1:15" x14ac:dyDescent="0.2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40625" defaultRowHeight="12.75" x14ac:dyDescent="0.2"/>
  <cols>
    <col min="1" max="1" width="19.140625" style="11" bestFit="1" customWidth="1"/>
    <col min="2" max="5" width="8.28515625" style="10" customWidth="1"/>
    <col min="6" max="14" width="7.7109375" style="11" customWidth="1"/>
    <col min="15" max="15" width="7.28515625" style="10" customWidth="1"/>
    <col min="16" max="16" width="6.140625" style="10" customWidth="1"/>
    <col min="17" max="17" width="6.7109375" style="10" bestFit="1" customWidth="1"/>
    <col min="18" max="18" width="7.140625" style="10" customWidth="1"/>
    <col min="19" max="19" width="6.140625" style="10" customWidth="1"/>
    <col min="20" max="20" width="8" style="10" customWidth="1"/>
    <col min="21" max="23" width="6.28515625" style="11" customWidth="1"/>
    <col min="24" max="27" width="6.7109375" style="35" bestFit="1" customWidth="1"/>
    <col min="28" max="29" width="6.7109375" style="35" customWidth="1"/>
    <col min="30" max="30" width="7.7109375" style="35" bestFit="1" customWidth="1"/>
    <col min="31" max="31" width="6.7109375" style="35" customWidth="1"/>
    <col min="32" max="35" width="6.7109375" style="35" bestFit="1" customWidth="1"/>
    <col min="36" max="59" width="6.7109375" style="35" customWidth="1"/>
    <col min="60" max="60" width="8.42578125" style="10" customWidth="1"/>
    <col min="61" max="61" width="6.7109375" style="10" bestFit="1" customWidth="1"/>
    <col min="62" max="62" width="7.7109375" style="10" bestFit="1" customWidth="1"/>
    <col min="63" max="63" width="8.28515625" style="10" customWidth="1"/>
    <col min="64" max="16384" width="9.140625" style="11"/>
  </cols>
  <sheetData>
    <row r="1" spans="1:76" x14ac:dyDescent="0.2">
      <c r="A1" s="42"/>
      <c r="B1" s="85" t="s">
        <v>97</v>
      </c>
      <c r="C1" s="82"/>
      <c r="D1" s="82"/>
      <c r="E1" s="82"/>
      <c r="F1" s="83" t="s">
        <v>99</v>
      </c>
      <c r="G1" s="83"/>
      <c r="H1" s="83"/>
      <c r="I1" s="83"/>
      <c r="J1" s="83"/>
      <c r="K1" s="83"/>
      <c r="L1" s="86" t="s">
        <v>94</v>
      </c>
      <c r="M1" s="86"/>
      <c r="N1" s="86"/>
      <c r="O1" s="85" t="s">
        <v>100</v>
      </c>
      <c r="P1" s="85"/>
      <c r="Q1" s="85"/>
      <c r="R1" s="85"/>
      <c r="S1" s="85"/>
      <c r="T1" s="85"/>
      <c r="U1" s="85"/>
      <c r="V1" s="85"/>
      <c r="W1" s="85"/>
      <c r="X1" s="83" t="s">
        <v>101</v>
      </c>
      <c r="Y1" s="83"/>
      <c r="Z1" s="83"/>
      <c r="AA1" s="83"/>
      <c r="AB1" s="42"/>
      <c r="AC1" s="42" t="s">
        <v>105</v>
      </c>
      <c r="AD1" s="42"/>
      <c r="AE1" s="42"/>
      <c r="AF1" s="83" t="s">
        <v>106</v>
      </c>
      <c r="AG1" s="83"/>
      <c r="AH1" s="83"/>
      <c r="AI1" s="83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9" t="s">
        <v>117</v>
      </c>
      <c r="BA1" s="89"/>
      <c r="BB1" s="89"/>
      <c r="BC1" s="89"/>
      <c r="BD1" s="80" t="s">
        <v>119</v>
      </c>
      <c r="BE1" s="80"/>
      <c r="BF1" s="80"/>
      <c r="BG1" s="80"/>
      <c r="BH1" s="80" t="s">
        <v>124</v>
      </c>
      <c r="BI1" s="80"/>
      <c r="BJ1" s="80"/>
      <c r="BK1" s="80"/>
      <c r="BL1" s="80" t="s">
        <v>125</v>
      </c>
      <c r="BM1" s="80"/>
      <c r="BN1" s="80"/>
      <c r="BO1" s="80"/>
      <c r="BP1" s="87" t="s">
        <v>127</v>
      </c>
      <c r="BQ1" s="87"/>
      <c r="BR1" s="87"/>
      <c r="BS1" s="87"/>
      <c r="BT1" s="87"/>
      <c r="BU1" s="87"/>
      <c r="BV1" s="87"/>
      <c r="BW1" s="87"/>
      <c r="BX1" s="87"/>
    </row>
    <row r="2" spans="1:76" x14ac:dyDescent="0.2">
      <c r="A2" s="42"/>
      <c r="B2" s="82" t="s">
        <v>86</v>
      </c>
      <c r="C2" s="82"/>
      <c r="D2" s="82" t="s">
        <v>87</v>
      </c>
      <c r="E2" s="82"/>
      <c r="F2" s="84" t="s">
        <v>86</v>
      </c>
      <c r="G2" s="84"/>
      <c r="H2" s="84"/>
      <c r="I2" s="84" t="s">
        <v>87</v>
      </c>
      <c r="J2" s="84"/>
      <c r="K2" s="84"/>
      <c r="L2" s="84" t="s">
        <v>93</v>
      </c>
      <c r="M2" s="84"/>
      <c r="N2" s="84"/>
      <c r="O2" s="82" t="s">
        <v>86</v>
      </c>
      <c r="P2" s="82"/>
      <c r="Q2" s="82"/>
      <c r="R2" s="82" t="s">
        <v>87</v>
      </c>
      <c r="S2" s="82"/>
      <c r="T2" s="82"/>
      <c r="U2" s="82" t="s">
        <v>93</v>
      </c>
      <c r="V2" s="82"/>
      <c r="W2" s="82"/>
      <c r="X2" s="83" t="s">
        <v>86</v>
      </c>
      <c r="Y2" s="84"/>
      <c r="Z2" s="84" t="s">
        <v>87</v>
      </c>
      <c r="AA2" s="84"/>
      <c r="AB2" s="82" t="s">
        <v>86</v>
      </c>
      <c r="AC2" s="82"/>
      <c r="AD2" s="82" t="s">
        <v>87</v>
      </c>
      <c r="AE2" s="82"/>
      <c r="AF2" s="83" t="s">
        <v>86</v>
      </c>
      <c r="AG2" s="84"/>
      <c r="AH2" s="84" t="s">
        <v>87</v>
      </c>
      <c r="AI2" s="84"/>
      <c r="AJ2" s="82" t="s">
        <v>86</v>
      </c>
      <c r="AK2" s="82"/>
      <c r="AL2" s="82" t="s">
        <v>87</v>
      </c>
      <c r="AM2" s="82"/>
      <c r="AN2" s="82" t="s">
        <v>86</v>
      </c>
      <c r="AO2" s="82"/>
      <c r="AP2" s="82" t="s">
        <v>87</v>
      </c>
      <c r="AQ2" s="82"/>
      <c r="AR2" s="82" t="s">
        <v>86</v>
      </c>
      <c r="AS2" s="82"/>
      <c r="AT2" s="82" t="s">
        <v>87</v>
      </c>
      <c r="AU2" s="82"/>
      <c r="AV2" s="82" t="s">
        <v>86</v>
      </c>
      <c r="AW2" s="82"/>
      <c r="AX2" s="82" t="s">
        <v>87</v>
      </c>
      <c r="AY2" s="82"/>
      <c r="AZ2" s="90" t="s">
        <v>86</v>
      </c>
      <c r="BA2" s="90"/>
      <c r="BB2" s="90" t="s">
        <v>87</v>
      </c>
      <c r="BC2" s="90"/>
      <c r="BD2" s="79" t="s">
        <v>86</v>
      </c>
      <c r="BE2" s="79"/>
      <c r="BF2" s="79" t="s">
        <v>87</v>
      </c>
      <c r="BG2" s="79"/>
      <c r="BH2" s="79" t="s">
        <v>86</v>
      </c>
      <c r="BI2" s="79"/>
      <c r="BJ2" s="79" t="s">
        <v>87</v>
      </c>
      <c r="BK2" s="79"/>
      <c r="BL2" s="79" t="s">
        <v>86</v>
      </c>
      <c r="BM2" s="79"/>
      <c r="BN2" s="79" t="s">
        <v>87</v>
      </c>
      <c r="BO2" s="79"/>
      <c r="BP2" s="87" t="s">
        <v>86</v>
      </c>
      <c r="BQ2" s="88"/>
      <c r="BR2" s="88"/>
      <c r="BS2" s="87" t="s">
        <v>87</v>
      </c>
      <c r="BT2" s="88"/>
      <c r="BU2" s="88"/>
      <c r="BV2" s="88" t="s">
        <v>93</v>
      </c>
      <c r="BW2" s="88"/>
      <c r="BX2" s="88"/>
    </row>
    <row r="3" spans="1:76" x14ac:dyDescent="0.2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19.140625" style="11" bestFit="1" customWidth="1"/>
    <col min="2" max="2" width="22.140625" style="21" customWidth="1"/>
    <col min="3" max="3" width="20" style="21" customWidth="1"/>
    <col min="4" max="4" width="18.5703125" style="30" customWidth="1"/>
    <col min="5" max="5" width="18" style="22" customWidth="1"/>
    <col min="6" max="6" width="5.5703125" style="21" bestFit="1" customWidth="1"/>
    <col min="7" max="16384" width="9.140625" style="21"/>
  </cols>
  <sheetData>
    <row r="1" spans="1:5" x14ac:dyDescent="0.2">
      <c r="A1" s="42"/>
      <c r="B1" s="92" t="s">
        <v>130</v>
      </c>
      <c r="C1" s="93"/>
      <c r="D1" s="94" t="s">
        <v>126</v>
      </c>
      <c r="E1" s="95"/>
    </row>
    <row r="2" spans="1:5" x14ac:dyDescent="0.2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">
      <c r="A3" s="42" t="s">
        <v>1</v>
      </c>
      <c r="B3" s="53">
        <v>5</v>
      </c>
      <c r="C3" s="53">
        <v>8</v>
      </c>
      <c r="D3" s="53">
        <v>95</v>
      </c>
      <c r="E3" s="53">
        <v>186</v>
      </c>
    </row>
    <row r="4" spans="1:5" x14ac:dyDescent="0.2">
      <c r="A4" s="42" t="s">
        <v>2</v>
      </c>
      <c r="B4" s="53">
        <v>125</v>
      </c>
      <c r="C4" s="53">
        <v>41</v>
      </c>
      <c r="D4" s="53">
        <v>1243</v>
      </c>
      <c r="E4" s="53">
        <v>827</v>
      </c>
    </row>
    <row r="5" spans="1:5" x14ac:dyDescent="0.2">
      <c r="A5" s="42" t="s">
        <v>3</v>
      </c>
      <c r="B5" s="53">
        <v>0</v>
      </c>
      <c r="C5" s="53">
        <v>0</v>
      </c>
      <c r="D5" s="53">
        <v>18</v>
      </c>
      <c r="E5" s="53">
        <v>42</v>
      </c>
    </row>
    <row r="6" spans="1:5" x14ac:dyDescent="0.2">
      <c r="A6" s="42" t="s">
        <v>4</v>
      </c>
      <c r="B6" s="53">
        <v>3</v>
      </c>
      <c r="C6" s="53">
        <v>3</v>
      </c>
      <c r="D6" s="53">
        <v>69</v>
      </c>
      <c r="E6" s="53">
        <v>98</v>
      </c>
    </row>
    <row r="7" spans="1:5" x14ac:dyDescent="0.2">
      <c r="A7" s="42" t="s">
        <v>5</v>
      </c>
      <c r="B7" s="53">
        <v>0</v>
      </c>
      <c r="C7" s="53">
        <v>0</v>
      </c>
      <c r="D7" s="53">
        <v>5</v>
      </c>
      <c r="E7" s="53">
        <v>10</v>
      </c>
    </row>
    <row r="8" spans="1:5" x14ac:dyDescent="0.2">
      <c r="A8" s="42" t="s">
        <v>6</v>
      </c>
      <c r="B8" s="53">
        <v>55</v>
      </c>
      <c r="C8" s="53">
        <v>30</v>
      </c>
      <c r="D8" s="53">
        <v>703</v>
      </c>
      <c r="E8" s="53">
        <v>604</v>
      </c>
    </row>
    <row r="9" spans="1:5" x14ac:dyDescent="0.2">
      <c r="A9" s="42" t="s">
        <v>7</v>
      </c>
      <c r="B9" s="53">
        <v>2</v>
      </c>
      <c r="C9" s="53">
        <v>3</v>
      </c>
      <c r="D9" s="53">
        <v>66</v>
      </c>
      <c r="E9" s="53">
        <v>89</v>
      </c>
    </row>
    <row r="10" spans="1:5" x14ac:dyDescent="0.2">
      <c r="A10" s="42" t="s">
        <v>8</v>
      </c>
      <c r="B10" s="53">
        <v>1</v>
      </c>
      <c r="C10" s="53">
        <v>3</v>
      </c>
      <c r="D10" s="53">
        <v>30</v>
      </c>
      <c r="E10" s="53">
        <v>49</v>
      </c>
    </row>
    <row r="11" spans="1:5" x14ac:dyDescent="0.2">
      <c r="A11" s="42" t="s">
        <v>9</v>
      </c>
      <c r="B11" s="53">
        <v>34</v>
      </c>
      <c r="C11" s="53">
        <v>28</v>
      </c>
      <c r="D11" s="53">
        <v>862</v>
      </c>
      <c r="E11" s="53">
        <v>994</v>
      </c>
    </row>
    <row r="12" spans="1:5" x14ac:dyDescent="0.2">
      <c r="A12" s="42" t="s">
        <v>10</v>
      </c>
      <c r="B12" s="53">
        <v>6</v>
      </c>
      <c r="C12" s="53">
        <v>8</v>
      </c>
      <c r="D12" s="53">
        <v>94</v>
      </c>
      <c r="E12" s="53">
        <v>181</v>
      </c>
    </row>
    <row r="13" spans="1:5" x14ac:dyDescent="0.2">
      <c r="A13" s="42" t="s">
        <v>11</v>
      </c>
      <c r="B13" s="53">
        <v>1</v>
      </c>
      <c r="C13" s="53">
        <v>0</v>
      </c>
      <c r="D13" s="53">
        <v>87</v>
      </c>
      <c r="E13" s="53">
        <v>92</v>
      </c>
    </row>
    <row r="14" spans="1:5" x14ac:dyDescent="0.2">
      <c r="A14" s="42" t="s">
        <v>12</v>
      </c>
      <c r="B14" s="53">
        <v>0</v>
      </c>
      <c r="C14" s="53">
        <v>0</v>
      </c>
      <c r="D14" s="53">
        <v>1</v>
      </c>
      <c r="E14" s="53">
        <v>3</v>
      </c>
    </row>
    <row r="15" spans="1:5" x14ac:dyDescent="0.2">
      <c r="A15" s="42" t="s">
        <v>13</v>
      </c>
      <c r="B15" s="53">
        <v>1</v>
      </c>
      <c r="C15" s="53">
        <v>4</v>
      </c>
      <c r="D15" s="53">
        <v>44</v>
      </c>
      <c r="E15" s="53">
        <v>57</v>
      </c>
    </row>
    <row r="16" spans="1:5" x14ac:dyDescent="0.2">
      <c r="A16" s="42" t="s">
        <v>14</v>
      </c>
      <c r="B16" s="53">
        <v>6</v>
      </c>
      <c r="C16" s="53">
        <v>6</v>
      </c>
      <c r="D16" s="53">
        <v>107</v>
      </c>
      <c r="E16" s="53">
        <v>102</v>
      </c>
    </row>
    <row r="17" spans="1:5" x14ac:dyDescent="0.2">
      <c r="A17" s="42" t="s">
        <v>15</v>
      </c>
      <c r="B17" s="53">
        <v>28</v>
      </c>
      <c r="C17" s="53">
        <v>18</v>
      </c>
      <c r="D17" s="53">
        <v>675</v>
      </c>
      <c r="E17" s="53">
        <v>701</v>
      </c>
    </row>
    <row r="18" spans="1:5" x14ac:dyDescent="0.2">
      <c r="A18" s="42" t="s">
        <v>16</v>
      </c>
      <c r="B18" s="53">
        <v>2</v>
      </c>
      <c r="C18" s="53">
        <v>6</v>
      </c>
      <c r="D18" s="53">
        <v>11</v>
      </c>
      <c r="E18" s="53">
        <v>17</v>
      </c>
    </row>
    <row r="19" spans="1:5" x14ac:dyDescent="0.2">
      <c r="A19" s="42" t="s">
        <v>17</v>
      </c>
      <c r="B19" s="53">
        <v>0</v>
      </c>
      <c r="C19" s="53">
        <v>2</v>
      </c>
      <c r="D19" s="53">
        <v>32</v>
      </c>
      <c r="E19" s="53">
        <v>46</v>
      </c>
    </row>
    <row r="20" spans="1:5" x14ac:dyDescent="0.2">
      <c r="A20" s="42" t="s">
        <v>18</v>
      </c>
      <c r="B20" s="53">
        <v>0</v>
      </c>
      <c r="C20" s="53">
        <v>0</v>
      </c>
      <c r="D20" s="53">
        <v>24</v>
      </c>
      <c r="E20" s="53">
        <v>35</v>
      </c>
    </row>
    <row r="21" spans="1:5" x14ac:dyDescent="0.2">
      <c r="A21" s="42" t="s">
        <v>19</v>
      </c>
      <c r="B21" s="53">
        <v>1</v>
      </c>
      <c r="C21" s="53">
        <v>1</v>
      </c>
      <c r="D21" s="53">
        <v>24</v>
      </c>
      <c r="E21" s="53">
        <v>47</v>
      </c>
    </row>
    <row r="22" spans="1:5" x14ac:dyDescent="0.2">
      <c r="A22" s="42" t="s">
        <v>20</v>
      </c>
      <c r="B22" s="53">
        <v>0</v>
      </c>
      <c r="C22" s="53">
        <v>1</v>
      </c>
      <c r="D22" s="53">
        <v>39</v>
      </c>
      <c r="E22" s="53">
        <v>47</v>
      </c>
    </row>
    <row r="23" spans="1:5" x14ac:dyDescent="0.2">
      <c r="A23" s="42" t="s">
        <v>21</v>
      </c>
      <c r="B23" s="53">
        <v>32</v>
      </c>
      <c r="C23" s="53">
        <v>46</v>
      </c>
      <c r="D23" s="53">
        <v>337</v>
      </c>
      <c r="E23" s="53">
        <v>384</v>
      </c>
    </row>
    <row r="24" spans="1:5" x14ac:dyDescent="0.2">
      <c r="A24" s="42" t="s">
        <v>22</v>
      </c>
      <c r="B24" s="53">
        <v>48</v>
      </c>
      <c r="C24" s="53">
        <v>22</v>
      </c>
      <c r="D24" s="53">
        <v>710</v>
      </c>
      <c r="E24" s="53">
        <v>431</v>
      </c>
    </row>
    <row r="25" spans="1:5" x14ac:dyDescent="0.2">
      <c r="A25" s="42" t="s">
        <v>23</v>
      </c>
      <c r="B25" s="53">
        <v>55</v>
      </c>
      <c r="C25" s="53">
        <v>24</v>
      </c>
      <c r="D25" s="53">
        <v>554</v>
      </c>
      <c r="E25" s="53">
        <v>404</v>
      </c>
    </row>
    <row r="26" spans="1:5" x14ac:dyDescent="0.2">
      <c r="A26" s="42" t="s">
        <v>24</v>
      </c>
      <c r="B26" s="53">
        <v>0</v>
      </c>
      <c r="C26" s="53">
        <v>0</v>
      </c>
      <c r="D26" s="53">
        <v>5</v>
      </c>
      <c r="E26" s="53">
        <v>18</v>
      </c>
    </row>
    <row r="27" spans="1:5" x14ac:dyDescent="0.2">
      <c r="A27" s="42" t="s">
        <v>25</v>
      </c>
      <c r="B27" s="53">
        <v>8</v>
      </c>
      <c r="C27" s="53">
        <v>9</v>
      </c>
      <c r="D27" s="53">
        <v>184</v>
      </c>
      <c r="E27" s="53">
        <v>160</v>
      </c>
    </row>
    <row r="28" spans="1:5" x14ac:dyDescent="0.2">
      <c r="A28" s="42" t="s">
        <v>26</v>
      </c>
      <c r="B28" s="53">
        <v>4</v>
      </c>
      <c r="C28" s="53">
        <v>3</v>
      </c>
      <c r="D28" s="53">
        <v>66</v>
      </c>
      <c r="E28" s="53">
        <v>72</v>
      </c>
    </row>
    <row r="29" spans="1:5" x14ac:dyDescent="0.2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">
      <c r="A30" s="42" t="s">
        <v>28</v>
      </c>
      <c r="B30" s="53">
        <v>14</v>
      </c>
      <c r="C30" s="53">
        <v>19</v>
      </c>
      <c r="D30" s="53">
        <v>146</v>
      </c>
      <c r="E30" s="53">
        <v>248</v>
      </c>
    </row>
    <row r="31" spans="1:5" x14ac:dyDescent="0.2">
      <c r="A31" s="42" t="s">
        <v>29</v>
      </c>
      <c r="B31" s="53">
        <v>0</v>
      </c>
      <c r="C31" s="53">
        <v>2</v>
      </c>
      <c r="D31" s="53">
        <v>8</v>
      </c>
      <c r="E31" s="53">
        <v>10</v>
      </c>
    </row>
    <row r="32" spans="1:5" x14ac:dyDescent="0.2">
      <c r="A32" s="42" t="s">
        <v>30</v>
      </c>
      <c r="B32" s="53">
        <v>0</v>
      </c>
      <c r="C32" s="53">
        <v>0</v>
      </c>
      <c r="D32" s="53">
        <v>19</v>
      </c>
      <c r="E32" s="53">
        <v>19</v>
      </c>
    </row>
    <row r="33" spans="1:5" x14ac:dyDescent="0.2">
      <c r="A33" s="42" t="s">
        <v>31</v>
      </c>
      <c r="B33" s="53">
        <v>0</v>
      </c>
      <c r="C33" s="53">
        <v>1</v>
      </c>
      <c r="D33" s="53">
        <v>12</v>
      </c>
      <c r="E33" s="53">
        <v>13</v>
      </c>
    </row>
    <row r="34" spans="1:5" x14ac:dyDescent="0.2">
      <c r="A34" s="42" t="s">
        <v>32</v>
      </c>
      <c r="B34" s="53">
        <v>0</v>
      </c>
      <c r="C34" s="53">
        <v>2</v>
      </c>
      <c r="D34" s="53">
        <v>35</v>
      </c>
      <c r="E34" s="53">
        <v>37</v>
      </c>
    </row>
    <row r="35" spans="1:5" x14ac:dyDescent="0.2">
      <c r="A35" s="42" t="s">
        <v>33</v>
      </c>
      <c r="B35" s="53">
        <v>0</v>
      </c>
      <c r="C35" s="53">
        <v>0</v>
      </c>
      <c r="D35" s="53">
        <v>6</v>
      </c>
      <c r="E35" s="53">
        <v>12</v>
      </c>
    </row>
    <row r="36" spans="1:5" x14ac:dyDescent="0.2">
      <c r="A36" s="42" t="s">
        <v>34</v>
      </c>
      <c r="B36" s="53">
        <v>0</v>
      </c>
      <c r="C36" s="53">
        <v>0</v>
      </c>
      <c r="D36" s="53">
        <v>16</v>
      </c>
      <c r="E36" s="53">
        <v>10</v>
      </c>
    </row>
    <row r="37" spans="1:5" x14ac:dyDescent="0.2">
      <c r="A37" s="42" t="s">
        <v>35</v>
      </c>
      <c r="B37" s="53">
        <v>13</v>
      </c>
      <c r="C37" s="53">
        <v>9</v>
      </c>
      <c r="D37" s="53">
        <v>257</v>
      </c>
      <c r="E37" s="53">
        <v>214</v>
      </c>
    </row>
    <row r="38" spans="1:5" x14ac:dyDescent="0.2">
      <c r="A38" s="42" t="s">
        <v>36</v>
      </c>
      <c r="B38" s="53">
        <v>26</v>
      </c>
      <c r="C38" s="53">
        <v>36</v>
      </c>
      <c r="D38" s="53">
        <v>748</v>
      </c>
      <c r="E38" s="53">
        <v>859</v>
      </c>
    </row>
    <row r="39" spans="1:5" x14ac:dyDescent="0.2">
      <c r="A39" s="42" t="s">
        <v>37</v>
      </c>
      <c r="B39" s="53">
        <v>1</v>
      </c>
      <c r="C39" s="53">
        <v>1</v>
      </c>
      <c r="D39" s="53">
        <v>41</v>
      </c>
      <c r="E39" s="53">
        <v>47</v>
      </c>
    </row>
    <row r="40" spans="1:5" x14ac:dyDescent="0.2">
      <c r="A40" s="42" t="s">
        <v>38</v>
      </c>
      <c r="B40" s="53">
        <v>7</v>
      </c>
      <c r="C40" s="53">
        <v>3</v>
      </c>
      <c r="D40" s="53">
        <v>114</v>
      </c>
      <c r="E40" s="53">
        <v>128</v>
      </c>
    </row>
    <row r="41" spans="1:5" x14ac:dyDescent="0.2">
      <c r="A41" s="42" t="s">
        <v>39</v>
      </c>
      <c r="B41" s="53">
        <v>17</v>
      </c>
      <c r="C41" s="53">
        <v>12</v>
      </c>
      <c r="D41" s="53">
        <v>513</v>
      </c>
      <c r="E41" s="53">
        <v>354</v>
      </c>
    </row>
    <row r="42" spans="1:5" x14ac:dyDescent="0.2">
      <c r="A42" s="42" t="s">
        <v>40</v>
      </c>
      <c r="B42" s="53">
        <v>24</v>
      </c>
      <c r="C42" s="53">
        <v>13</v>
      </c>
      <c r="D42" s="53">
        <v>300</v>
      </c>
      <c r="E42" s="53">
        <v>244</v>
      </c>
    </row>
    <row r="43" spans="1:5" x14ac:dyDescent="0.2">
      <c r="A43" s="42" t="s">
        <v>41</v>
      </c>
      <c r="B43" s="53">
        <v>5</v>
      </c>
      <c r="C43" s="53">
        <v>4</v>
      </c>
      <c r="D43" s="53">
        <v>92</v>
      </c>
      <c r="E43" s="53">
        <v>122</v>
      </c>
    </row>
    <row r="44" spans="1:5" x14ac:dyDescent="0.2">
      <c r="A44" s="42" t="s">
        <v>42</v>
      </c>
      <c r="B44" s="53">
        <v>0</v>
      </c>
      <c r="C44" s="53">
        <v>0</v>
      </c>
      <c r="D44" s="53">
        <v>10</v>
      </c>
      <c r="E44" s="53">
        <v>11</v>
      </c>
    </row>
    <row r="45" spans="1:5" x14ac:dyDescent="0.2">
      <c r="A45" s="42" t="s">
        <v>43</v>
      </c>
      <c r="B45" s="53">
        <v>1</v>
      </c>
      <c r="C45" s="53">
        <v>2</v>
      </c>
      <c r="D45" s="53">
        <v>71</v>
      </c>
      <c r="E45" s="53">
        <v>70</v>
      </c>
    </row>
    <row r="46" spans="1:5" x14ac:dyDescent="0.2">
      <c r="A46" s="42" t="s">
        <v>44</v>
      </c>
      <c r="B46" s="53">
        <v>0</v>
      </c>
      <c r="C46" s="53">
        <v>0</v>
      </c>
      <c r="D46" s="53">
        <v>10</v>
      </c>
      <c r="E46" s="53">
        <v>24</v>
      </c>
    </row>
    <row r="47" spans="1:5" x14ac:dyDescent="0.2">
      <c r="A47" s="42" t="s">
        <v>45</v>
      </c>
      <c r="B47" s="53">
        <v>5</v>
      </c>
      <c r="C47" s="53">
        <v>5</v>
      </c>
      <c r="D47" s="53">
        <v>228</v>
      </c>
      <c r="E47" s="53">
        <v>163</v>
      </c>
    </row>
    <row r="48" spans="1:5" x14ac:dyDescent="0.2">
      <c r="A48" s="42" t="s">
        <v>46</v>
      </c>
      <c r="B48" s="53">
        <v>48</v>
      </c>
      <c r="C48" s="53">
        <v>34</v>
      </c>
      <c r="D48" s="53">
        <v>1251</v>
      </c>
      <c r="E48" s="53">
        <v>1060</v>
      </c>
    </row>
    <row r="49" spans="1:5" x14ac:dyDescent="0.2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">
      <c r="A50" s="42" t="s">
        <v>48</v>
      </c>
      <c r="B50" s="53">
        <v>26</v>
      </c>
      <c r="C50" s="53">
        <v>19</v>
      </c>
      <c r="D50" s="53">
        <v>491</v>
      </c>
      <c r="E50" s="53">
        <v>421</v>
      </c>
    </row>
    <row r="51" spans="1:5" x14ac:dyDescent="0.2">
      <c r="A51" s="42" t="s">
        <v>49</v>
      </c>
      <c r="B51" s="53">
        <v>2</v>
      </c>
      <c r="C51" s="53">
        <v>2</v>
      </c>
      <c r="D51" s="53">
        <v>48</v>
      </c>
      <c r="E51" s="53">
        <v>58</v>
      </c>
    </row>
    <row r="52" spans="1:5" x14ac:dyDescent="0.2">
      <c r="A52" s="42" t="s">
        <v>50</v>
      </c>
      <c r="B52" s="53">
        <v>2</v>
      </c>
      <c r="C52" s="53">
        <v>3</v>
      </c>
      <c r="D52" s="53">
        <v>38</v>
      </c>
      <c r="E52" s="53">
        <v>65</v>
      </c>
    </row>
    <row r="53" spans="1:5" x14ac:dyDescent="0.2">
      <c r="A53" s="42" t="s">
        <v>51</v>
      </c>
      <c r="B53" s="53">
        <v>483</v>
      </c>
      <c r="C53" s="53">
        <v>82</v>
      </c>
      <c r="D53" s="53">
        <v>3003</v>
      </c>
      <c r="E53" s="53">
        <v>834</v>
      </c>
    </row>
    <row r="54" spans="1:5" x14ac:dyDescent="0.2">
      <c r="A54" s="42" t="s">
        <v>52</v>
      </c>
      <c r="B54" s="53">
        <v>0</v>
      </c>
      <c r="C54" s="53">
        <v>4</v>
      </c>
      <c r="D54" s="53">
        <v>61</v>
      </c>
      <c r="E54" s="53">
        <v>75</v>
      </c>
    </row>
    <row r="55" spans="1:5" x14ac:dyDescent="0.2">
      <c r="A55" s="42" t="s">
        <v>53</v>
      </c>
      <c r="B55" s="53">
        <v>0</v>
      </c>
      <c r="C55" s="53">
        <v>0</v>
      </c>
      <c r="D55" s="53">
        <v>7</v>
      </c>
      <c r="E55" s="53">
        <v>12</v>
      </c>
    </row>
    <row r="56" spans="1:5" x14ac:dyDescent="0.2">
      <c r="A56" s="42" t="s">
        <v>54</v>
      </c>
      <c r="B56" s="53">
        <v>1</v>
      </c>
      <c r="C56" s="53">
        <v>3</v>
      </c>
      <c r="D56" s="53">
        <v>102</v>
      </c>
      <c r="E56" s="53">
        <v>122</v>
      </c>
    </row>
    <row r="57" spans="1:5" x14ac:dyDescent="0.2">
      <c r="A57" s="42" t="s">
        <v>55</v>
      </c>
      <c r="B57" s="53">
        <v>1</v>
      </c>
      <c r="C57" s="53">
        <v>1</v>
      </c>
      <c r="D57" s="53">
        <v>6</v>
      </c>
      <c r="E57" s="53">
        <v>7</v>
      </c>
    </row>
    <row r="58" spans="1:5" x14ac:dyDescent="0.2">
      <c r="A58" s="42" t="s">
        <v>56</v>
      </c>
      <c r="B58" s="53">
        <v>0</v>
      </c>
      <c r="C58" s="53">
        <v>2</v>
      </c>
      <c r="D58" s="53">
        <v>49</v>
      </c>
      <c r="E58" s="53">
        <v>61</v>
      </c>
    </row>
    <row r="59" spans="1:5" x14ac:dyDescent="0.2">
      <c r="A59" s="42" t="s">
        <v>57</v>
      </c>
      <c r="B59" s="53">
        <v>0</v>
      </c>
      <c r="C59" s="53">
        <v>0</v>
      </c>
      <c r="D59" s="53">
        <v>1</v>
      </c>
      <c r="E59" s="53">
        <v>7</v>
      </c>
    </row>
    <row r="60" spans="1:5" x14ac:dyDescent="0.2">
      <c r="A60" s="42" t="s">
        <v>58</v>
      </c>
      <c r="B60" s="53">
        <v>1</v>
      </c>
      <c r="C60" s="53">
        <v>0</v>
      </c>
      <c r="D60" s="53">
        <v>24</v>
      </c>
      <c r="E60" s="53">
        <v>29</v>
      </c>
    </row>
    <row r="61" spans="1:5" x14ac:dyDescent="0.2">
      <c r="A61" s="42" t="s">
        <v>59</v>
      </c>
      <c r="B61" s="53">
        <v>0</v>
      </c>
      <c r="C61" s="53">
        <v>1</v>
      </c>
      <c r="D61" s="53">
        <v>20</v>
      </c>
      <c r="E61" s="53">
        <v>37</v>
      </c>
    </row>
    <row r="62" spans="1:5" x14ac:dyDescent="0.2">
      <c r="A62" s="42" t="s">
        <v>60</v>
      </c>
      <c r="B62" s="53">
        <v>0</v>
      </c>
      <c r="C62" s="53">
        <v>0</v>
      </c>
      <c r="D62" s="53">
        <v>10</v>
      </c>
      <c r="E62" s="53">
        <v>28</v>
      </c>
    </row>
    <row r="63" spans="1:5" x14ac:dyDescent="0.2">
      <c r="A63" s="42" t="s">
        <v>61</v>
      </c>
      <c r="B63" s="53">
        <v>0</v>
      </c>
      <c r="C63" s="53">
        <v>4</v>
      </c>
      <c r="D63" s="53">
        <v>31</v>
      </c>
      <c r="E63" s="53">
        <v>46</v>
      </c>
    </row>
    <row r="64" spans="1:5" x14ac:dyDescent="0.2">
      <c r="A64" s="42" t="s">
        <v>62</v>
      </c>
      <c r="B64" s="53">
        <v>0</v>
      </c>
      <c r="C64" s="53">
        <v>4</v>
      </c>
      <c r="D64" s="53">
        <v>20</v>
      </c>
      <c r="E64" s="53">
        <v>32</v>
      </c>
    </row>
    <row r="65" spans="1:5" x14ac:dyDescent="0.2">
      <c r="A65" s="42" t="s">
        <v>63</v>
      </c>
      <c r="B65" s="53">
        <v>5</v>
      </c>
      <c r="C65" s="53">
        <v>6</v>
      </c>
      <c r="D65" s="53">
        <v>129</v>
      </c>
      <c r="E65" s="53">
        <v>152</v>
      </c>
    </row>
    <row r="66" spans="1:5" x14ac:dyDescent="0.2">
      <c r="A66" s="42" t="s">
        <v>64</v>
      </c>
      <c r="B66" s="53">
        <v>1</v>
      </c>
      <c r="C66" s="53">
        <v>1</v>
      </c>
      <c r="D66" s="53">
        <v>35</v>
      </c>
      <c r="E66" s="53">
        <v>34</v>
      </c>
    </row>
    <row r="67" spans="1:5" x14ac:dyDescent="0.2">
      <c r="A67" s="42" t="s">
        <v>65</v>
      </c>
      <c r="B67" s="53">
        <v>15</v>
      </c>
      <c r="C67" s="53">
        <v>9</v>
      </c>
      <c r="D67" s="53">
        <v>219</v>
      </c>
      <c r="E67" s="53">
        <v>244</v>
      </c>
    </row>
    <row r="68" spans="1:5" x14ac:dyDescent="0.2">
      <c r="A68" s="42" t="s">
        <v>66</v>
      </c>
      <c r="B68" s="53">
        <v>1</v>
      </c>
      <c r="C68" s="53">
        <v>2</v>
      </c>
      <c r="D68" s="53">
        <v>25</v>
      </c>
      <c r="E68" s="53">
        <v>37</v>
      </c>
    </row>
    <row r="69" spans="1:5" x14ac:dyDescent="0.2">
      <c r="A69" s="42" t="s">
        <v>67</v>
      </c>
      <c r="B69" s="53">
        <v>29</v>
      </c>
      <c r="C69" s="53">
        <v>28</v>
      </c>
      <c r="D69" s="53">
        <v>650</v>
      </c>
      <c r="E69" s="53">
        <v>700</v>
      </c>
    </row>
    <row r="70" spans="1:5" x14ac:dyDescent="0.2">
      <c r="A70" s="39" t="s">
        <v>68</v>
      </c>
      <c r="B70" s="43">
        <f>SUM(B3:B69)</f>
        <v>1145</v>
      </c>
      <c r="C70" s="43">
        <f>SUM(C3:C69)</f>
        <v>580</v>
      </c>
      <c r="D70" s="43">
        <f t="shared" ref="D70:E70" si="0">SUM(D3:D69)</f>
        <v>14936</v>
      </c>
      <c r="E70" s="43">
        <f t="shared" si="0"/>
        <v>12353</v>
      </c>
    </row>
    <row r="71" spans="1:5" x14ac:dyDescent="0.2">
      <c r="D71" s="91"/>
      <c r="E71" s="91"/>
    </row>
    <row r="72" spans="1:5" x14ac:dyDescent="0.2">
      <c r="B72" s="29"/>
      <c r="C72" s="29"/>
      <c r="D72" s="29"/>
      <c r="E72" s="29"/>
    </row>
    <row r="73" spans="1:5" x14ac:dyDescent="0.2">
      <c r="D73" s="91"/>
      <c r="E73" s="91"/>
    </row>
    <row r="74" spans="1:5" x14ac:dyDescent="0.2">
      <c r="D74" s="91"/>
      <c r="E74" s="91"/>
    </row>
    <row r="75" spans="1:5" x14ac:dyDescent="0.2">
      <c r="B75" s="29"/>
      <c r="D75" s="91"/>
      <c r="E75" s="91"/>
    </row>
    <row r="76" spans="1:5" x14ac:dyDescent="0.2">
      <c r="B76" s="29"/>
      <c r="D76" s="91"/>
      <c r="E76" s="91"/>
    </row>
    <row r="77" spans="1:5" x14ac:dyDescent="0.2">
      <c r="B77" s="29"/>
      <c r="D77" s="91"/>
      <c r="E77" s="91"/>
    </row>
    <row r="78" spans="1:5" x14ac:dyDescent="0.2">
      <c r="B78" s="29"/>
      <c r="D78" s="91"/>
      <c r="E78" s="91"/>
    </row>
    <row r="79" spans="1:5" x14ac:dyDescent="0.2">
      <c r="D79" s="91"/>
      <c r="E79" s="91"/>
    </row>
    <row r="80" spans="1:5" x14ac:dyDescent="0.2">
      <c r="D80" s="91"/>
      <c r="E80" s="91"/>
    </row>
    <row r="81" spans="4:5" x14ac:dyDescent="0.2">
      <c r="D81" s="91"/>
      <c r="E81" s="91"/>
    </row>
    <row r="82" spans="4:5" x14ac:dyDescent="0.2">
      <c r="D82" s="91"/>
      <c r="E82" s="91"/>
    </row>
    <row r="83" spans="4:5" x14ac:dyDescent="0.2">
      <c r="D83" s="91"/>
      <c r="E83" s="91"/>
    </row>
    <row r="84" spans="4:5" x14ac:dyDescent="0.2">
      <c r="D84" s="91"/>
      <c r="E84" s="91"/>
    </row>
    <row r="85" spans="4:5" x14ac:dyDescent="0.2">
      <c r="D85" s="91"/>
      <c r="E85" s="91"/>
    </row>
    <row r="86" spans="4:5" x14ac:dyDescent="0.2">
      <c r="D86" s="91"/>
      <c r="E86" s="91"/>
    </row>
    <row r="87" spans="4:5" x14ac:dyDescent="0.2">
      <c r="D87" s="91"/>
      <c r="E87" s="91"/>
    </row>
    <row r="88" spans="4:5" x14ac:dyDescent="0.2">
      <c r="D88" s="91"/>
      <c r="E88" s="91"/>
    </row>
    <row r="89" spans="4:5" x14ac:dyDescent="0.2">
      <c r="D89" s="91"/>
      <c r="E89" s="91"/>
    </row>
    <row r="90" spans="4:5" x14ac:dyDescent="0.2">
      <c r="D90" s="91"/>
      <c r="E90" s="91"/>
    </row>
    <row r="91" spans="4:5" x14ac:dyDescent="0.2">
      <c r="D91" s="91"/>
      <c r="E91" s="91"/>
    </row>
    <row r="92" spans="4:5" x14ac:dyDescent="0.2">
      <c r="D92" s="91"/>
      <c r="E92" s="91"/>
    </row>
    <row r="93" spans="4:5" x14ac:dyDescent="0.2">
      <c r="D93" s="91"/>
      <c r="E93" s="91"/>
    </row>
    <row r="94" spans="4:5" x14ac:dyDescent="0.2">
      <c r="D94" s="91"/>
      <c r="E94" s="91"/>
    </row>
    <row r="95" spans="4:5" x14ac:dyDescent="0.2">
      <c r="D95" s="91"/>
      <c r="E95" s="91"/>
    </row>
    <row r="96" spans="4:5" x14ac:dyDescent="0.2">
      <c r="D96" s="91"/>
      <c r="E96" s="91"/>
    </row>
    <row r="97" spans="4:5" x14ac:dyDescent="0.2">
      <c r="D97" s="91"/>
      <c r="E97" s="91"/>
    </row>
    <row r="98" spans="4:5" x14ac:dyDescent="0.2">
      <c r="D98" s="91"/>
      <c r="E98" s="91"/>
    </row>
    <row r="99" spans="4:5" x14ac:dyDescent="0.2">
      <c r="D99" s="91"/>
      <c r="E99" s="91"/>
    </row>
    <row r="100" spans="4:5" x14ac:dyDescent="0.2">
      <c r="D100" s="91"/>
      <c r="E100" s="91"/>
    </row>
    <row r="101" spans="4:5" x14ac:dyDescent="0.2">
      <c r="D101" s="91"/>
      <c r="E101" s="91"/>
    </row>
    <row r="102" spans="4:5" x14ac:dyDescent="0.2">
      <c r="D102" s="91"/>
      <c r="E102" s="91"/>
    </row>
    <row r="103" spans="4:5" x14ac:dyDescent="0.2">
      <c r="D103" s="91"/>
      <c r="E103" s="91"/>
    </row>
    <row r="104" spans="4:5" x14ac:dyDescent="0.2">
      <c r="D104" s="91"/>
      <c r="E104" s="91"/>
    </row>
    <row r="105" spans="4:5" x14ac:dyDescent="0.2">
      <c r="D105" s="91"/>
      <c r="E105" s="91"/>
    </row>
    <row r="106" spans="4:5" x14ac:dyDescent="0.2">
      <c r="D106" s="91"/>
      <c r="E106" s="91"/>
    </row>
    <row r="107" spans="4:5" x14ac:dyDescent="0.2">
      <c r="D107" s="91"/>
      <c r="E107" s="91"/>
    </row>
    <row r="108" spans="4:5" x14ac:dyDescent="0.2">
      <c r="D108" s="91"/>
      <c r="E108" s="91"/>
    </row>
    <row r="109" spans="4:5" x14ac:dyDescent="0.2">
      <c r="D109" s="91"/>
      <c r="E109" s="91"/>
    </row>
    <row r="110" spans="4:5" x14ac:dyDescent="0.2">
      <c r="D110" s="91"/>
      <c r="E110" s="91"/>
    </row>
    <row r="111" spans="4:5" x14ac:dyDescent="0.2">
      <c r="D111" s="91"/>
      <c r="E111" s="91"/>
    </row>
    <row r="112" spans="4:5" x14ac:dyDescent="0.2">
      <c r="D112" s="91"/>
      <c r="E112" s="91"/>
    </row>
    <row r="113" spans="4:5" x14ac:dyDescent="0.2">
      <c r="D113" s="91"/>
      <c r="E113" s="91"/>
    </row>
    <row r="114" spans="4:5" x14ac:dyDescent="0.2">
      <c r="D114" s="91"/>
      <c r="E114" s="91"/>
    </row>
    <row r="115" spans="4:5" x14ac:dyDescent="0.2">
      <c r="D115" s="91"/>
      <c r="E115" s="91"/>
    </row>
    <row r="116" spans="4:5" x14ac:dyDescent="0.2">
      <c r="D116" s="91"/>
      <c r="E116" s="91"/>
    </row>
    <row r="117" spans="4:5" x14ac:dyDescent="0.2">
      <c r="D117" s="91"/>
      <c r="E117" s="91"/>
    </row>
    <row r="118" spans="4:5" x14ac:dyDescent="0.2">
      <c r="D118" s="91"/>
      <c r="E118" s="91"/>
    </row>
    <row r="119" spans="4:5" x14ac:dyDescent="0.2">
      <c r="D119" s="91"/>
      <c r="E119" s="91"/>
    </row>
    <row r="120" spans="4:5" x14ac:dyDescent="0.2">
      <c r="D120" s="91"/>
      <c r="E120" s="91"/>
    </row>
    <row r="121" spans="4:5" x14ac:dyDescent="0.2">
      <c r="D121" s="91"/>
      <c r="E121" s="91"/>
    </row>
    <row r="122" spans="4:5" x14ac:dyDescent="0.2">
      <c r="D122" s="91"/>
      <c r="E122" s="91"/>
    </row>
    <row r="123" spans="4:5" x14ac:dyDescent="0.2">
      <c r="D123" s="91"/>
      <c r="E123" s="91"/>
    </row>
    <row r="124" spans="4:5" x14ac:dyDescent="0.2">
      <c r="D124" s="91"/>
      <c r="E124" s="91"/>
    </row>
    <row r="125" spans="4:5" x14ac:dyDescent="0.2">
      <c r="D125" s="91"/>
      <c r="E125" s="91"/>
    </row>
    <row r="126" spans="4:5" x14ac:dyDescent="0.2">
      <c r="D126" s="91"/>
      <c r="E126" s="91"/>
    </row>
    <row r="127" spans="4:5" x14ac:dyDescent="0.2">
      <c r="D127" s="91"/>
      <c r="E127" s="91"/>
    </row>
    <row r="128" spans="4:5" x14ac:dyDescent="0.2">
      <c r="D128" s="91"/>
      <c r="E128" s="91"/>
    </row>
    <row r="129" spans="4:5" x14ac:dyDescent="0.2">
      <c r="D129" s="91"/>
      <c r="E129" s="91"/>
    </row>
    <row r="130" spans="4:5" x14ac:dyDescent="0.2">
      <c r="D130" s="91"/>
      <c r="E130" s="91"/>
    </row>
    <row r="131" spans="4:5" x14ac:dyDescent="0.2">
      <c r="D131" s="91"/>
      <c r="E131" s="91"/>
    </row>
    <row r="132" spans="4:5" x14ac:dyDescent="0.2">
      <c r="D132" s="91"/>
      <c r="E132" s="91"/>
    </row>
    <row r="133" spans="4:5" x14ac:dyDescent="0.2">
      <c r="D133" s="91"/>
      <c r="E133" s="91"/>
    </row>
    <row r="134" spans="4:5" x14ac:dyDescent="0.2">
      <c r="D134" s="91"/>
      <c r="E134" s="91"/>
    </row>
    <row r="135" spans="4:5" x14ac:dyDescent="0.2">
      <c r="D135" s="91"/>
      <c r="E135" s="91"/>
    </row>
    <row r="136" spans="4:5" x14ac:dyDescent="0.2">
      <c r="D136" s="91"/>
      <c r="E136" s="91"/>
    </row>
    <row r="137" spans="4:5" x14ac:dyDescent="0.2">
      <c r="D137" s="96"/>
      <c r="E137" s="96"/>
    </row>
    <row r="138" spans="4:5" ht="15" x14ac:dyDescent="0.2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40625" defaultRowHeight="12.75" x14ac:dyDescent="0.2"/>
  <cols>
    <col min="1" max="1" width="19.140625" style="11" bestFit="1" customWidth="1"/>
    <col min="2" max="3" width="19.42578125" style="31" customWidth="1"/>
    <col min="4" max="5" width="19.140625" style="29" customWidth="1"/>
    <col min="6" max="6" width="18.140625" style="29" customWidth="1"/>
    <col min="7" max="7" width="17.710937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703125" style="30" customWidth="1"/>
    <col min="27" max="27" width="18" style="22" customWidth="1"/>
    <col min="28" max="28" width="21.28515625" style="29" customWidth="1"/>
    <col min="29" max="29" width="18" style="29" bestFit="1" customWidth="1"/>
    <col min="30" max="31" width="18.5703125" style="29" bestFit="1" customWidth="1"/>
    <col min="32" max="32" width="17.85546875" style="29" bestFit="1" customWidth="1"/>
    <col min="33" max="33" width="21" style="29" customWidth="1"/>
    <col min="34" max="34" width="27.28515625" style="29" customWidth="1"/>
    <col min="35" max="16384" width="9.140625" style="29"/>
  </cols>
  <sheetData>
    <row r="1" spans="1:34" x14ac:dyDescent="0.2">
      <c r="A1" s="47"/>
      <c r="B1" s="85" t="s">
        <v>97</v>
      </c>
      <c r="C1" s="85"/>
      <c r="D1" s="83" t="s">
        <v>98</v>
      </c>
      <c r="E1" s="83"/>
      <c r="F1" s="51" t="s">
        <v>96</v>
      </c>
      <c r="G1" s="85" t="s">
        <v>100</v>
      </c>
      <c r="H1" s="85"/>
      <c r="I1" s="85"/>
      <c r="J1" s="83" t="s">
        <v>101</v>
      </c>
      <c r="K1" s="83"/>
      <c r="L1" s="85" t="s">
        <v>105</v>
      </c>
      <c r="M1" s="85"/>
      <c r="N1" s="83" t="s">
        <v>106</v>
      </c>
      <c r="O1" s="83"/>
      <c r="P1" s="85" t="s">
        <v>107</v>
      </c>
      <c r="Q1" s="85"/>
      <c r="R1" s="85" t="s">
        <v>110</v>
      </c>
      <c r="S1" s="85"/>
      <c r="T1" s="85" t="s">
        <v>112</v>
      </c>
      <c r="U1" s="85"/>
      <c r="V1" s="85" t="s">
        <v>113</v>
      </c>
      <c r="W1" s="85"/>
      <c r="X1" s="89" t="s">
        <v>117</v>
      </c>
      <c r="Y1" s="89"/>
      <c r="Z1" s="94" t="s">
        <v>119</v>
      </c>
      <c r="AA1" s="95"/>
      <c r="AB1" s="94" t="s">
        <v>124</v>
      </c>
      <c r="AC1" s="95"/>
      <c r="AD1" s="94" t="s">
        <v>125</v>
      </c>
      <c r="AE1" s="95"/>
      <c r="AF1" s="83" t="s">
        <v>128</v>
      </c>
      <c r="AG1" s="83"/>
      <c r="AH1" s="83"/>
    </row>
    <row r="2" spans="1:34" x14ac:dyDescent="0.2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">
      <c r="Z71" s="91"/>
      <c r="AA71" s="91"/>
    </row>
    <row r="72" spans="1:34" x14ac:dyDescent="0.2">
      <c r="Z72" s="29"/>
      <c r="AA72" s="29"/>
    </row>
    <row r="73" spans="1:34" x14ac:dyDescent="0.2">
      <c r="Z73" s="91"/>
      <c r="AA73" s="91"/>
    </row>
    <row r="74" spans="1:34" x14ac:dyDescent="0.2">
      <c r="Z74" s="91"/>
      <c r="AA74" s="91"/>
    </row>
    <row r="75" spans="1:34" x14ac:dyDescent="0.2">
      <c r="Z75" s="91"/>
      <c r="AA75" s="91"/>
    </row>
    <row r="76" spans="1:34" x14ac:dyDescent="0.2">
      <c r="Z76" s="91"/>
      <c r="AA76" s="91"/>
    </row>
    <row r="77" spans="1:34" x14ac:dyDescent="0.2">
      <c r="Z77" s="91"/>
      <c r="AA77" s="91"/>
    </row>
    <row r="78" spans="1:34" x14ac:dyDescent="0.2">
      <c r="Z78" s="91"/>
      <c r="AA78" s="91"/>
    </row>
    <row r="79" spans="1:34" x14ac:dyDescent="0.2">
      <c r="Z79" s="91"/>
      <c r="AA79" s="91"/>
    </row>
    <row r="80" spans="1:34" x14ac:dyDescent="0.2">
      <c r="Z80" s="91"/>
      <c r="AA80" s="91"/>
    </row>
    <row r="81" spans="26:27" x14ac:dyDescent="0.2">
      <c r="Z81" s="91"/>
      <c r="AA81" s="91"/>
    </row>
    <row r="82" spans="26:27" x14ac:dyDescent="0.2">
      <c r="Z82" s="91"/>
      <c r="AA82" s="91"/>
    </row>
    <row r="83" spans="26:27" x14ac:dyDescent="0.2">
      <c r="Z83" s="91"/>
      <c r="AA83" s="91"/>
    </row>
    <row r="84" spans="26:27" x14ac:dyDescent="0.2">
      <c r="Z84" s="91"/>
      <c r="AA84" s="91"/>
    </row>
    <row r="85" spans="26:27" x14ac:dyDescent="0.2">
      <c r="Z85" s="91"/>
      <c r="AA85" s="91"/>
    </row>
    <row r="86" spans="26:27" x14ac:dyDescent="0.2">
      <c r="Z86" s="91"/>
      <c r="AA86" s="91"/>
    </row>
    <row r="87" spans="26:27" x14ac:dyDescent="0.2">
      <c r="Z87" s="91"/>
      <c r="AA87" s="91"/>
    </row>
    <row r="88" spans="26:27" x14ac:dyDescent="0.2">
      <c r="Z88" s="91"/>
      <c r="AA88" s="91"/>
    </row>
    <row r="89" spans="26:27" x14ac:dyDescent="0.2">
      <c r="Z89" s="91"/>
      <c r="AA89" s="91"/>
    </row>
    <row r="90" spans="26:27" x14ac:dyDescent="0.2">
      <c r="Z90" s="91"/>
      <c r="AA90" s="91"/>
    </row>
    <row r="91" spans="26:27" x14ac:dyDescent="0.2">
      <c r="Z91" s="91"/>
      <c r="AA91" s="91"/>
    </row>
    <row r="92" spans="26:27" x14ac:dyDescent="0.2">
      <c r="Z92" s="91"/>
      <c r="AA92" s="91"/>
    </row>
    <row r="93" spans="26:27" x14ac:dyDescent="0.2">
      <c r="Z93" s="91"/>
      <c r="AA93" s="91"/>
    </row>
    <row r="94" spans="26:27" x14ac:dyDescent="0.2">
      <c r="Z94" s="91"/>
      <c r="AA94" s="91"/>
    </row>
    <row r="95" spans="26:27" x14ac:dyDescent="0.2">
      <c r="Z95" s="91"/>
      <c r="AA95" s="91"/>
    </row>
    <row r="96" spans="26:27" x14ac:dyDescent="0.2">
      <c r="Z96" s="91"/>
      <c r="AA96" s="91"/>
    </row>
    <row r="97" spans="26:27" x14ac:dyDescent="0.2">
      <c r="Z97" s="91"/>
      <c r="AA97" s="91"/>
    </row>
    <row r="98" spans="26:27" x14ac:dyDescent="0.2">
      <c r="Z98" s="91"/>
      <c r="AA98" s="91"/>
    </row>
    <row r="99" spans="26:27" x14ac:dyDescent="0.2">
      <c r="Z99" s="91"/>
      <c r="AA99" s="91"/>
    </row>
    <row r="100" spans="26:27" x14ac:dyDescent="0.2">
      <c r="Z100" s="91"/>
      <c r="AA100" s="91"/>
    </row>
    <row r="101" spans="26:27" x14ac:dyDescent="0.2">
      <c r="Z101" s="91"/>
      <c r="AA101" s="91"/>
    </row>
    <row r="102" spans="26:27" x14ac:dyDescent="0.2">
      <c r="Z102" s="91"/>
      <c r="AA102" s="91"/>
    </row>
    <row r="103" spans="26:27" x14ac:dyDescent="0.2">
      <c r="Z103" s="91"/>
      <c r="AA103" s="91"/>
    </row>
    <row r="104" spans="26:27" x14ac:dyDescent="0.2">
      <c r="Z104" s="91"/>
      <c r="AA104" s="91"/>
    </row>
    <row r="105" spans="26:27" x14ac:dyDescent="0.2">
      <c r="Z105" s="91"/>
      <c r="AA105" s="91"/>
    </row>
    <row r="106" spans="26:27" x14ac:dyDescent="0.2">
      <c r="Z106" s="91"/>
      <c r="AA106" s="91"/>
    </row>
    <row r="107" spans="26:27" x14ac:dyDescent="0.2">
      <c r="Z107" s="91"/>
      <c r="AA107" s="91"/>
    </row>
    <row r="108" spans="26:27" x14ac:dyDescent="0.2">
      <c r="Z108" s="91"/>
      <c r="AA108" s="91"/>
    </row>
    <row r="109" spans="26:27" x14ac:dyDescent="0.2">
      <c r="Z109" s="91"/>
      <c r="AA109" s="91"/>
    </row>
    <row r="110" spans="26:27" x14ac:dyDescent="0.2">
      <c r="Z110" s="91"/>
      <c r="AA110" s="91"/>
    </row>
    <row r="111" spans="26:27" x14ac:dyDescent="0.2">
      <c r="Z111" s="91"/>
      <c r="AA111" s="91"/>
    </row>
    <row r="112" spans="26:27" x14ac:dyDescent="0.2">
      <c r="Z112" s="91"/>
      <c r="AA112" s="91"/>
    </row>
    <row r="113" spans="26:27" x14ac:dyDescent="0.2">
      <c r="Z113" s="91"/>
      <c r="AA113" s="91"/>
    </row>
    <row r="114" spans="26:27" x14ac:dyDescent="0.2">
      <c r="Z114" s="91"/>
      <c r="AA114" s="91"/>
    </row>
    <row r="115" spans="26:27" x14ac:dyDescent="0.2">
      <c r="Z115" s="91"/>
      <c r="AA115" s="91"/>
    </row>
    <row r="116" spans="26:27" x14ac:dyDescent="0.2">
      <c r="Z116" s="91"/>
      <c r="AA116" s="91"/>
    </row>
    <row r="117" spans="26:27" x14ac:dyDescent="0.2">
      <c r="Z117" s="91"/>
      <c r="AA117" s="91"/>
    </row>
    <row r="118" spans="26:27" x14ac:dyDescent="0.2">
      <c r="Z118" s="91"/>
      <c r="AA118" s="91"/>
    </row>
    <row r="119" spans="26:27" x14ac:dyDescent="0.2">
      <c r="Z119" s="91"/>
      <c r="AA119" s="91"/>
    </row>
    <row r="120" spans="26:27" x14ac:dyDescent="0.2">
      <c r="Z120" s="91"/>
      <c r="AA120" s="91"/>
    </row>
    <row r="121" spans="26:27" x14ac:dyDescent="0.2">
      <c r="Z121" s="91"/>
      <c r="AA121" s="91"/>
    </row>
    <row r="122" spans="26:27" x14ac:dyDescent="0.2">
      <c r="Z122" s="91"/>
      <c r="AA122" s="91"/>
    </row>
    <row r="123" spans="26:27" x14ac:dyDescent="0.2">
      <c r="Z123" s="91"/>
      <c r="AA123" s="91"/>
    </row>
    <row r="124" spans="26:27" x14ac:dyDescent="0.2">
      <c r="Z124" s="91"/>
      <c r="AA124" s="91"/>
    </row>
    <row r="125" spans="26:27" x14ac:dyDescent="0.2">
      <c r="Z125" s="91"/>
      <c r="AA125" s="91"/>
    </row>
    <row r="126" spans="26:27" x14ac:dyDescent="0.2">
      <c r="Z126" s="91"/>
      <c r="AA126" s="91"/>
    </row>
    <row r="127" spans="26:27" x14ac:dyDescent="0.2">
      <c r="Z127" s="91"/>
      <c r="AA127" s="91"/>
    </row>
    <row r="128" spans="26:27" x14ac:dyDescent="0.2">
      <c r="Z128" s="91"/>
      <c r="AA128" s="91"/>
    </row>
    <row r="129" spans="26:27" x14ac:dyDescent="0.2">
      <c r="Z129" s="91"/>
      <c r="AA129" s="91"/>
    </row>
    <row r="130" spans="26:27" x14ac:dyDescent="0.2">
      <c r="Z130" s="91"/>
      <c r="AA130" s="91"/>
    </row>
    <row r="131" spans="26:27" x14ac:dyDescent="0.2">
      <c r="Z131" s="91"/>
      <c r="AA131" s="91"/>
    </row>
    <row r="132" spans="26:27" x14ac:dyDescent="0.2">
      <c r="Z132" s="91"/>
      <c r="AA132" s="91"/>
    </row>
    <row r="133" spans="26:27" x14ac:dyDescent="0.2">
      <c r="Z133" s="91"/>
      <c r="AA133" s="91"/>
    </row>
    <row r="134" spans="26:27" x14ac:dyDescent="0.2">
      <c r="Z134" s="91"/>
      <c r="AA134" s="91"/>
    </row>
    <row r="135" spans="26:27" x14ac:dyDescent="0.2">
      <c r="Z135" s="91"/>
      <c r="AA135" s="91"/>
    </row>
    <row r="136" spans="26:27" x14ac:dyDescent="0.2">
      <c r="Z136" s="91"/>
      <c r="AA136" s="91"/>
    </row>
    <row r="137" spans="26:27" x14ac:dyDescent="0.2">
      <c r="Z137" s="96"/>
      <c r="AA137" s="96"/>
    </row>
    <row r="138" spans="26:27" ht="15" x14ac:dyDescent="0.2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1" sqref="I11"/>
    </sheetView>
  </sheetViews>
  <sheetFormatPr defaultColWidth="9.140625" defaultRowHeight="12.75" x14ac:dyDescent="0.2"/>
  <cols>
    <col min="1" max="1" width="19.140625" style="11" bestFit="1" customWidth="1"/>
    <col min="2" max="7" width="12.7109375" style="10" customWidth="1"/>
    <col min="8" max="8" width="9.85546875" style="11" bestFit="1" customWidth="1"/>
    <col min="9" max="9" width="16.7109375" style="11" customWidth="1"/>
    <col min="10" max="11" width="9.140625" style="11"/>
    <col min="12" max="17" width="9.5703125" style="11" bestFit="1" customWidth="1"/>
    <col min="18" max="16384" width="9.140625" style="11"/>
  </cols>
  <sheetData>
    <row r="1" spans="1:8" x14ac:dyDescent="0.2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">
      <c r="A2" s="11" t="s">
        <v>1</v>
      </c>
      <c r="B2" s="11">
        <v>6354</v>
      </c>
      <c r="C2" s="11">
        <v>10651</v>
      </c>
      <c r="D2" s="11">
        <v>10845</v>
      </c>
      <c r="E2" s="11">
        <v>10036</v>
      </c>
      <c r="F2" s="11">
        <v>13701</v>
      </c>
      <c r="G2" s="11">
        <v>13997</v>
      </c>
      <c r="H2" s="11">
        <v>10917</v>
      </c>
    </row>
    <row r="3" spans="1:8" x14ac:dyDescent="0.2">
      <c r="A3" s="11" t="s">
        <v>2</v>
      </c>
      <c r="B3" s="11">
        <v>79860</v>
      </c>
      <c r="C3" s="11">
        <v>171859</v>
      </c>
      <c r="D3" s="11">
        <v>161541</v>
      </c>
      <c r="E3" s="11">
        <v>122982</v>
      </c>
      <c r="F3" s="11">
        <v>132054</v>
      </c>
      <c r="G3" s="11">
        <v>139456</v>
      </c>
      <c r="H3" s="11">
        <v>108307</v>
      </c>
    </row>
    <row r="4" spans="1:8" x14ac:dyDescent="0.2">
      <c r="A4" s="11" t="s">
        <v>3</v>
      </c>
      <c r="B4" s="11">
        <v>3143</v>
      </c>
      <c r="C4" s="11">
        <v>5600</v>
      </c>
      <c r="D4" s="11">
        <v>6152</v>
      </c>
      <c r="E4" s="11">
        <v>6394</v>
      </c>
      <c r="F4" s="11">
        <v>7743</v>
      </c>
      <c r="G4" s="11">
        <v>8203</v>
      </c>
      <c r="H4" s="11">
        <v>6320</v>
      </c>
    </row>
    <row r="5" spans="1:8" x14ac:dyDescent="0.2">
      <c r="A5" s="11" t="s">
        <v>4</v>
      </c>
      <c r="B5" s="11">
        <v>7620</v>
      </c>
      <c r="C5" s="11">
        <v>16084</v>
      </c>
      <c r="D5" s="11">
        <v>17905</v>
      </c>
      <c r="E5" s="11">
        <v>16248</v>
      </c>
      <c r="F5" s="11">
        <v>19627</v>
      </c>
      <c r="G5" s="11">
        <v>20929</v>
      </c>
      <c r="H5" s="11">
        <v>15681</v>
      </c>
    </row>
    <row r="6" spans="1:8" x14ac:dyDescent="0.2">
      <c r="A6" s="11" t="s">
        <v>5</v>
      </c>
      <c r="B6" s="11">
        <v>2277</v>
      </c>
      <c r="C6" s="11">
        <v>4245</v>
      </c>
      <c r="D6" s="11">
        <v>4452</v>
      </c>
      <c r="E6" s="11">
        <v>4804</v>
      </c>
      <c r="F6" s="11">
        <v>6057</v>
      </c>
      <c r="G6" s="11">
        <v>6341</v>
      </c>
      <c r="H6" s="11">
        <v>4866</v>
      </c>
    </row>
    <row r="7" spans="1:8" x14ac:dyDescent="0.2">
      <c r="A7" s="11" t="s">
        <v>6</v>
      </c>
      <c r="B7" s="11">
        <v>23532</v>
      </c>
      <c r="C7" s="11">
        <v>41824</v>
      </c>
      <c r="D7" s="11">
        <v>43956</v>
      </c>
      <c r="E7" s="11">
        <v>40622</v>
      </c>
      <c r="F7" s="11">
        <v>47722</v>
      </c>
      <c r="G7" s="11">
        <v>42856</v>
      </c>
      <c r="H7" s="11">
        <v>33580</v>
      </c>
    </row>
    <row r="8" spans="1:8" x14ac:dyDescent="0.2">
      <c r="A8" s="11" t="s">
        <v>7</v>
      </c>
      <c r="B8" s="11">
        <v>6280</v>
      </c>
      <c r="C8" s="11">
        <v>11295</v>
      </c>
      <c r="D8" s="11">
        <v>12294</v>
      </c>
      <c r="E8" s="11">
        <v>12221</v>
      </c>
      <c r="F8" s="11">
        <v>13624</v>
      </c>
      <c r="G8" s="11">
        <v>13982</v>
      </c>
      <c r="H8" s="11">
        <v>11855</v>
      </c>
    </row>
    <row r="9" spans="1:8" x14ac:dyDescent="0.2">
      <c r="A9" s="11" t="s">
        <v>8</v>
      </c>
      <c r="B9" s="11">
        <v>2921</v>
      </c>
      <c r="C9" s="11">
        <v>5280</v>
      </c>
      <c r="D9" s="11">
        <v>5756</v>
      </c>
      <c r="E9" s="11">
        <v>5385</v>
      </c>
      <c r="F9" s="11">
        <v>6985</v>
      </c>
      <c r="G9" s="11">
        <v>6881</v>
      </c>
      <c r="H9" s="11">
        <v>5615</v>
      </c>
    </row>
    <row r="10" spans="1:8" x14ac:dyDescent="0.2">
      <c r="A10" s="11" t="s">
        <v>9</v>
      </c>
      <c r="B10" s="11">
        <v>39574</v>
      </c>
      <c r="C10" s="11">
        <v>68256</v>
      </c>
      <c r="D10" s="11">
        <v>73685</v>
      </c>
      <c r="E10" s="11">
        <v>71061</v>
      </c>
      <c r="F10" s="11">
        <v>86995</v>
      </c>
      <c r="G10" s="11">
        <v>82087</v>
      </c>
      <c r="H10" s="11">
        <v>62341</v>
      </c>
    </row>
    <row r="11" spans="1:8" x14ac:dyDescent="0.2">
      <c r="A11" s="11" t="s">
        <v>10</v>
      </c>
      <c r="B11" s="11">
        <v>11216</v>
      </c>
      <c r="C11" s="11">
        <v>20427</v>
      </c>
      <c r="D11" s="11">
        <v>22592</v>
      </c>
      <c r="E11" s="11">
        <v>20802</v>
      </c>
      <c r="F11" s="11">
        <v>25134</v>
      </c>
      <c r="G11" s="11">
        <v>24533</v>
      </c>
      <c r="H11" s="11">
        <v>18736</v>
      </c>
    </row>
    <row r="12" spans="1:8" x14ac:dyDescent="0.2">
      <c r="A12" s="11" t="s">
        <v>11</v>
      </c>
      <c r="B12" s="11">
        <v>6376</v>
      </c>
      <c r="C12" s="11">
        <v>11177</v>
      </c>
      <c r="D12" s="11">
        <v>11998</v>
      </c>
      <c r="E12" s="11">
        <v>12655</v>
      </c>
      <c r="F12" s="11">
        <v>14495</v>
      </c>
      <c r="G12" s="11">
        <v>16386</v>
      </c>
      <c r="H12" s="11">
        <v>12789</v>
      </c>
    </row>
    <row r="13" spans="1:8" x14ac:dyDescent="0.2">
      <c r="A13" s="11" t="s">
        <v>12</v>
      </c>
      <c r="B13" s="11">
        <v>146</v>
      </c>
      <c r="C13" s="11">
        <v>295</v>
      </c>
      <c r="D13" s="11">
        <v>359</v>
      </c>
      <c r="E13" s="11">
        <v>351</v>
      </c>
      <c r="F13" s="11">
        <v>552</v>
      </c>
      <c r="G13" s="11">
        <v>656</v>
      </c>
      <c r="H13" s="11">
        <v>522</v>
      </c>
    </row>
    <row r="14" spans="1:8" x14ac:dyDescent="0.2">
      <c r="A14" s="11" t="s">
        <v>13</v>
      </c>
      <c r="B14" s="11">
        <v>3165</v>
      </c>
      <c r="C14" s="11">
        <v>6170</v>
      </c>
      <c r="D14" s="11">
        <v>6802</v>
      </c>
      <c r="E14" s="11">
        <v>6810</v>
      </c>
      <c r="F14" s="11">
        <v>8625</v>
      </c>
      <c r="G14" s="11">
        <v>8256</v>
      </c>
      <c r="H14" s="11">
        <v>5822</v>
      </c>
    </row>
    <row r="15" spans="1:8" x14ac:dyDescent="0.2">
      <c r="A15" s="11" t="s">
        <v>14</v>
      </c>
      <c r="B15" s="11">
        <v>17748</v>
      </c>
      <c r="C15" s="11">
        <v>19284</v>
      </c>
      <c r="D15" s="11">
        <v>13802</v>
      </c>
      <c r="E15" s="11">
        <v>12310</v>
      </c>
      <c r="F15" s="11">
        <v>13927</v>
      </c>
      <c r="G15" s="11">
        <v>13517</v>
      </c>
      <c r="H15" s="11">
        <v>11414</v>
      </c>
    </row>
    <row r="16" spans="1:8" x14ac:dyDescent="0.2">
      <c r="A16" s="11" t="s">
        <v>15</v>
      </c>
      <c r="B16" s="11">
        <v>36966</v>
      </c>
      <c r="C16" s="11">
        <v>60453</v>
      </c>
      <c r="D16" s="11">
        <v>60028</v>
      </c>
      <c r="E16" s="11">
        <v>58822</v>
      </c>
      <c r="F16" s="11">
        <v>66879</v>
      </c>
      <c r="G16" s="11">
        <v>59655</v>
      </c>
      <c r="H16" s="11">
        <v>46146</v>
      </c>
    </row>
    <row r="17" spans="1:8" x14ac:dyDescent="0.2">
      <c r="A17" s="11" t="s">
        <v>16</v>
      </c>
      <c r="B17" s="11">
        <v>1698</v>
      </c>
      <c r="C17" s="11">
        <v>3080</v>
      </c>
      <c r="D17" s="11">
        <v>3281</v>
      </c>
      <c r="E17" s="11">
        <v>3400</v>
      </c>
      <c r="F17" s="11">
        <v>4204</v>
      </c>
      <c r="G17" s="11">
        <v>4305</v>
      </c>
      <c r="H17" s="11">
        <v>3389</v>
      </c>
    </row>
    <row r="18" spans="1:8" x14ac:dyDescent="0.2">
      <c r="A18" s="11" t="s">
        <v>17</v>
      </c>
      <c r="B18" s="11">
        <v>3359</v>
      </c>
      <c r="C18" s="11">
        <v>6453</v>
      </c>
      <c r="D18" s="11">
        <v>7096</v>
      </c>
      <c r="E18" s="11">
        <v>7468</v>
      </c>
      <c r="F18" s="11">
        <v>9148</v>
      </c>
      <c r="G18" s="11">
        <v>8992</v>
      </c>
      <c r="H18" s="11">
        <v>7031</v>
      </c>
    </row>
    <row r="19" spans="1:8" x14ac:dyDescent="0.2">
      <c r="A19" s="11" t="s">
        <v>18</v>
      </c>
      <c r="B19" s="11">
        <v>1723</v>
      </c>
      <c r="C19" s="11">
        <v>3289</v>
      </c>
      <c r="D19" s="11">
        <v>3296</v>
      </c>
      <c r="E19" s="11">
        <v>3333</v>
      </c>
      <c r="F19" s="11">
        <v>3836</v>
      </c>
      <c r="G19" s="11">
        <v>3956</v>
      </c>
      <c r="H19" s="11">
        <v>3081</v>
      </c>
    </row>
    <row r="20" spans="1:8" x14ac:dyDescent="0.2">
      <c r="A20" s="11" t="s">
        <v>19</v>
      </c>
      <c r="B20" s="11">
        <v>3821</v>
      </c>
      <c r="C20" s="11">
        <v>5921</v>
      </c>
      <c r="D20" s="11">
        <v>5895</v>
      </c>
      <c r="E20" s="11">
        <v>5791</v>
      </c>
      <c r="F20" s="11">
        <v>6754</v>
      </c>
      <c r="G20" s="11">
        <v>6962</v>
      </c>
      <c r="H20" s="11">
        <v>5484</v>
      </c>
    </row>
    <row r="21" spans="1:8" x14ac:dyDescent="0.2">
      <c r="A21" s="11" t="s">
        <v>20</v>
      </c>
      <c r="B21" s="11">
        <v>3982</v>
      </c>
      <c r="C21" s="11">
        <v>7040</v>
      </c>
      <c r="D21" s="11">
        <v>7474</v>
      </c>
      <c r="E21" s="11">
        <v>7409</v>
      </c>
      <c r="F21" s="11">
        <v>9336</v>
      </c>
      <c r="G21" s="11">
        <v>9756</v>
      </c>
      <c r="H21" s="11">
        <v>8155</v>
      </c>
    </row>
    <row r="22" spans="1:8" x14ac:dyDescent="0.2">
      <c r="A22" s="11" t="s">
        <v>21</v>
      </c>
      <c r="B22" s="11">
        <v>16115</v>
      </c>
      <c r="C22" s="11">
        <v>28095</v>
      </c>
      <c r="D22" s="11">
        <v>30310</v>
      </c>
      <c r="E22" s="11">
        <v>27294</v>
      </c>
      <c r="F22" s="11">
        <v>29288</v>
      </c>
      <c r="G22" s="11">
        <v>28236</v>
      </c>
      <c r="H22" s="11">
        <v>24316</v>
      </c>
    </row>
    <row r="23" spans="1:8" x14ac:dyDescent="0.2">
      <c r="A23" s="11" t="s">
        <v>22</v>
      </c>
      <c r="B23" s="11">
        <v>16879</v>
      </c>
      <c r="C23" s="11">
        <v>34459</v>
      </c>
      <c r="D23" s="11">
        <v>34564</v>
      </c>
      <c r="E23" s="11">
        <v>29925</v>
      </c>
      <c r="F23" s="11">
        <v>32533</v>
      </c>
      <c r="G23" s="11">
        <v>30321</v>
      </c>
      <c r="H23" s="11">
        <v>21661</v>
      </c>
    </row>
    <row r="24" spans="1:8" x14ac:dyDescent="0.2">
      <c r="A24" s="11" t="s">
        <v>23</v>
      </c>
      <c r="B24" s="11">
        <v>37966</v>
      </c>
      <c r="C24" s="11">
        <v>66255</v>
      </c>
      <c r="D24" s="11">
        <v>72428</v>
      </c>
      <c r="E24" s="11">
        <v>60728</v>
      </c>
      <c r="F24" s="11">
        <v>65395</v>
      </c>
      <c r="G24" s="11">
        <v>61932</v>
      </c>
      <c r="H24" s="11">
        <v>45572</v>
      </c>
    </row>
    <row r="25" spans="1:8" x14ac:dyDescent="0.2">
      <c r="A25" s="11" t="s">
        <v>24</v>
      </c>
      <c r="B25" s="11">
        <v>1479</v>
      </c>
      <c r="C25" s="11">
        <v>2546</v>
      </c>
      <c r="D25" s="11">
        <v>2752</v>
      </c>
      <c r="E25" s="11">
        <v>2838</v>
      </c>
      <c r="F25" s="11">
        <v>3900</v>
      </c>
      <c r="G25" s="11">
        <v>3942</v>
      </c>
      <c r="H25" s="11">
        <v>3005</v>
      </c>
    </row>
    <row r="26" spans="1:8" x14ac:dyDescent="0.2">
      <c r="A26" s="11" t="s">
        <v>25</v>
      </c>
      <c r="B26" s="11">
        <v>14660</v>
      </c>
      <c r="C26" s="11">
        <v>27159</v>
      </c>
      <c r="D26" s="11">
        <v>27214</v>
      </c>
      <c r="E26" s="11">
        <v>25185</v>
      </c>
      <c r="F26" s="11">
        <v>28748</v>
      </c>
      <c r="G26" s="11">
        <v>29561</v>
      </c>
      <c r="H26" s="11">
        <v>22400</v>
      </c>
    </row>
    <row r="27" spans="1:8" x14ac:dyDescent="0.2">
      <c r="A27" s="11" t="s">
        <v>26</v>
      </c>
      <c r="B27" s="11">
        <v>5114</v>
      </c>
      <c r="C27" s="11">
        <v>10733</v>
      </c>
      <c r="D27" s="11">
        <v>11659</v>
      </c>
      <c r="E27" s="11">
        <v>12073</v>
      </c>
      <c r="F27" s="11">
        <v>14088</v>
      </c>
      <c r="G27" s="11">
        <v>14657</v>
      </c>
      <c r="H27" s="11">
        <v>11242</v>
      </c>
    </row>
    <row r="28" spans="1:8" x14ac:dyDescent="0.2">
      <c r="A28" s="11" t="s">
        <v>27</v>
      </c>
      <c r="B28" s="11">
        <v>148</v>
      </c>
      <c r="C28" s="11">
        <v>242</v>
      </c>
      <c r="D28" s="11">
        <v>297</v>
      </c>
      <c r="E28" s="11">
        <v>388</v>
      </c>
      <c r="F28" s="11">
        <v>664</v>
      </c>
      <c r="G28" s="11">
        <v>838</v>
      </c>
      <c r="H28" s="11">
        <v>636</v>
      </c>
    </row>
    <row r="29" spans="1:8" x14ac:dyDescent="0.2">
      <c r="A29" s="11" t="s">
        <v>28</v>
      </c>
      <c r="B29" s="11">
        <v>8326</v>
      </c>
      <c r="C29" s="11">
        <v>15377</v>
      </c>
      <c r="D29" s="11">
        <v>16084</v>
      </c>
      <c r="E29" s="11">
        <v>15736</v>
      </c>
      <c r="F29" s="11">
        <v>18057</v>
      </c>
      <c r="G29" s="11">
        <v>16904</v>
      </c>
      <c r="H29" s="11">
        <v>14731</v>
      </c>
    </row>
    <row r="30" spans="1:8" x14ac:dyDescent="0.2">
      <c r="A30" s="11" t="s">
        <v>29</v>
      </c>
      <c r="B30" s="11">
        <v>730</v>
      </c>
      <c r="C30" s="11">
        <v>1371</v>
      </c>
      <c r="D30" s="11">
        <v>1389</v>
      </c>
      <c r="E30" s="11">
        <v>1544</v>
      </c>
      <c r="F30" s="11">
        <v>1876</v>
      </c>
      <c r="G30" s="11">
        <v>1760</v>
      </c>
      <c r="H30" s="11">
        <v>1443</v>
      </c>
    </row>
    <row r="31" spans="1:8" x14ac:dyDescent="0.2">
      <c r="A31" s="11" t="s">
        <v>30</v>
      </c>
      <c r="B31" s="11">
        <v>1527</v>
      </c>
      <c r="C31" s="11">
        <v>2986</v>
      </c>
      <c r="D31" s="11">
        <v>3063</v>
      </c>
      <c r="E31" s="11">
        <v>3419</v>
      </c>
      <c r="F31" s="11">
        <v>3788</v>
      </c>
      <c r="G31" s="11">
        <v>3993</v>
      </c>
      <c r="H31" s="11">
        <v>3002</v>
      </c>
    </row>
    <row r="32" spans="1:8" x14ac:dyDescent="0.2">
      <c r="A32" s="11" t="s">
        <v>31</v>
      </c>
      <c r="B32" s="11">
        <v>2332</v>
      </c>
      <c r="C32" s="11">
        <v>3708</v>
      </c>
      <c r="D32" s="11">
        <v>3648</v>
      </c>
      <c r="E32" s="11">
        <v>3974</v>
      </c>
      <c r="F32" s="11">
        <v>4952</v>
      </c>
      <c r="G32" s="11">
        <v>5057</v>
      </c>
      <c r="H32" s="11">
        <v>4215</v>
      </c>
    </row>
    <row r="33" spans="1:8" x14ac:dyDescent="0.2">
      <c r="A33" s="11" t="s">
        <v>32</v>
      </c>
      <c r="B33" s="11">
        <v>4536</v>
      </c>
      <c r="C33" s="11">
        <v>6606</v>
      </c>
      <c r="D33" s="11">
        <v>6752</v>
      </c>
      <c r="E33" s="11">
        <v>6923</v>
      </c>
      <c r="F33" s="11">
        <v>8328</v>
      </c>
      <c r="G33" s="11">
        <v>9006</v>
      </c>
      <c r="H33" s="11">
        <v>6991</v>
      </c>
    </row>
    <row r="34" spans="1:8" x14ac:dyDescent="0.2">
      <c r="A34" s="11" t="s">
        <v>33</v>
      </c>
      <c r="B34" s="11">
        <v>2099</v>
      </c>
      <c r="C34" s="11">
        <v>3577</v>
      </c>
      <c r="D34" s="11">
        <v>4148</v>
      </c>
      <c r="E34" s="11">
        <v>4063</v>
      </c>
      <c r="F34" s="11">
        <v>4905</v>
      </c>
      <c r="G34" s="11">
        <v>5288</v>
      </c>
      <c r="H34" s="11">
        <v>3976</v>
      </c>
    </row>
    <row r="35" spans="1:8" x14ac:dyDescent="0.2">
      <c r="A35" s="11" t="s">
        <v>34</v>
      </c>
      <c r="B35" s="11">
        <v>957</v>
      </c>
      <c r="C35" s="11">
        <v>1766</v>
      </c>
      <c r="D35" s="11">
        <v>1993</v>
      </c>
      <c r="E35" s="11">
        <v>2109</v>
      </c>
      <c r="F35" s="11">
        <v>2605</v>
      </c>
      <c r="G35" s="11">
        <v>2570</v>
      </c>
      <c r="H35" s="11">
        <v>2078</v>
      </c>
    </row>
    <row r="36" spans="1:8" x14ac:dyDescent="0.2">
      <c r="A36" s="11" t="s">
        <v>35</v>
      </c>
      <c r="B36" s="11">
        <v>12065</v>
      </c>
      <c r="C36" s="11">
        <v>22773</v>
      </c>
      <c r="D36" s="11">
        <v>24116</v>
      </c>
      <c r="E36" s="11">
        <v>21640</v>
      </c>
      <c r="F36" s="11">
        <v>25012</v>
      </c>
      <c r="G36" s="11">
        <v>24126</v>
      </c>
      <c r="H36" s="11">
        <v>19764</v>
      </c>
    </row>
    <row r="37" spans="1:8" x14ac:dyDescent="0.2">
      <c r="A37" s="11" t="s">
        <v>36</v>
      </c>
      <c r="B37" s="11">
        <v>30775</v>
      </c>
      <c r="C37" s="11">
        <v>58774</v>
      </c>
      <c r="D37" s="11">
        <v>59493</v>
      </c>
      <c r="E37" s="11">
        <v>50959</v>
      </c>
      <c r="F37" s="11">
        <v>56902</v>
      </c>
      <c r="G37" s="11">
        <v>57400</v>
      </c>
      <c r="H37" s="11">
        <v>49575</v>
      </c>
    </row>
    <row r="38" spans="1:8" x14ac:dyDescent="0.2">
      <c r="A38" s="11" t="s">
        <v>37</v>
      </c>
      <c r="B38" s="11">
        <v>4311</v>
      </c>
      <c r="C38" s="11">
        <v>7848</v>
      </c>
      <c r="D38" s="11">
        <v>8352</v>
      </c>
      <c r="E38" s="11">
        <v>8298</v>
      </c>
      <c r="F38" s="11">
        <v>9784</v>
      </c>
      <c r="G38" s="11">
        <v>10355</v>
      </c>
      <c r="H38" s="11">
        <v>8371</v>
      </c>
    </row>
    <row r="39" spans="1:8" x14ac:dyDescent="0.2">
      <c r="A39" s="11" t="s">
        <v>38</v>
      </c>
      <c r="B39" s="11">
        <v>7235</v>
      </c>
      <c r="C39" s="11">
        <v>13101</v>
      </c>
      <c r="D39" s="11">
        <v>14442</v>
      </c>
      <c r="E39" s="11">
        <v>14067</v>
      </c>
      <c r="F39" s="11">
        <v>15937</v>
      </c>
      <c r="G39" s="11">
        <v>15657</v>
      </c>
      <c r="H39" s="11">
        <v>13429</v>
      </c>
    </row>
    <row r="40" spans="1:8" x14ac:dyDescent="0.2">
      <c r="A40" s="11" t="s">
        <v>39</v>
      </c>
      <c r="B40" s="11">
        <v>21533</v>
      </c>
      <c r="C40" s="11">
        <v>41716</v>
      </c>
      <c r="D40" s="11">
        <v>42416</v>
      </c>
      <c r="E40" s="11">
        <v>38558</v>
      </c>
      <c r="F40" s="11">
        <v>41293</v>
      </c>
      <c r="G40" s="11">
        <v>38342</v>
      </c>
      <c r="H40" s="11">
        <v>29702</v>
      </c>
    </row>
    <row r="41" spans="1:8" x14ac:dyDescent="0.2">
      <c r="A41" s="11" t="s">
        <v>40</v>
      </c>
      <c r="B41" s="11">
        <v>15927</v>
      </c>
      <c r="C41" s="11">
        <v>30723</v>
      </c>
      <c r="D41" s="11">
        <v>33120</v>
      </c>
      <c r="E41" s="11">
        <v>30618</v>
      </c>
      <c r="F41" s="11">
        <v>35941</v>
      </c>
      <c r="G41" s="11">
        <v>33396</v>
      </c>
      <c r="H41" s="11">
        <v>27308</v>
      </c>
    </row>
    <row r="42" spans="1:8" x14ac:dyDescent="0.2">
      <c r="A42" s="11" t="s">
        <v>41</v>
      </c>
      <c r="B42" s="11">
        <v>5579</v>
      </c>
      <c r="C42" s="11">
        <v>10030</v>
      </c>
      <c r="D42" s="11">
        <v>11442</v>
      </c>
      <c r="E42" s="11">
        <v>10451</v>
      </c>
      <c r="F42" s="11">
        <v>12196</v>
      </c>
      <c r="G42" s="11">
        <v>12983</v>
      </c>
      <c r="H42" s="11">
        <v>9968</v>
      </c>
    </row>
    <row r="43" spans="1:8" x14ac:dyDescent="0.2">
      <c r="A43" s="11" t="s">
        <v>91</v>
      </c>
      <c r="B43" s="11">
        <v>1785</v>
      </c>
      <c r="C43" s="11">
        <v>3237</v>
      </c>
      <c r="D43" s="11">
        <v>3652</v>
      </c>
      <c r="E43" s="11">
        <v>3757</v>
      </c>
      <c r="F43" s="11">
        <v>4539</v>
      </c>
      <c r="G43" s="11">
        <v>4641</v>
      </c>
      <c r="H43" s="11">
        <v>3564</v>
      </c>
    </row>
    <row r="44" spans="1:8" x14ac:dyDescent="0.2">
      <c r="A44" s="11" t="s">
        <v>43</v>
      </c>
      <c r="B44" s="11">
        <v>5547</v>
      </c>
      <c r="C44" s="11">
        <v>9799</v>
      </c>
      <c r="D44" s="11">
        <v>9960</v>
      </c>
      <c r="E44" s="11">
        <v>9870</v>
      </c>
      <c r="F44" s="11">
        <v>12355</v>
      </c>
      <c r="G44" s="11">
        <v>13454</v>
      </c>
      <c r="H44" s="11">
        <v>10815</v>
      </c>
    </row>
    <row r="45" spans="1:8" x14ac:dyDescent="0.2">
      <c r="A45" s="11" t="s">
        <v>44</v>
      </c>
      <c r="B45" s="11">
        <v>1730</v>
      </c>
      <c r="C45" s="11">
        <v>3659</v>
      </c>
      <c r="D45" s="11">
        <v>3877</v>
      </c>
      <c r="E45" s="11">
        <v>3913</v>
      </c>
      <c r="F45" s="11">
        <v>5024</v>
      </c>
      <c r="G45" s="11">
        <v>4753</v>
      </c>
      <c r="H45" s="11">
        <v>4164</v>
      </c>
    </row>
    <row r="46" spans="1:8" x14ac:dyDescent="0.2">
      <c r="A46" s="11" t="s">
        <v>45</v>
      </c>
      <c r="B46" s="11">
        <v>9633</v>
      </c>
      <c r="C46" s="11">
        <v>17485</v>
      </c>
      <c r="D46" s="11">
        <v>17648</v>
      </c>
      <c r="E46" s="11">
        <v>17417</v>
      </c>
      <c r="F46" s="11">
        <v>22543</v>
      </c>
      <c r="G46" s="11">
        <v>20172</v>
      </c>
      <c r="H46" s="11">
        <v>12320</v>
      </c>
    </row>
    <row r="47" spans="1:8" x14ac:dyDescent="0.2">
      <c r="A47" s="11" t="s">
        <v>46</v>
      </c>
      <c r="B47" s="11">
        <v>53964</v>
      </c>
      <c r="C47" s="11">
        <v>96588</v>
      </c>
      <c r="D47" s="11">
        <v>104835</v>
      </c>
      <c r="E47" s="11">
        <v>93472</v>
      </c>
      <c r="F47" s="11">
        <v>101787</v>
      </c>
      <c r="G47" s="11">
        <v>95288</v>
      </c>
      <c r="H47" s="11">
        <v>77200</v>
      </c>
    </row>
    <row r="48" spans="1:8" x14ac:dyDescent="0.2">
      <c r="A48" s="11" t="s">
        <v>47</v>
      </c>
      <c r="B48" s="11">
        <v>828</v>
      </c>
      <c r="C48" s="11">
        <v>1863</v>
      </c>
      <c r="D48" s="11">
        <v>2013</v>
      </c>
      <c r="E48" s="11">
        <v>1652</v>
      </c>
      <c r="F48" s="11">
        <v>1983</v>
      </c>
      <c r="G48" s="11">
        <v>2161</v>
      </c>
      <c r="H48" s="11">
        <v>1837</v>
      </c>
    </row>
    <row r="49" spans="1:8" x14ac:dyDescent="0.2">
      <c r="A49" s="11" t="s">
        <v>48</v>
      </c>
      <c r="B49" s="11">
        <v>22617</v>
      </c>
      <c r="C49" s="11">
        <v>36750</v>
      </c>
      <c r="D49" s="11">
        <v>35744</v>
      </c>
      <c r="E49" s="11">
        <v>33134</v>
      </c>
      <c r="F49" s="11">
        <v>38563</v>
      </c>
      <c r="G49" s="11">
        <v>36315</v>
      </c>
      <c r="H49" s="11">
        <v>28850</v>
      </c>
    </row>
    <row r="50" spans="1:8" x14ac:dyDescent="0.2">
      <c r="A50" s="11" t="s">
        <v>49</v>
      </c>
      <c r="B50" s="11">
        <v>3679</v>
      </c>
      <c r="C50" s="11">
        <v>7179</v>
      </c>
      <c r="D50" s="11">
        <v>8578</v>
      </c>
      <c r="E50" s="11">
        <v>8192</v>
      </c>
      <c r="F50" s="11">
        <v>9713</v>
      </c>
      <c r="G50" s="11">
        <v>10022</v>
      </c>
      <c r="H50" s="11">
        <v>7959</v>
      </c>
    </row>
    <row r="51" spans="1:8" x14ac:dyDescent="0.2">
      <c r="A51" s="11" t="s">
        <v>50</v>
      </c>
      <c r="B51" s="11">
        <v>2377</v>
      </c>
      <c r="C51" s="11">
        <v>4317</v>
      </c>
      <c r="D51" s="11">
        <v>4864</v>
      </c>
      <c r="E51" s="11">
        <v>4757</v>
      </c>
      <c r="F51" s="11">
        <v>5813</v>
      </c>
      <c r="G51" s="11">
        <v>5364</v>
      </c>
      <c r="H51" s="11">
        <v>3735</v>
      </c>
    </row>
    <row r="52" spans="1:8" x14ac:dyDescent="0.2">
      <c r="A52" s="11" t="s">
        <v>51</v>
      </c>
      <c r="B52" s="11">
        <v>98772</v>
      </c>
      <c r="C52" s="11">
        <v>257986</v>
      </c>
      <c r="D52" s="11">
        <v>220734</v>
      </c>
      <c r="E52" s="11">
        <v>143542</v>
      </c>
      <c r="F52" s="11">
        <v>144656</v>
      </c>
      <c r="G52" s="11">
        <v>126643</v>
      </c>
      <c r="H52" s="11">
        <v>91371</v>
      </c>
    </row>
    <row r="53" spans="1:8" x14ac:dyDescent="0.2">
      <c r="A53" s="11" t="s">
        <v>52</v>
      </c>
      <c r="B53" s="11">
        <v>3145</v>
      </c>
      <c r="C53" s="11">
        <v>5911</v>
      </c>
      <c r="D53" s="11">
        <v>6440</v>
      </c>
      <c r="E53" s="11">
        <v>6616</v>
      </c>
      <c r="F53" s="11">
        <v>9537</v>
      </c>
      <c r="G53" s="11">
        <v>9174</v>
      </c>
      <c r="H53" s="11">
        <v>6317</v>
      </c>
    </row>
    <row r="54" spans="1:8" x14ac:dyDescent="0.2">
      <c r="A54" s="11" t="s">
        <v>53</v>
      </c>
      <c r="B54" s="11">
        <v>745</v>
      </c>
      <c r="C54" s="11">
        <v>1280</v>
      </c>
      <c r="D54" s="11">
        <v>1465</v>
      </c>
      <c r="E54" s="11">
        <v>1508</v>
      </c>
      <c r="F54" s="11">
        <v>2041</v>
      </c>
      <c r="G54" s="11">
        <v>2215</v>
      </c>
      <c r="H54" s="11">
        <v>1768</v>
      </c>
    </row>
    <row r="55" spans="1:8" x14ac:dyDescent="0.2">
      <c r="A55" s="11" t="s">
        <v>54</v>
      </c>
      <c r="B55" s="11">
        <v>6882</v>
      </c>
      <c r="C55" s="11">
        <v>12423</v>
      </c>
      <c r="D55" s="11">
        <v>13825</v>
      </c>
      <c r="E55" s="11">
        <v>14185</v>
      </c>
      <c r="F55" s="11">
        <v>16654</v>
      </c>
      <c r="G55" s="11">
        <v>16098</v>
      </c>
      <c r="H55" s="11">
        <v>12189</v>
      </c>
    </row>
    <row r="56" spans="1:8" x14ac:dyDescent="0.2">
      <c r="A56" s="11" t="s">
        <v>55</v>
      </c>
      <c r="B56" s="11">
        <v>2277</v>
      </c>
      <c r="C56" s="11">
        <v>3194</v>
      </c>
      <c r="D56" s="11">
        <v>3475</v>
      </c>
      <c r="E56" s="11">
        <v>3431</v>
      </c>
      <c r="F56" s="11">
        <v>4149</v>
      </c>
      <c r="G56" s="11">
        <v>3963</v>
      </c>
      <c r="H56" s="11">
        <v>3373</v>
      </c>
    </row>
    <row r="57" spans="1:8" x14ac:dyDescent="0.2">
      <c r="A57" s="11" t="s">
        <v>56</v>
      </c>
      <c r="B57" s="11">
        <v>3307</v>
      </c>
      <c r="C57" s="11">
        <v>5970</v>
      </c>
      <c r="D57" s="11">
        <v>6737</v>
      </c>
      <c r="E57" s="11">
        <v>7052</v>
      </c>
      <c r="F57" s="11">
        <v>8583</v>
      </c>
      <c r="G57" s="11">
        <v>9368</v>
      </c>
      <c r="H57" s="11">
        <v>7455</v>
      </c>
    </row>
    <row r="58" spans="1:8" x14ac:dyDescent="0.2">
      <c r="A58" s="11" t="s">
        <v>57</v>
      </c>
      <c r="B58" s="11">
        <v>235</v>
      </c>
      <c r="C58" s="11">
        <v>416</v>
      </c>
      <c r="D58" s="11">
        <v>566</v>
      </c>
      <c r="E58" s="11">
        <v>560</v>
      </c>
      <c r="F58" s="11">
        <v>805</v>
      </c>
      <c r="G58" s="11">
        <v>1077</v>
      </c>
      <c r="H58" s="11">
        <v>790</v>
      </c>
    </row>
    <row r="59" spans="1:8" x14ac:dyDescent="0.2">
      <c r="A59" s="11" t="s">
        <v>58</v>
      </c>
      <c r="B59" s="11">
        <v>1897</v>
      </c>
      <c r="C59" s="11">
        <v>3640</v>
      </c>
      <c r="D59" s="11">
        <v>3983</v>
      </c>
      <c r="E59" s="11">
        <v>3693</v>
      </c>
      <c r="F59" s="11">
        <v>5068</v>
      </c>
      <c r="G59" s="11">
        <v>5353</v>
      </c>
      <c r="H59" s="11">
        <v>4213</v>
      </c>
    </row>
    <row r="60" spans="1:8" x14ac:dyDescent="0.2">
      <c r="A60" s="11" t="s">
        <v>59</v>
      </c>
      <c r="B60" s="11">
        <v>1903</v>
      </c>
      <c r="C60" s="11">
        <v>3267</v>
      </c>
      <c r="D60" s="11">
        <v>3917</v>
      </c>
      <c r="E60" s="11">
        <v>3736</v>
      </c>
      <c r="F60" s="11">
        <v>4764</v>
      </c>
      <c r="G60" s="11">
        <v>5057</v>
      </c>
      <c r="H60" s="11">
        <v>4143</v>
      </c>
    </row>
    <row r="61" spans="1:8" x14ac:dyDescent="0.2">
      <c r="A61" s="11" t="s">
        <v>60</v>
      </c>
      <c r="B61" s="11">
        <v>3670</v>
      </c>
      <c r="C61" s="11">
        <v>4016</v>
      </c>
      <c r="D61" s="11">
        <v>3637</v>
      </c>
      <c r="E61" s="11">
        <v>3453</v>
      </c>
      <c r="F61" s="11">
        <v>3982</v>
      </c>
      <c r="G61" s="11">
        <v>3890</v>
      </c>
      <c r="H61" s="11">
        <v>3729</v>
      </c>
    </row>
    <row r="62" spans="1:8" x14ac:dyDescent="0.2">
      <c r="A62" s="11" t="s">
        <v>61</v>
      </c>
      <c r="B62" s="11">
        <v>2207</v>
      </c>
      <c r="C62" s="11">
        <v>3937</v>
      </c>
      <c r="D62" s="11">
        <v>4637</v>
      </c>
      <c r="E62" s="11">
        <v>4774</v>
      </c>
      <c r="F62" s="11">
        <v>5700</v>
      </c>
      <c r="G62" s="11">
        <v>6590</v>
      </c>
      <c r="H62" s="11">
        <v>4923</v>
      </c>
    </row>
    <row r="63" spans="1:8" x14ac:dyDescent="0.2">
      <c r="A63" s="11" t="s">
        <v>62</v>
      </c>
      <c r="B63" s="11">
        <v>1742</v>
      </c>
      <c r="C63" s="11">
        <v>3048</v>
      </c>
      <c r="D63" s="11">
        <v>3607</v>
      </c>
      <c r="E63" s="11">
        <v>3510</v>
      </c>
      <c r="F63" s="11">
        <v>4702</v>
      </c>
      <c r="G63" s="11">
        <v>4998</v>
      </c>
      <c r="H63" s="11">
        <v>3797</v>
      </c>
    </row>
    <row r="64" spans="1:8" x14ac:dyDescent="0.2">
      <c r="A64" s="11" t="s">
        <v>63</v>
      </c>
      <c r="B64" s="11">
        <v>10522</v>
      </c>
      <c r="C64" s="11">
        <v>19775</v>
      </c>
      <c r="D64" s="11">
        <v>22606</v>
      </c>
      <c r="E64" s="11">
        <v>21347</v>
      </c>
      <c r="F64" s="11">
        <v>25145</v>
      </c>
      <c r="G64" s="11">
        <v>26119</v>
      </c>
      <c r="H64" s="11">
        <v>20041</v>
      </c>
    </row>
    <row r="65" spans="1:8" x14ac:dyDescent="0.2">
      <c r="A65" s="11" t="s">
        <v>64</v>
      </c>
      <c r="B65" s="11">
        <v>2226</v>
      </c>
      <c r="C65" s="11">
        <v>4534</v>
      </c>
      <c r="D65" s="11">
        <v>5028</v>
      </c>
      <c r="E65" s="11">
        <v>4901</v>
      </c>
      <c r="F65" s="11">
        <v>6928</v>
      </c>
      <c r="G65" s="11">
        <v>7408</v>
      </c>
      <c r="H65" s="11">
        <v>5620</v>
      </c>
    </row>
    <row r="66" spans="1:8" x14ac:dyDescent="0.2">
      <c r="A66" s="11" t="s">
        <v>65</v>
      </c>
      <c r="B66" s="11">
        <v>17593</v>
      </c>
      <c r="C66" s="11">
        <v>33097</v>
      </c>
      <c r="D66" s="11">
        <v>36325</v>
      </c>
      <c r="E66" s="11">
        <v>35196</v>
      </c>
      <c r="F66" s="11">
        <v>44251</v>
      </c>
      <c r="G66" s="11">
        <v>46606</v>
      </c>
      <c r="H66" s="11">
        <v>37843</v>
      </c>
    </row>
    <row r="67" spans="1:8" x14ac:dyDescent="0.2">
      <c r="A67" s="11" t="s">
        <v>66</v>
      </c>
      <c r="B67" s="11">
        <v>1366</v>
      </c>
      <c r="C67" s="11">
        <v>2491</v>
      </c>
      <c r="D67" s="11">
        <v>2716</v>
      </c>
      <c r="E67" s="11">
        <v>2694</v>
      </c>
      <c r="F67" s="11">
        <v>3240</v>
      </c>
      <c r="G67" s="11">
        <v>3353</v>
      </c>
      <c r="H67" s="11">
        <v>2627</v>
      </c>
    </row>
    <row r="68" spans="1:8" ht="13.5" thickBot="1" x14ac:dyDescent="0.25">
      <c r="A68" s="13" t="s">
        <v>67</v>
      </c>
      <c r="B68" s="13">
        <v>26664</v>
      </c>
      <c r="C68" s="13">
        <v>50118</v>
      </c>
      <c r="D68" s="13">
        <v>54542</v>
      </c>
      <c r="E68" s="13">
        <v>50160</v>
      </c>
      <c r="F68" s="13">
        <v>57038</v>
      </c>
      <c r="G68" s="13">
        <v>50312</v>
      </c>
      <c r="H68" s="13">
        <v>37970</v>
      </c>
    </row>
    <row r="69" spans="1:8" x14ac:dyDescent="0.2">
      <c r="A69" s="32" t="s">
        <v>68</v>
      </c>
      <c r="B69" s="32">
        <f>SUM(B2:B68)</f>
        <v>759367</v>
      </c>
      <c r="C69" s="32">
        <f t="shared" ref="C69:G69" si="0">SUM(C2:C68)</f>
        <v>1464508</v>
      </c>
      <c r="D69" s="32">
        <f t="shared" si="0"/>
        <v>1474302</v>
      </c>
      <c r="E69" s="32">
        <f t="shared" si="0"/>
        <v>1286216</v>
      </c>
      <c r="F69" s="32">
        <f t="shared" si="0"/>
        <v>1463153</v>
      </c>
      <c r="G69" s="32">
        <f t="shared" si="0"/>
        <v>1418424</v>
      </c>
      <c r="H69" s="32">
        <f>SUM(H2:H68)</f>
        <v>1104049</v>
      </c>
    </row>
    <row r="70" spans="1:8" x14ac:dyDescent="0.2">
      <c r="B70" s="17">
        <f t="shared" ref="B70:H70" si="1">B69/$B$72</f>
        <v>8.4656119457495016E-2</v>
      </c>
      <c r="C70" s="17">
        <f>C69/$B$72</f>
        <v>0.16326698973547324</v>
      </c>
      <c r="D70" s="17">
        <f>D69/$B$72</f>
        <v>0.16435884918415447</v>
      </c>
      <c r="E70" s="17">
        <f t="shared" si="1"/>
        <v>0.14339055469113277</v>
      </c>
      <c r="F70" s="17">
        <f t="shared" si="1"/>
        <v>0.16311593096959995</v>
      </c>
      <c r="G70" s="17">
        <f t="shared" si="1"/>
        <v>0.15812943094100471</v>
      </c>
      <c r="H70" s="17">
        <f t="shared" si="1"/>
        <v>0.12308212502113987</v>
      </c>
    </row>
    <row r="72" spans="1:8" x14ac:dyDescent="0.2">
      <c r="A72" s="32" t="s">
        <v>80</v>
      </c>
      <c r="B72" s="16">
        <f>SUM(B69:H69)</f>
        <v>8970019</v>
      </c>
      <c r="C72" s="14"/>
    </row>
    <row r="81" spans="2:7" x14ac:dyDescent="0.2">
      <c r="G81" s="11"/>
    </row>
    <row r="82" spans="2:7" x14ac:dyDescent="0.2">
      <c r="G82" s="11"/>
    </row>
    <row r="83" spans="2:7" x14ac:dyDescent="0.2">
      <c r="E83" s="11"/>
      <c r="G83" s="11"/>
    </row>
    <row r="84" spans="2:7" x14ac:dyDescent="0.2">
      <c r="B84" s="11"/>
      <c r="E84" s="11"/>
      <c r="G84" s="11"/>
    </row>
    <row r="85" spans="2:7" x14ac:dyDescent="0.2">
      <c r="E85" s="11"/>
      <c r="G85" s="11"/>
    </row>
    <row r="86" spans="2:7" x14ac:dyDescent="0.2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3" sqref="J3"/>
    </sheetView>
  </sheetViews>
  <sheetFormatPr defaultColWidth="9.140625" defaultRowHeight="12.75" x14ac:dyDescent="0.2"/>
  <cols>
    <col min="1" max="1" width="19.85546875" style="11" customWidth="1"/>
    <col min="2" max="2" width="9" style="10" customWidth="1"/>
    <col min="3" max="8" width="12.28515625" style="10" customWidth="1"/>
    <col min="9" max="9" width="11" style="11" bestFit="1" customWidth="1"/>
    <col min="10" max="10" width="6.42578125" style="11" customWidth="1"/>
    <col min="11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0</v>
      </c>
      <c r="C2" s="11">
        <v>1974</v>
      </c>
      <c r="D2" s="11">
        <v>2775</v>
      </c>
      <c r="E2" s="11">
        <v>2342</v>
      </c>
      <c r="F2" s="11">
        <v>2119</v>
      </c>
      <c r="G2" s="11">
        <v>2647</v>
      </c>
      <c r="H2" s="11">
        <v>3786</v>
      </c>
      <c r="I2" s="11">
        <v>3524</v>
      </c>
      <c r="J2" s="11" t="s">
        <v>115</v>
      </c>
    </row>
    <row r="3" spans="1:10" x14ac:dyDescent="0.2">
      <c r="A3" s="11" t="s">
        <v>2</v>
      </c>
      <c r="B3" s="10" t="s">
        <v>0</v>
      </c>
      <c r="C3" s="11">
        <v>41686</v>
      </c>
      <c r="D3" s="11">
        <v>94475</v>
      </c>
      <c r="E3" s="11">
        <v>89300</v>
      </c>
      <c r="F3" s="11">
        <v>64173</v>
      </c>
      <c r="G3" s="11">
        <v>67594</v>
      </c>
      <c r="H3" s="11">
        <v>80133</v>
      </c>
      <c r="I3" s="11">
        <v>65458</v>
      </c>
    </row>
    <row r="4" spans="1:10" x14ac:dyDescent="0.2">
      <c r="A4" s="11" t="s">
        <v>3</v>
      </c>
      <c r="B4" s="10" t="s">
        <v>0</v>
      </c>
      <c r="C4" s="11">
        <v>612</v>
      </c>
      <c r="D4" s="11">
        <v>1091</v>
      </c>
      <c r="E4" s="11">
        <v>1206</v>
      </c>
      <c r="F4" s="11">
        <v>1267</v>
      </c>
      <c r="G4" s="11">
        <v>1763</v>
      </c>
      <c r="H4" s="11">
        <v>2540</v>
      </c>
      <c r="I4" s="11">
        <v>2176</v>
      </c>
    </row>
    <row r="5" spans="1:10" x14ac:dyDescent="0.2">
      <c r="A5" s="11" t="s">
        <v>4</v>
      </c>
      <c r="B5" s="10" t="s">
        <v>0</v>
      </c>
      <c r="C5" s="11">
        <v>2538</v>
      </c>
      <c r="D5" s="11">
        <v>5668</v>
      </c>
      <c r="E5" s="11">
        <v>6435</v>
      </c>
      <c r="F5" s="11">
        <v>5896</v>
      </c>
      <c r="G5" s="11">
        <v>7343</v>
      </c>
      <c r="H5" s="11">
        <v>9848</v>
      </c>
      <c r="I5" s="11">
        <v>8041</v>
      </c>
    </row>
    <row r="6" spans="1:10" x14ac:dyDescent="0.2">
      <c r="A6" s="11" t="s">
        <v>5</v>
      </c>
      <c r="B6" s="10" t="s">
        <v>0</v>
      </c>
      <c r="C6" s="11">
        <v>308</v>
      </c>
      <c r="D6" s="11">
        <v>523</v>
      </c>
      <c r="E6" s="11">
        <v>579</v>
      </c>
      <c r="F6" s="11">
        <v>627</v>
      </c>
      <c r="G6" s="11">
        <v>859</v>
      </c>
      <c r="H6" s="11">
        <v>1186</v>
      </c>
      <c r="I6" s="11">
        <v>1186</v>
      </c>
    </row>
    <row r="7" spans="1:10" x14ac:dyDescent="0.2">
      <c r="A7" s="11" t="s">
        <v>6</v>
      </c>
      <c r="B7" s="10" t="s">
        <v>0</v>
      </c>
      <c r="C7" s="11">
        <v>8558</v>
      </c>
      <c r="D7" s="11">
        <v>15794</v>
      </c>
      <c r="E7" s="11">
        <v>16344</v>
      </c>
      <c r="F7" s="11">
        <v>14886</v>
      </c>
      <c r="G7" s="11">
        <v>16912</v>
      </c>
      <c r="H7" s="11">
        <v>17316</v>
      </c>
      <c r="I7" s="11">
        <v>14499</v>
      </c>
    </row>
    <row r="8" spans="1:10" x14ac:dyDescent="0.2">
      <c r="A8" s="11" t="s">
        <v>7</v>
      </c>
      <c r="B8" s="10" t="s">
        <v>0</v>
      </c>
      <c r="C8" s="11">
        <v>1535</v>
      </c>
      <c r="D8" s="11">
        <v>3045</v>
      </c>
      <c r="E8" s="11">
        <v>3127</v>
      </c>
      <c r="F8" s="11">
        <v>2569</v>
      </c>
      <c r="G8" s="11">
        <v>2731</v>
      </c>
      <c r="H8" s="11">
        <v>3528</v>
      </c>
      <c r="I8" s="11">
        <v>3245</v>
      </c>
    </row>
    <row r="9" spans="1:10" x14ac:dyDescent="0.2">
      <c r="A9" s="11" t="s">
        <v>8</v>
      </c>
      <c r="B9" s="10" t="s">
        <v>0</v>
      </c>
      <c r="C9" s="11">
        <v>510</v>
      </c>
      <c r="D9" s="11">
        <v>1052</v>
      </c>
      <c r="E9" s="11">
        <v>1073</v>
      </c>
      <c r="F9" s="11">
        <v>901</v>
      </c>
      <c r="G9" s="11">
        <v>1180</v>
      </c>
      <c r="H9" s="11">
        <v>1600</v>
      </c>
      <c r="I9" s="11">
        <v>1484</v>
      </c>
    </row>
    <row r="10" spans="1:10" x14ac:dyDescent="0.2">
      <c r="A10" s="11" t="s">
        <v>9</v>
      </c>
      <c r="B10" s="10" t="s">
        <v>0</v>
      </c>
      <c r="C10" s="11">
        <v>15643</v>
      </c>
      <c r="D10" s="11">
        <v>28176</v>
      </c>
      <c r="E10" s="11">
        <v>30097</v>
      </c>
      <c r="F10" s="11">
        <v>27124</v>
      </c>
      <c r="G10" s="11">
        <v>31229</v>
      </c>
      <c r="H10" s="11">
        <v>34561</v>
      </c>
      <c r="I10" s="11">
        <v>27016</v>
      </c>
    </row>
    <row r="11" spans="1:10" x14ac:dyDescent="0.2">
      <c r="A11" s="11" t="s">
        <v>10</v>
      </c>
      <c r="B11" s="10" t="s">
        <v>0</v>
      </c>
      <c r="C11" s="11">
        <v>2991</v>
      </c>
      <c r="D11" s="11">
        <v>5298</v>
      </c>
      <c r="E11" s="11">
        <v>5946</v>
      </c>
      <c r="F11" s="11">
        <v>4998</v>
      </c>
      <c r="G11" s="11">
        <v>5778</v>
      </c>
      <c r="H11" s="11">
        <v>7550</v>
      </c>
      <c r="I11" s="11">
        <v>6587</v>
      </c>
    </row>
    <row r="12" spans="1:10" x14ac:dyDescent="0.2">
      <c r="A12" s="11" t="s">
        <v>11</v>
      </c>
      <c r="B12" s="10" t="s">
        <v>0</v>
      </c>
      <c r="C12" s="11">
        <v>1735</v>
      </c>
      <c r="D12" s="11">
        <v>3348</v>
      </c>
      <c r="E12" s="11">
        <v>3663</v>
      </c>
      <c r="F12" s="11">
        <v>3707</v>
      </c>
      <c r="G12" s="11">
        <v>4645</v>
      </c>
      <c r="H12" s="11">
        <v>6647</v>
      </c>
      <c r="I12" s="11">
        <v>5681</v>
      </c>
    </row>
    <row r="13" spans="1:10" x14ac:dyDescent="0.2">
      <c r="A13" s="11" t="s">
        <v>12</v>
      </c>
      <c r="B13" s="10" t="s">
        <v>0</v>
      </c>
      <c r="C13" s="11">
        <v>33</v>
      </c>
      <c r="D13" s="11">
        <v>67</v>
      </c>
      <c r="E13" s="11">
        <v>77</v>
      </c>
      <c r="F13" s="11">
        <v>62</v>
      </c>
      <c r="G13" s="11">
        <v>114</v>
      </c>
      <c r="H13" s="11">
        <v>171</v>
      </c>
      <c r="I13" s="11">
        <v>142</v>
      </c>
    </row>
    <row r="14" spans="1:10" x14ac:dyDescent="0.2">
      <c r="A14" s="11" t="s">
        <v>13</v>
      </c>
      <c r="B14" s="10" t="s">
        <v>0</v>
      </c>
      <c r="C14" s="11">
        <v>871</v>
      </c>
      <c r="D14" s="11">
        <v>1782</v>
      </c>
      <c r="E14" s="11">
        <v>1934</v>
      </c>
      <c r="F14" s="11">
        <v>1921</v>
      </c>
      <c r="G14" s="11">
        <v>2426</v>
      </c>
      <c r="H14" s="11">
        <v>2859</v>
      </c>
      <c r="I14" s="11">
        <v>2278</v>
      </c>
    </row>
    <row r="15" spans="1:10" x14ac:dyDescent="0.2">
      <c r="A15" s="11" t="s">
        <v>14</v>
      </c>
      <c r="B15" s="10" t="s">
        <v>0</v>
      </c>
      <c r="C15" s="11">
        <v>7760</v>
      </c>
      <c r="D15" s="11">
        <v>9045</v>
      </c>
      <c r="E15" s="11">
        <v>5732</v>
      </c>
      <c r="F15" s="11">
        <v>4618</v>
      </c>
      <c r="G15" s="11">
        <v>4510</v>
      </c>
      <c r="H15" s="11">
        <v>5098</v>
      </c>
      <c r="I15" s="11">
        <v>4668</v>
      </c>
    </row>
    <row r="16" spans="1:10" x14ac:dyDescent="0.2">
      <c r="A16" s="11" t="s">
        <v>15</v>
      </c>
      <c r="B16" s="10" t="s">
        <v>0</v>
      </c>
      <c r="C16" s="11">
        <v>16553</v>
      </c>
      <c r="D16" s="11">
        <v>27181</v>
      </c>
      <c r="E16" s="11">
        <v>26330</v>
      </c>
      <c r="F16" s="11">
        <v>23351</v>
      </c>
      <c r="G16" s="11">
        <v>24121</v>
      </c>
      <c r="H16" s="11">
        <v>24407</v>
      </c>
      <c r="I16" s="11">
        <v>18737</v>
      </c>
    </row>
    <row r="17" spans="1:9" x14ac:dyDescent="0.2">
      <c r="A17" s="11" t="s">
        <v>16</v>
      </c>
      <c r="B17" s="10" t="s">
        <v>0</v>
      </c>
      <c r="C17" s="11">
        <v>302</v>
      </c>
      <c r="D17" s="11">
        <v>635</v>
      </c>
      <c r="E17" s="11">
        <v>606</v>
      </c>
      <c r="F17" s="11">
        <v>586</v>
      </c>
      <c r="G17" s="11">
        <v>731</v>
      </c>
      <c r="H17" s="11">
        <v>1160</v>
      </c>
      <c r="I17" s="11">
        <v>1043</v>
      </c>
    </row>
    <row r="18" spans="1:9" x14ac:dyDescent="0.2">
      <c r="A18" s="11" t="s">
        <v>17</v>
      </c>
      <c r="B18" s="10" t="s">
        <v>0</v>
      </c>
      <c r="C18" s="11">
        <v>690</v>
      </c>
      <c r="D18" s="11">
        <v>1352</v>
      </c>
      <c r="E18" s="11">
        <v>1474</v>
      </c>
      <c r="F18" s="11">
        <v>1516</v>
      </c>
      <c r="G18" s="11">
        <v>1961</v>
      </c>
      <c r="H18" s="11">
        <v>2568</v>
      </c>
      <c r="I18" s="11">
        <v>2469</v>
      </c>
    </row>
    <row r="19" spans="1:9" x14ac:dyDescent="0.2">
      <c r="A19" s="11" t="s">
        <v>18</v>
      </c>
      <c r="B19" s="10" t="s">
        <v>0</v>
      </c>
      <c r="C19" s="11">
        <v>383</v>
      </c>
      <c r="D19" s="11">
        <v>855</v>
      </c>
      <c r="E19" s="11">
        <v>779</v>
      </c>
      <c r="F19" s="11">
        <v>750</v>
      </c>
      <c r="G19" s="11">
        <v>912</v>
      </c>
      <c r="H19" s="11">
        <v>1283</v>
      </c>
      <c r="I19" s="11">
        <v>1111</v>
      </c>
    </row>
    <row r="20" spans="1:9" x14ac:dyDescent="0.2">
      <c r="A20" s="11" t="s">
        <v>19</v>
      </c>
      <c r="B20" s="10" t="s">
        <v>0</v>
      </c>
      <c r="C20" s="11">
        <v>1216</v>
      </c>
      <c r="D20" s="11">
        <v>1717</v>
      </c>
      <c r="E20" s="11">
        <v>1678</v>
      </c>
      <c r="F20" s="11">
        <v>1476</v>
      </c>
      <c r="G20" s="11">
        <v>1618</v>
      </c>
      <c r="H20" s="11">
        <v>2191</v>
      </c>
      <c r="I20" s="11">
        <v>1904</v>
      </c>
    </row>
    <row r="21" spans="1:9" x14ac:dyDescent="0.2">
      <c r="A21" s="11" t="s">
        <v>20</v>
      </c>
      <c r="B21" s="10" t="s">
        <v>0</v>
      </c>
      <c r="C21" s="11">
        <v>1048</v>
      </c>
      <c r="D21" s="11">
        <v>1823</v>
      </c>
      <c r="E21" s="11">
        <v>1760</v>
      </c>
      <c r="F21" s="11">
        <v>1754</v>
      </c>
      <c r="G21" s="11">
        <v>2164</v>
      </c>
      <c r="H21" s="11">
        <v>3042</v>
      </c>
      <c r="I21" s="11">
        <v>2873</v>
      </c>
    </row>
    <row r="22" spans="1:9" x14ac:dyDescent="0.2">
      <c r="A22" s="11" t="s">
        <v>21</v>
      </c>
      <c r="B22" s="10" t="s">
        <v>0</v>
      </c>
      <c r="C22" s="11">
        <v>6291</v>
      </c>
      <c r="D22" s="11">
        <v>10322</v>
      </c>
      <c r="E22" s="11">
        <v>10923</v>
      </c>
      <c r="F22" s="11">
        <v>8692</v>
      </c>
      <c r="G22" s="11">
        <v>8027</v>
      </c>
      <c r="H22" s="11">
        <v>9068</v>
      </c>
      <c r="I22" s="11">
        <v>8291</v>
      </c>
    </row>
    <row r="23" spans="1:9" x14ac:dyDescent="0.2">
      <c r="A23" s="11" t="s">
        <v>22</v>
      </c>
      <c r="B23" s="10" t="s">
        <v>0</v>
      </c>
      <c r="C23" s="11">
        <v>7293</v>
      </c>
      <c r="D23" s="11">
        <v>15599</v>
      </c>
      <c r="E23" s="11">
        <v>15241</v>
      </c>
      <c r="F23" s="11">
        <v>12833</v>
      </c>
      <c r="G23" s="11">
        <v>13016</v>
      </c>
      <c r="H23" s="11">
        <v>13130</v>
      </c>
      <c r="I23" s="11">
        <v>9095</v>
      </c>
    </row>
    <row r="24" spans="1:9" x14ac:dyDescent="0.2">
      <c r="A24" s="11" t="s">
        <v>23</v>
      </c>
      <c r="B24" s="10" t="s">
        <v>0</v>
      </c>
      <c r="C24" s="11">
        <v>19305</v>
      </c>
      <c r="D24" s="11">
        <v>34963</v>
      </c>
      <c r="E24" s="11">
        <v>38724</v>
      </c>
      <c r="F24" s="11">
        <v>30519</v>
      </c>
      <c r="G24" s="11">
        <v>29438</v>
      </c>
      <c r="H24" s="11">
        <v>29038</v>
      </c>
      <c r="I24" s="11">
        <v>20694</v>
      </c>
    </row>
    <row r="25" spans="1:9" x14ac:dyDescent="0.2">
      <c r="A25" s="11" t="s">
        <v>24</v>
      </c>
      <c r="B25" s="10" t="s">
        <v>0</v>
      </c>
      <c r="C25" s="11">
        <v>320</v>
      </c>
      <c r="D25" s="11">
        <v>602</v>
      </c>
      <c r="E25" s="11">
        <v>654</v>
      </c>
      <c r="F25" s="11">
        <v>646</v>
      </c>
      <c r="G25" s="11">
        <v>1008</v>
      </c>
      <c r="H25" s="11">
        <v>1326</v>
      </c>
      <c r="I25" s="11">
        <v>1231</v>
      </c>
    </row>
    <row r="26" spans="1:9" x14ac:dyDescent="0.2">
      <c r="A26" s="11" t="s">
        <v>25</v>
      </c>
      <c r="B26" s="10" t="s">
        <v>0</v>
      </c>
      <c r="C26" s="11">
        <v>5508</v>
      </c>
      <c r="D26" s="11">
        <v>11278</v>
      </c>
      <c r="E26" s="11">
        <v>11176</v>
      </c>
      <c r="F26" s="11">
        <v>10132</v>
      </c>
      <c r="G26" s="11">
        <v>11757</v>
      </c>
      <c r="H26" s="11">
        <v>14863</v>
      </c>
      <c r="I26" s="11">
        <v>11813</v>
      </c>
    </row>
    <row r="27" spans="1:9" x14ac:dyDescent="0.2">
      <c r="A27" s="11" t="s">
        <v>26</v>
      </c>
      <c r="B27" s="10" t="s">
        <v>0</v>
      </c>
      <c r="C27" s="11">
        <v>1350</v>
      </c>
      <c r="D27" s="11">
        <v>2939</v>
      </c>
      <c r="E27" s="11">
        <v>3502</v>
      </c>
      <c r="F27" s="11">
        <v>3843</v>
      </c>
      <c r="G27" s="11">
        <v>5056</v>
      </c>
      <c r="H27" s="11">
        <v>6867</v>
      </c>
      <c r="I27" s="11">
        <v>5985</v>
      </c>
    </row>
    <row r="28" spans="1:9" x14ac:dyDescent="0.2">
      <c r="A28" s="11" t="s">
        <v>27</v>
      </c>
      <c r="B28" s="10" t="s">
        <v>0</v>
      </c>
      <c r="C28" s="11">
        <v>16</v>
      </c>
      <c r="D28" s="11">
        <v>47</v>
      </c>
      <c r="E28" s="11">
        <v>57</v>
      </c>
      <c r="F28" s="11">
        <v>67</v>
      </c>
      <c r="G28" s="11">
        <v>147</v>
      </c>
      <c r="H28" s="11">
        <v>243</v>
      </c>
      <c r="I28" s="11">
        <v>199</v>
      </c>
    </row>
    <row r="29" spans="1:9" x14ac:dyDescent="0.2">
      <c r="A29" s="11" t="s">
        <v>28</v>
      </c>
      <c r="B29" s="10" t="s">
        <v>0</v>
      </c>
      <c r="C29" s="11">
        <v>2026</v>
      </c>
      <c r="D29" s="11">
        <v>3670</v>
      </c>
      <c r="E29" s="11">
        <v>3455</v>
      </c>
      <c r="F29" s="11">
        <v>3097</v>
      </c>
      <c r="G29" s="11">
        <v>3254</v>
      </c>
      <c r="H29" s="11">
        <v>3956</v>
      </c>
      <c r="I29" s="11">
        <v>4003</v>
      </c>
    </row>
    <row r="30" spans="1:9" x14ac:dyDescent="0.2">
      <c r="A30" s="11" t="s">
        <v>29</v>
      </c>
      <c r="B30" s="10" t="s">
        <v>0</v>
      </c>
      <c r="C30" s="11">
        <v>82</v>
      </c>
      <c r="D30" s="11">
        <v>139</v>
      </c>
      <c r="E30" s="11">
        <v>157</v>
      </c>
      <c r="F30" s="11">
        <v>178</v>
      </c>
      <c r="G30" s="11">
        <v>241</v>
      </c>
      <c r="H30" s="11">
        <v>290</v>
      </c>
      <c r="I30" s="11">
        <v>385</v>
      </c>
    </row>
    <row r="31" spans="1:9" x14ac:dyDescent="0.2">
      <c r="A31" s="11" t="s">
        <v>30</v>
      </c>
      <c r="B31" s="10" t="s">
        <v>0</v>
      </c>
      <c r="C31" s="11">
        <v>297</v>
      </c>
      <c r="D31" s="11">
        <v>676</v>
      </c>
      <c r="E31" s="11">
        <v>822</v>
      </c>
      <c r="F31" s="11">
        <v>954</v>
      </c>
      <c r="G31" s="11">
        <v>1280</v>
      </c>
      <c r="H31" s="11">
        <v>1826</v>
      </c>
      <c r="I31" s="11">
        <v>1534</v>
      </c>
    </row>
    <row r="32" spans="1:9" x14ac:dyDescent="0.2">
      <c r="A32" s="11" t="s">
        <v>31</v>
      </c>
      <c r="B32" s="10" t="s">
        <v>0</v>
      </c>
      <c r="C32" s="11">
        <v>605</v>
      </c>
      <c r="D32" s="11">
        <v>844</v>
      </c>
      <c r="E32" s="11">
        <v>614</v>
      </c>
      <c r="F32" s="11">
        <v>711</v>
      </c>
      <c r="G32" s="11">
        <v>858</v>
      </c>
      <c r="H32" s="11">
        <v>1218</v>
      </c>
      <c r="I32" s="11">
        <v>1170</v>
      </c>
    </row>
    <row r="33" spans="1:9" x14ac:dyDescent="0.2">
      <c r="A33" s="11" t="s">
        <v>32</v>
      </c>
      <c r="B33" s="10" t="s">
        <v>0</v>
      </c>
      <c r="C33" s="11">
        <v>1293</v>
      </c>
      <c r="D33" s="11">
        <v>1822</v>
      </c>
      <c r="E33" s="11">
        <v>1538</v>
      </c>
      <c r="F33" s="11">
        <v>1508</v>
      </c>
      <c r="G33" s="11">
        <v>2089</v>
      </c>
      <c r="H33" s="11">
        <v>3017</v>
      </c>
      <c r="I33" s="11">
        <v>2652</v>
      </c>
    </row>
    <row r="34" spans="1:9" x14ac:dyDescent="0.2">
      <c r="A34" s="11" t="s">
        <v>33</v>
      </c>
      <c r="B34" s="10" t="s">
        <v>0</v>
      </c>
      <c r="C34" s="11">
        <v>346</v>
      </c>
      <c r="D34" s="11">
        <v>620</v>
      </c>
      <c r="E34" s="11">
        <v>660</v>
      </c>
      <c r="F34" s="11">
        <v>666</v>
      </c>
      <c r="G34" s="11">
        <v>797</v>
      </c>
      <c r="H34" s="11">
        <v>1264</v>
      </c>
      <c r="I34" s="11">
        <v>1071</v>
      </c>
    </row>
    <row r="35" spans="1:9" x14ac:dyDescent="0.2">
      <c r="A35" s="11" t="s">
        <v>34</v>
      </c>
      <c r="B35" s="10" t="s">
        <v>0</v>
      </c>
      <c r="C35" s="11">
        <v>138</v>
      </c>
      <c r="D35" s="11">
        <v>245</v>
      </c>
      <c r="E35" s="11">
        <v>296</v>
      </c>
      <c r="F35" s="11">
        <v>321</v>
      </c>
      <c r="G35" s="11">
        <v>408</v>
      </c>
      <c r="H35" s="11">
        <v>604</v>
      </c>
      <c r="I35" s="11">
        <v>532</v>
      </c>
    </row>
    <row r="36" spans="1:9" x14ac:dyDescent="0.2">
      <c r="A36" s="11" t="s">
        <v>35</v>
      </c>
      <c r="B36" s="10" t="s">
        <v>0</v>
      </c>
      <c r="C36" s="11">
        <v>5187</v>
      </c>
      <c r="D36" s="11">
        <v>10554</v>
      </c>
      <c r="E36" s="11">
        <v>11713</v>
      </c>
      <c r="F36" s="11">
        <v>10241</v>
      </c>
      <c r="G36" s="11">
        <v>12588</v>
      </c>
      <c r="H36" s="11">
        <v>14075</v>
      </c>
      <c r="I36" s="11">
        <v>12178</v>
      </c>
    </row>
    <row r="37" spans="1:9" x14ac:dyDescent="0.2">
      <c r="A37" s="11" t="s">
        <v>36</v>
      </c>
      <c r="B37" s="10" t="s">
        <v>0</v>
      </c>
      <c r="C37" s="11">
        <v>9789</v>
      </c>
      <c r="D37" s="11">
        <v>20058</v>
      </c>
      <c r="E37" s="11">
        <v>19646</v>
      </c>
      <c r="F37" s="11">
        <v>15248</v>
      </c>
      <c r="G37" s="11">
        <v>15303</v>
      </c>
      <c r="H37" s="11">
        <v>17411</v>
      </c>
      <c r="I37" s="11">
        <v>15332</v>
      </c>
    </row>
    <row r="38" spans="1:9" x14ac:dyDescent="0.2">
      <c r="A38" s="11" t="s">
        <v>37</v>
      </c>
      <c r="B38" s="10" t="s">
        <v>0</v>
      </c>
      <c r="C38" s="11">
        <v>1179</v>
      </c>
      <c r="D38" s="11">
        <v>2386</v>
      </c>
      <c r="E38" s="11">
        <v>2474</v>
      </c>
      <c r="F38" s="11">
        <v>2469</v>
      </c>
      <c r="G38" s="11">
        <v>3263</v>
      </c>
      <c r="H38" s="11">
        <v>4186</v>
      </c>
      <c r="I38" s="11">
        <v>3726</v>
      </c>
    </row>
    <row r="39" spans="1:9" x14ac:dyDescent="0.2">
      <c r="A39" s="11" t="s">
        <v>38</v>
      </c>
      <c r="B39" s="10" t="s">
        <v>0</v>
      </c>
      <c r="C39" s="11">
        <v>2062</v>
      </c>
      <c r="D39" s="11">
        <v>3717</v>
      </c>
      <c r="E39" s="11">
        <v>4039</v>
      </c>
      <c r="F39" s="11">
        <v>3642</v>
      </c>
      <c r="G39" s="11">
        <v>3855</v>
      </c>
      <c r="H39" s="11">
        <v>4225</v>
      </c>
      <c r="I39" s="11">
        <v>3814</v>
      </c>
    </row>
    <row r="40" spans="1:9" x14ac:dyDescent="0.2">
      <c r="A40" s="11" t="s">
        <v>39</v>
      </c>
      <c r="B40" s="10" t="s">
        <v>0</v>
      </c>
      <c r="C40" s="11">
        <v>9169</v>
      </c>
      <c r="D40" s="11">
        <v>18259</v>
      </c>
      <c r="E40" s="11">
        <v>18648</v>
      </c>
      <c r="F40" s="11">
        <v>16689</v>
      </c>
      <c r="G40" s="11">
        <v>17043</v>
      </c>
      <c r="H40" s="11">
        <v>17442</v>
      </c>
      <c r="I40" s="11">
        <v>14040</v>
      </c>
    </row>
    <row r="41" spans="1:9" x14ac:dyDescent="0.2">
      <c r="A41" s="11" t="s">
        <v>40</v>
      </c>
      <c r="B41" s="10" t="s">
        <v>0</v>
      </c>
      <c r="C41" s="11">
        <v>5901</v>
      </c>
      <c r="D41" s="11">
        <v>12133</v>
      </c>
      <c r="E41" s="11">
        <v>13154</v>
      </c>
      <c r="F41" s="11">
        <v>11906</v>
      </c>
      <c r="G41" s="11">
        <v>13770</v>
      </c>
      <c r="H41" s="11">
        <v>15037</v>
      </c>
      <c r="I41" s="11">
        <v>12858</v>
      </c>
    </row>
    <row r="42" spans="1:9" x14ac:dyDescent="0.2">
      <c r="A42" s="11" t="s">
        <v>41</v>
      </c>
      <c r="B42" s="10" t="s">
        <v>0</v>
      </c>
      <c r="C42" s="11">
        <v>1418</v>
      </c>
      <c r="D42" s="11">
        <v>2895</v>
      </c>
      <c r="E42" s="11">
        <v>2828</v>
      </c>
      <c r="F42" s="11">
        <v>2340</v>
      </c>
      <c r="G42" s="11">
        <v>2593</v>
      </c>
      <c r="H42" s="11">
        <v>3381</v>
      </c>
      <c r="I42" s="11">
        <v>2743</v>
      </c>
    </row>
    <row r="43" spans="1:9" x14ac:dyDescent="0.2">
      <c r="A43" s="11" t="s">
        <v>42</v>
      </c>
      <c r="B43" s="10" t="s">
        <v>0</v>
      </c>
      <c r="C43" s="11">
        <v>364</v>
      </c>
      <c r="D43" s="11">
        <v>720</v>
      </c>
      <c r="E43" s="11">
        <v>692</v>
      </c>
      <c r="F43" s="11">
        <v>649</v>
      </c>
      <c r="G43" s="11">
        <v>780</v>
      </c>
      <c r="H43" s="11">
        <v>1123</v>
      </c>
      <c r="I43" s="11">
        <v>956</v>
      </c>
    </row>
    <row r="44" spans="1:9" x14ac:dyDescent="0.2">
      <c r="A44" s="11" t="s">
        <v>43</v>
      </c>
      <c r="B44" s="10" t="s">
        <v>0</v>
      </c>
      <c r="C44" s="11">
        <v>1383</v>
      </c>
      <c r="D44" s="11">
        <v>2675</v>
      </c>
      <c r="E44" s="11">
        <v>2936</v>
      </c>
      <c r="F44" s="11">
        <v>2776</v>
      </c>
      <c r="G44" s="11">
        <v>3671</v>
      </c>
      <c r="H44" s="11">
        <v>5242</v>
      </c>
      <c r="I44" s="11">
        <v>4426</v>
      </c>
    </row>
    <row r="45" spans="1:9" x14ac:dyDescent="0.2">
      <c r="A45" s="11" t="s">
        <v>44</v>
      </c>
      <c r="B45" s="10" t="s">
        <v>0</v>
      </c>
      <c r="C45" s="11">
        <v>311</v>
      </c>
      <c r="D45" s="11">
        <v>693</v>
      </c>
      <c r="E45" s="11">
        <v>756</v>
      </c>
      <c r="F45" s="11">
        <v>691</v>
      </c>
      <c r="G45" s="11">
        <v>798</v>
      </c>
      <c r="H45" s="11">
        <v>1019</v>
      </c>
      <c r="I45" s="11">
        <v>1099</v>
      </c>
    </row>
    <row r="46" spans="1:9" x14ac:dyDescent="0.2">
      <c r="A46" s="11" t="s">
        <v>45</v>
      </c>
      <c r="B46" s="10" t="s">
        <v>0</v>
      </c>
      <c r="C46" s="11">
        <v>4117</v>
      </c>
      <c r="D46" s="11">
        <v>7323</v>
      </c>
      <c r="E46" s="11">
        <v>6726</v>
      </c>
      <c r="F46" s="11">
        <v>6907</v>
      </c>
      <c r="G46" s="11">
        <v>9116</v>
      </c>
      <c r="H46" s="11">
        <v>8738</v>
      </c>
      <c r="I46" s="11">
        <v>5503</v>
      </c>
    </row>
    <row r="47" spans="1:9" x14ac:dyDescent="0.2">
      <c r="A47" s="11" t="s">
        <v>46</v>
      </c>
      <c r="B47" s="10" t="s">
        <v>0</v>
      </c>
      <c r="C47" s="11">
        <v>26925</v>
      </c>
      <c r="D47" s="11">
        <v>49083</v>
      </c>
      <c r="E47" s="11">
        <v>53934</v>
      </c>
      <c r="F47" s="11">
        <v>45511</v>
      </c>
      <c r="G47" s="11">
        <v>44675</v>
      </c>
      <c r="H47" s="11">
        <v>46422</v>
      </c>
      <c r="I47" s="11">
        <v>38619</v>
      </c>
    </row>
    <row r="48" spans="1:9" x14ac:dyDescent="0.2">
      <c r="A48" s="11" t="s">
        <v>47</v>
      </c>
      <c r="B48" s="10" t="s">
        <v>0</v>
      </c>
      <c r="C48" s="11">
        <v>237</v>
      </c>
      <c r="D48" s="11">
        <v>588</v>
      </c>
      <c r="E48" s="11">
        <v>627</v>
      </c>
      <c r="F48" s="11">
        <v>445</v>
      </c>
      <c r="G48" s="11">
        <v>512</v>
      </c>
      <c r="H48" s="11">
        <v>712</v>
      </c>
      <c r="I48" s="11">
        <v>644</v>
      </c>
    </row>
    <row r="49" spans="1:9" x14ac:dyDescent="0.2">
      <c r="A49" s="11" t="s">
        <v>48</v>
      </c>
      <c r="B49" s="10" t="s">
        <v>0</v>
      </c>
      <c r="C49" s="11">
        <v>9925</v>
      </c>
      <c r="D49" s="11">
        <v>15180</v>
      </c>
      <c r="E49" s="11">
        <v>14311</v>
      </c>
      <c r="F49" s="11">
        <v>12960</v>
      </c>
      <c r="G49" s="11">
        <v>14308</v>
      </c>
      <c r="H49" s="11">
        <v>15784</v>
      </c>
      <c r="I49" s="11">
        <v>13436</v>
      </c>
    </row>
    <row r="50" spans="1:9" x14ac:dyDescent="0.2">
      <c r="A50" s="11" t="s">
        <v>49</v>
      </c>
      <c r="B50" s="10" t="s">
        <v>0</v>
      </c>
      <c r="C50" s="11">
        <v>865</v>
      </c>
      <c r="D50" s="11">
        <v>1904</v>
      </c>
      <c r="E50" s="11">
        <v>2209</v>
      </c>
      <c r="F50" s="11">
        <v>2069</v>
      </c>
      <c r="G50" s="11">
        <v>2380</v>
      </c>
      <c r="H50" s="11">
        <v>3171</v>
      </c>
      <c r="I50" s="11">
        <v>2735</v>
      </c>
    </row>
    <row r="51" spans="1:9" x14ac:dyDescent="0.2">
      <c r="A51" s="11" t="s">
        <v>50</v>
      </c>
      <c r="B51" s="10" t="s">
        <v>0</v>
      </c>
      <c r="C51" s="11">
        <v>474</v>
      </c>
      <c r="D51" s="11">
        <v>810</v>
      </c>
      <c r="E51" s="11">
        <v>906</v>
      </c>
      <c r="F51" s="11">
        <v>825</v>
      </c>
      <c r="G51" s="11">
        <v>958</v>
      </c>
      <c r="H51" s="11">
        <v>1110</v>
      </c>
      <c r="I51" s="11">
        <v>938</v>
      </c>
    </row>
    <row r="52" spans="1:9" x14ac:dyDescent="0.2">
      <c r="A52" s="11" t="s">
        <v>51</v>
      </c>
      <c r="B52" s="10" t="s">
        <v>0</v>
      </c>
      <c r="C52" s="11">
        <v>61070</v>
      </c>
      <c r="D52" s="11">
        <v>177173</v>
      </c>
      <c r="E52" s="11">
        <v>155744</v>
      </c>
      <c r="F52" s="11">
        <v>102814</v>
      </c>
      <c r="G52" s="11">
        <v>109050</v>
      </c>
      <c r="H52" s="11">
        <v>98676</v>
      </c>
      <c r="I52" s="11">
        <v>71470</v>
      </c>
    </row>
    <row r="53" spans="1:9" x14ac:dyDescent="0.2">
      <c r="A53" s="11" t="s">
        <v>52</v>
      </c>
      <c r="B53" s="10" t="s">
        <v>0</v>
      </c>
      <c r="C53" s="11">
        <v>960</v>
      </c>
      <c r="D53" s="11">
        <v>1778</v>
      </c>
      <c r="E53" s="11">
        <v>1709</v>
      </c>
      <c r="F53" s="11">
        <v>1769</v>
      </c>
      <c r="G53" s="11">
        <v>2485</v>
      </c>
      <c r="H53" s="11">
        <v>2803</v>
      </c>
      <c r="I53" s="11">
        <v>2056</v>
      </c>
    </row>
    <row r="54" spans="1:9" x14ac:dyDescent="0.2">
      <c r="A54" s="11" t="s">
        <v>53</v>
      </c>
      <c r="B54" s="10" t="s">
        <v>0</v>
      </c>
      <c r="C54" s="11">
        <v>108</v>
      </c>
      <c r="D54" s="11">
        <v>146</v>
      </c>
      <c r="E54" s="11">
        <v>202</v>
      </c>
      <c r="F54" s="11">
        <v>203</v>
      </c>
      <c r="G54" s="11">
        <v>288</v>
      </c>
      <c r="H54" s="11">
        <v>425</v>
      </c>
      <c r="I54" s="11">
        <v>370</v>
      </c>
    </row>
    <row r="55" spans="1:9" x14ac:dyDescent="0.2">
      <c r="A55" s="11" t="s">
        <v>54</v>
      </c>
      <c r="B55" s="10" t="s">
        <v>0</v>
      </c>
      <c r="C55" s="11">
        <v>1518</v>
      </c>
      <c r="D55" s="11">
        <v>3271</v>
      </c>
      <c r="E55" s="11">
        <v>3641</v>
      </c>
      <c r="F55" s="11">
        <v>3505</v>
      </c>
      <c r="G55" s="11">
        <v>4186</v>
      </c>
      <c r="H55" s="11">
        <v>5095</v>
      </c>
      <c r="I55" s="11">
        <v>4113</v>
      </c>
    </row>
    <row r="56" spans="1:9" x14ac:dyDescent="0.2">
      <c r="A56" s="11" t="s">
        <v>55</v>
      </c>
      <c r="B56" s="10" t="s">
        <v>0</v>
      </c>
      <c r="C56" s="11">
        <v>619</v>
      </c>
      <c r="D56" s="11">
        <v>697</v>
      </c>
      <c r="E56" s="11">
        <v>641</v>
      </c>
      <c r="F56" s="11">
        <v>589</v>
      </c>
      <c r="G56" s="11">
        <v>676</v>
      </c>
      <c r="H56" s="11">
        <v>855</v>
      </c>
      <c r="I56" s="11">
        <v>804</v>
      </c>
    </row>
    <row r="57" spans="1:9" x14ac:dyDescent="0.2">
      <c r="A57" s="11" t="s">
        <v>56</v>
      </c>
      <c r="B57" s="10" t="s">
        <v>0</v>
      </c>
      <c r="C57" s="11">
        <v>497</v>
      </c>
      <c r="D57" s="11">
        <v>1040</v>
      </c>
      <c r="E57" s="11">
        <v>1334</v>
      </c>
      <c r="F57" s="11">
        <v>1252</v>
      </c>
      <c r="G57" s="11">
        <v>1632</v>
      </c>
      <c r="H57" s="11">
        <v>2447</v>
      </c>
      <c r="I57" s="11">
        <v>2303</v>
      </c>
    </row>
    <row r="58" spans="1:9" x14ac:dyDescent="0.2">
      <c r="A58" s="11" t="s">
        <v>57</v>
      </c>
      <c r="B58" s="10" t="s">
        <v>0</v>
      </c>
      <c r="C58" s="11">
        <v>43</v>
      </c>
      <c r="D58" s="11">
        <v>80</v>
      </c>
      <c r="E58" s="11">
        <v>98</v>
      </c>
      <c r="F58" s="11">
        <v>102</v>
      </c>
      <c r="G58" s="11">
        <v>163</v>
      </c>
      <c r="H58" s="11">
        <v>306</v>
      </c>
      <c r="I58" s="11">
        <v>268</v>
      </c>
    </row>
    <row r="59" spans="1:9" x14ac:dyDescent="0.2">
      <c r="A59" s="11" t="s">
        <v>58</v>
      </c>
      <c r="B59" s="10" t="s">
        <v>0</v>
      </c>
      <c r="C59" s="11">
        <v>356</v>
      </c>
      <c r="D59" s="11">
        <v>718</v>
      </c>
      <c r="E59" s="11">
        <v>780</v>
      </c>
      <c r="F59" s="11">
        <v>746</v>
      </c>
      <c r="G59" s="11">
        <v>1048</v>
      </c>
      <c r="H59" s="11">
        <v>1370</v>
      </c>
      <c r="I59" s="11">
        <v>1226</v>
      </c>
    </row>
    <row r="60" spans="1:9" x14ac:dyDescent="0.2">
      <c r="A60" s="11" t="s">
        <v>59</v>
      </c>
      <c r="B60" s="10" t="s">
        <v>0</v>
      </c>
      <c r="C60" s="11">
        <v>391</v>
      </c>
      <c r="D60" s="11">
        <v>602</v>
      </c>
      <c r="E60" s="11">
        <v>619</v>
      </c>
      <c r="F60" s="11">
        <v>607</v>
      </c>
      <c r="G60" s="11">
        <v>739</v>
      </c>
      <c r="H60" s="11">
        <v>1035</v>
      </c>
      <c r="I60" s="11">
        <v>935</v>
      </c>
    </row>
    <row r="61" spans="1:9" x14ac:dyDescent="0.2">
      <c r="A61" s="11" t="s">
        <v>60</v>
      </c>
      <c r="B61" s="10" t="s">
        <v>0</v>
      </c>
      <c r="C61" s="11">
        <v>1461</v>
      </c>
      <c r="D61" s="11">
        <v>1384</v>
      </c>
      <c r="E61" s="11">
        <v>1026</v>
      </c>
      <c r="F61" s="11">
        <v>859</v>
      </c>
      <c r="G61" s="11">
        <v>885</v>
      </c>
      <c r="H61" s="11">
        <v>1075</v>
      </c>
      <c r="I61" s="11">
        <v>1087</v>
      </c>
    </row>
    <row r="62" spans="1:9" x14ac:dyDescent="0.2">
      <c r="A62" s="11" t="s">
        <v>61</v>
      </c>
      <c r="B62" s="10" t="s">
        <v>0</v>
      </c>
      <c r="C62" s="11">
        <v>494</v>
      </c>
      <c r="D62" s="11">
        <v>878</v>
      </c>
      <c r="E62" s="11">
        <v>1017</v>
      </c>
      <c r="F62" s="11">
        <v>953</v>
      </c>
      <c r="G62" s="11">
        <v>1183</v>
      </c>
      <c r="H62" s="11">
        <v>1943</v>
      </c>
      <c r="I62" s="11">
        <v>1569</v>
      </c>
    </row>
    <row r="63" spans="1:9" x14ac:dyDescent="0.2">
      <c r="A63" s="11" t="s">
        <v>62</v>
      </c>
      <c r="B63" s="10" t="s">
        <v>0</v>
      </c>
      <c r="C63" s="11">
        <v>379</v>
      </c>
      <c r="D63" s="11">
        <v>642</v>
      </c>
      <c r="E63" s="11">
        <v>766</v>
      </c>
      <c r="F63" s="11">
        <v>707</v>
      </c>
      <c r="G63" s="11">
        <v>1065</v>
      </c>
      <c r="H63" s="11">
        <v>1480</v>
      </c>
      <c r="I63" s="11">
        <v>1306</v>
      </c>
    </row>
    <row r="64" spans="1:9" x14ac:dyDescent="0.2">
      <c r="A64" s="11" t="s">
        <v>63</v>
      </c>
      <c r="B64" s="10" t="s">
        <v>0</v>
      </c>
      <c r="C64" s="11">
        <v>3109</v>
      </c>
      <c r="D64" s="11">
        <v>5908</v>
      </c>
      <c r="E64" s="11">
        <v>7103</v>
      </c>
      <c r="F64" s="11">
        <v>6613</v>
      </c>
      <c r="G64" s="11">
        <v>8563</v>
      </c>
      <c r="H64" s="11">
        <v>11477</v>
      </c>
      <c r="I64" s="11">
        <v>10082</v>
      </c>
    </row>
    <row r="65" spans="1:9" x14ac:dyDescent="0.2">
      <c r="A65" s="11" t="s">
        <v>64</v>
      </c>
      <c r="B65" s="10" t="s">
        <v>0</v>
      </c>
      <c r="C65" s="11">
        <v>497</v>
      </c>
      <c r="D65" s="11">
        <v>1015</v>
      </c>
      <c r="E65" s="11">
        <v>1186</v>
      </c>
      <c r="F65" s="11">
        <v>1089</v>
      </c>
      <c r="G65" s="11">
        <v>1432</v>
      </c>
      <c r="H65" s="11">
        <v>1913</v>
      </c>
      <c r="I65" s="11">
        <v>1564</v>
      </c>
    </row>
    <row r="66" spans="1:9" x14ac:dyDescent="0.2">
      <c r="A66" s="11" t="s">
        <v>65</v>
      </c>
      <c r="B66" s="10" t="s">
        <v>0</v>
      </c>
      <c r="C66" s="11">
        <v>5267</v>
      </c>
      <c r="D66" s="11">
        <v>10027</v>
      </c>
      <c r="E66" s="11">
        <v>11253</v>
      </c>
      <c r="F66" s="11">
        <v>10604</v>
      </c>
      <c r="G66" s="11">
        <v>13643</v>
      </c>
      <c r="H66" s="11">
        <v>18891</v>
      </c>
      <c r="I66" s="11">
        <v>17186</v>
      </c>
    </row>
    <row r="67" spans="1:9" x14ac:dyDescent="0.2">
      <c r="A67" s="11" t="s">
        <v>66</v>
      </c>
      <c r="B67" s="10" t="s">
        <v>0</v>
      </c>
      <c r="C67" s="11">
        <v>328</v>
      </c>
      <c r="D67" s="11">
        <v>614</v>
      </c>
      <c r="E67" s="11">
        <v>657</v>
      </c>
      <c r="F67" s="11">
        <v>610</v>
      </c>
      <c r="G67" s="11">
        <v>762</v>
      </c>
      <c r="H67" s="11">
        <v>967</v>
      </c>
      <c r="I67" s="11">
        <v>741</v>
      </c>
    </row>
    <row r="68" spans="1:9" ht="13.5" thickBot="1" x14ac:dyDescent="0.25">
      <c r="A68" s="13" t="s">
        <v>67</v>
      </c>
      <c r="B68" s="12" t="s">
        <v>0</v>
      </c>
      <c r="C68" s="11">
        <v>8098</v>
      </c>
      <c r="D68" s="11">
        <v>15190</v>
      </c>
      <c r="E68" s="11">
        <v>15823</v>
      </c>
      <c r="F68" s="11">
        <v>14169</v>
      </c>
      <c r="G68" s="11">
        <v>14437</v>
      </c>
      <c r="H68" s="11">
        <v>15491</v>
      </c>
      <c r="I68" s="11">
        <v>13124</v>
      </c>
    </row>
    <row r="69" spans="1:9" x14ac:dyDescent="0.2">
      <c r="A69" s="32" t="s">
        <v>68</v>
      </c>
      <c r="C69" s="14">
        <f>SUM(C2:C68)</f>
        <v>316317</v>
      </c>
      <c r="D69" s="14">
        <f>SUM(D2:D68)</f>
        <v>659609</v>
      </c>
      <c r="E69" s="14">
        <f t="shared" ref="E69:I69" si="0">SUM(E2:E68)</f>
        <v>647499</v>
      </c>
      <c r="F69" s="14">
        <f t="shared" si="0"/>
        <v>521027</v>
      </c>
      <c r="G69" s="14">
        <f t="shared" si="0"/>
        <v>566464</v>
      </c>
      <c r="H69" s="14">
        <f t="shared" si="0"/>
        <v>623511</v>
      </c>
      <c r="I69" s="14">
        <f t="shared" si="0"/>
        <v>506028</v>
      </c>
    </row>
    <row r="70" spans="1:9" x14ac:dyDescent="0.2">
      <c r="C70" s="17">
        <f>C69/$C$73</f>
        <v>8.2364459419521904E-2</v>
      </c>
      <c r="D70" s="17">
        <f t="shared" ref="D70:I70" si="1">D69/$C$73</f>
        <v>0.17175282616252502</v>
      </c>
      <c r="E70" s="17">
        <f t="shared" si="1"/>
        <v>0.1685995539591012</v>
      </c>
      <c r="F70" s="17">
        <f t="shared" si="1"/>
        <v>0.13566803933388102</v>
      </c>
      <c r="G70" s="17">
        <f t="shared" si="1"/>
        <v>0.14749918954915497</v>
      </c>
      <c r="H70" s="17">
        <f t="shared" si="1"/>
        <v>0.16235341906102271</v>
      </c>
      <c r="I70" s="17">
        <f t="shared" si="1"/>
        <v>0.13176251251479318</v>
      </c>
    </row>
    <row r="73" spans="1:9" x14ac:dyDescent="0.2">
      <c r="A73" s="32" t="s">
        <v>80</v>
      </c>
      <c r="C73" s="16">
        <f>SUM(C69:I69)</f>
        <v>3840455</v>
      </c>
    </row>
    <row r="75" spans="1:9" x14ac:dyDescent="0.2">
      <c r="I75" s="10"/>
    </row>
    <row r="82" spans="3:6" x14ac:dyDescent="0.2">
      <c r="F82" s="11"/>
    </row>
    <row r="83" spans="3:6" x14ac:dyDescent="0.2">
      <c r="F83" s="11"/>
    </row>
    <row r="84" spans="3:6" x14ac:dyDescent="0.2">
      <c r="C84" s="11"/>
      <c r="F84" s="11"/>
    </row>
    <row r="85" spans="3:6" x14ac:dyDescent="0.2">
      <c r="C85" s="11"/>
      <c r="F85" s="11"/>
    </row>
    <row r="87" spans="3:6" x14ac:dyDescent="0.2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" sqref="J4"/>
    </sheetView>
  </sheetViews>
  <sheetFormatPr defaultColWidth="9.140625" defaultRowHeight="12.75" x14ac:dyDescent="0.2"/>
  <cols>
    <col min="1" max="1" width="19.85546875" style="11" customWidth="1"/>
    <col min="2" max="2" width="10.7109375" style="10" customWidth="1"/>
    <col min="3" max="8" width="12.7109375" style="10" customWidth="1"/>
    <col min="9" max="9" width="9.140625" style="11"/>
    <col min="10" max="10" width="8.28515625" style="11" bestFit="1" customWidth="1"/>
    <col min="11" max="11" width="9.140625" style="11"/>
    <col min="12" max="12" width="9.28515625" style="11" customWidth="1"/>
    <col min="13" max="16384" width="9.140625" style="11"/>
  </cols>
  <sheetData>
    <row r="1" spans="1:10" x14ac:dyDescent="0.2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">
      <c r="A2" s="11" t="s">
        <v>1</v>
      </c>
      <c r="B2" s="10" t="s">
        <v>70</v>
      </c>
      <c r="C2" s="52">
        <v>2793</v>
      </c>
      <c r="D2" s="52">
        <v>5242</v>
      </c>
      <c r="E2" s="52">
        <v>5982</v>
      </c>
      <c r="F2" s="52">
        <v>6011</v>
      </c>
      <c r="G2" s="52">
        <v>9163</v>
      </c>
      <c r="H2" s="52">
        <v>8505</v>
      </c>
      <c r="I2" s="52">
        <v>6299</v>
      </c>
      <c r="J2" s="10"/>
    </row>
    <row r="3" spans="1:10" x14ac:dyDescent="0.2">
      <c r="A3" s="11" t="s">
        <v>2</v>
      </c>
      <c r="B3" s="10" t="s">
        <v>70</v>
      </c>
      <c r="C3" s="52">
        <v>18808</v>
      </c>
      <c r="D3" s="52">
        <v>38744</v>
      </c>
      <c r="E3" s="52">
        <v>39112</v>
      </c>
      <c r="F3" s="52">
        <v>36668</v>
      </c>
      <c r="G3" s="52">
        <v>48019</v>
      </c>
      <c r="H3" s="52">
        <v>46606</v>
      </c>
      <c r="I3" s="52">
        <v>35296</v>
      </c>
    </row>
    <row r="4" spans="1:10" x14ac:dyDescent="0.2">
      <c r="A4" s="11" t="s">
        <v>3</v>
      </c>
      <c r="B4" s="10" t="s">
        <v>70</v>
      </c>
      <c r="C4" s="52">
        <v>1992</v>
      </c>
      <c r="D4" s="52">
        <v>3425</v>
      </c>
      <c r="E4" s="52">
        <v>3898</v>
      </c>
      <c r="F4" s="52">
        <v>4202</v>
      </c>
      <c r="G4" s="52">
        <v>5271</v>
      </c>
      <c r="H4" s="52">
        <v>5051</v>
      </c>
      <c r="I4" s="52">
        <v>3781</v>
      </c>
    </row>
    <row r="5" spans="1:10" x14ac:dyDescent="0.2">
      <c r="A5" s="11" t="s">
        <v>4</v>
      </c>
      <c r="B5" s="10" t="s">
        <v>70</v>
      </c>
      <c r="C5" s="52">
        <v>3429</v>
      </c>
      <c r="D5" s="52">
        <v>6742</v>
      </c>
      <c r="E5" s="52">
        <v>7897</v>
      </c>
      <c r="F5" s="52">
        <v>7706</v>
      </c>
      <c r="G5" s="52">
        <v>10038</v>
      </c>
      <c r="H5" s="52">
        <v>9404</v>
      </c>
      <c r="I5" s="52">
        <v>6649</v>
      </c>
    </row>
    <row r="6" spans="1:10" x14ac:dyDescent="0.2">
      <c r="A6" s="11" t="s">
        <v>5</v>
      </c>
      <c r="B6" s="10" t="s">
        <v>70</v>
      </c>
      <c r="C6" s="52">
        <v>1684</v>
      </c>
      <c r="D6" s="52">
        <v>3063</v>
      </c>
      <c r="E6" s="52">
        <v>3269</v>
      </c>
      <c r="F6" s="52">
        <v>3627</v>
      </c>
      <c r="G6" s="52">
        <v>4740</v>
      </c>
      <c r="H6" s="52">
        <v>4742</v>
      </c>
      <c r="I6" s="52">
        <v>3457</v>
      </c>
    </row>
    <row r="7" spans="1:10" x14ac:dyDescent="0.2">
      <c r="A7" s="11" t="s">
        <v>6</v>
      </c>
      <c r="B7" s="10" t="s">
        <v>70</v>
      </c>
      <c r="C7" s="52">
        <v>8171</v>
      </c>
      <c r="D7" s="52">
        <v>14631</v>
      </c>
      <c r="E7" s="52">
        <v>16848</v>
      </c>
      <c r="F7" s="52">
        <v>17508</v>
      </c>
      <c r="G7" s="52">
        <v>23879</v>
      </c>
      <c r="H7" s="52">
        <v>20798</v>
      </c>
      <c r="I7" s="52">
        <v>16314</v>
      </c>
    </row>
    <row r="8" spans="1:10" x14ac:dyDescent="0.2">
      <c r="A8" s="11" t="s">
        <v>7</v>
      </c>
      <c r="B8" s="10" t="s">
        <v>70</v>
      </c>
      <c r="C8" s="52">
        <v>3552</v>
      </c>
      <c r="D8" s="52">
        <v>5864</v>
      </c>
      <c r="E8" s="52">
        <v>6880</v>
      </c>
      <c r="F8" s="52">
        <v>7724</v>
      </c>
      <c r="G8" s="52">
        <v>9468</v>
      </c>
      <c r="H8" s="52">
        <v>9303</v>
      </c>
      <c r="I8" s="52">
        <v>7848</v>
      </c>
    </row>
    <row r="9" spans="1:10" x14ac:dyDescent="0.2">
      <c r="A9" s="11" t="s">
        <v>8</v>
      </c>
      <c r="B9" s="10" t="s">
        <v>70</v>
      </c>
      <c r="C9" s="52">
        <v>1845</v>
      </c>
      <c r="D9" s="52">
        <v>3166</v>
      </c>
      <c r="E9" s="52">
        <v>3614</v>
      </c>
      <c r="F9" s="52">
        <v>3648</v>
      </c>
      <c r="G9" s="52">
        <v>4979</v>
      </c>
      <c r="H9" s="52">
        <v>4619</v>
      </c>
      <c r="I9" s="52">
        <v>3769</v>
      </c>
    </row>
    <row r="10" spans="1:10" x14ac:dyDescent="0.2">
      <c r="A10" s="11" t="s">
        <v>9</v>
      </c>
      <c r="B10" s="10" t="s">
        <v>70</v>
      </c>
      <c r="C10" s="52">
        <v>14068</v>
      </c>
      <c r="D10" s="52">
        <v>24238</v>
      </c>
      <c r="E10" s="52">
        <v>26459</v>
      </c>
      <c r="F10" s="52">
        <v>28637</v>
      </c>
      <c r="G10" s="52">
        <v>41996</v>
      </c>
      <c r="H10" s="52">
        <v>37496</v>
      </c>
      <c r="I10" s="52">
        <v>29168</v>
      </c>
    </row>
    <row r="11" spans="1:10" x14ac:dyDescent="0.2">
      <c r="A11" s="11" t="s">
        <v>10</v>
      </c>
      <c r="B11" s="10" t="s">
        <v>70</v>
      </c>
      <c r="C11" s="52">
        <v>5863</v>
      </c>
      <c r="D11" s="52">
        <v>10888</v>
      </c>
      <c r="E11" s="52">
        <v>12176</v>
      </c>
      <c r="F11" s="52">
        <v>12322</v>
      </c>
      <c r="G11" s="52">
        <v>16365</v>
      </c>
      <c r="H11" s="52">
        <v>14595</v>
      </c>
      <c r="I11" s="52">
        <v>10680</v>
      </c>
    </row>
    <row r="12" spans="1:10" x14ac:dyDescent="0.2">
      <c r="A12" s="11" t="s">
        <v>11</v>
      </c>
      <c r="B12" s="10" t="s">
        <v>70</v>
      </c>
      <c r="C12" s="52">
        <v>3573</v>
      </c>
      <c r="D12" s="52">
        <v>5790</v>
      </c>
      <c r="E12" s="52">
        <v>6336</v>
      </c>
      <c r="F12" s="52">
        <v>7214</v>
      </c>
      <c r="G12" s="52">
        <v>8577</v>
      </c>
      <c r="H12" s="52">
        <v>8544</v>
      </c>
      <c r="I12" s="52">
        <v>6473</v>
      </c>
    </row>
    <row r="13" spans="1:10" x14ac:dyDescent="0.2">
      <c r="A13" s="11" t="s">
        <v>12</v>
      </c>
      <c r="B13" s="10" t="s">
        <v>70</v>
      </c>
      <c r="C13" s="52">
        <v>88</v>
      </c>
      <c r="D13" s="52">
        <v>163</v>
      </c>
      <c r="E13" s="52">
        <v>210</v>
      </c>
      <c r="F13" s="52">
        <v>232</v>
      </c>
      <c r="G13" s="52">
        <v>383</v>
      </c>
      <c r="H13" s="52">
        <v>418</v>
      </c>
      <c r="I13" s="52">
        <v>345</v>
      </c>
    </row>
    <row r="14" spans="1:10" x14ac:dyDescent="0.2">
      <c r="A14" s="11" t="s">
        <v>13</v>
      </c>
      <c r="B14" s="10" t="s">
        <v>70</v>
      </c>
      <c r="C14" s="52">
        <v>1538</v>
      </c>
      <c r="D14" s="52">
        <v>2841</v>
      </c>
      <c r="E14" s="52">
        <v>3307</v>
      </c>
      <c r="F14" s="52">
        <v>3640</v>
      </c>
      <c r="G14" s="52">
        <v>5018</v>
      </c>
      <c r="H14" s="52">
        <v>4451</v>
      </c>
      <c r="I14" s="52">
        <v>3059</v>
      </c>
    </row>
    <row r="15" spans="1:10" x14ac:dyDescent="0.2">
      <c r="A15" s="11" t="s">
        <v>14</v>
      </c>
      <c r="B15" s="10" t="s">
        <v>70</v>
      </c>
      <c r="C15" s="52">
        <v>5483</v>
      </c>
      <c r="D15" s="52">
        <v>5838</v>
      </c>
      <c r="E15" s="52">
        <v>5215</v>
      </c>
      <c r="F15" s="52">
        <v>5293</v>
      </c>
      <c r="G15" s="52">
        <v>7420</v>
      </c>
      <c r="H15" s="52">
        <v>6859</v>
      </c>
      <c r="I15" s="52">
        <v>5704</v>
      </c>
    </row>
    <row r="16" spans="1:10" x14ac:dyDescent="0.2">
      <c r="A16" s="11" t="s">
        <v>15</v>
      </c>
      <c r="B16" s="10" t="s">
        <v>70</v>
      </c>
      <c r="C16" s="52">
        <v>10895</v>
      </c>
      <c r="D16" s="52">
        <v>18992</v>
      </c>
      <c r="E16" s="52">
        <v>19578</v>
      </c>
      <c r="F16" s="52">
        <v>21751</v>
      </c>
      <c r="G16" s="52">
        <v>31292</v>
      </c>
      <c r="H16" s="52">
        <v>27190</v>
      </c>
      <c r="I16" s="52">
        <v>22235</v>
      </c>
    </row>
    <row r="17" spans="1:9" x14ac:dyDescent="0.2">
      <c r="A17" s="11" t="s">
        <v>16</v>
      </c>
      <c r="B17" s="10" t="s">
        <v>70</v>
      </c>
      <c r="C17" s="52">
        <v>1107</v>
      </c>
      <c r="D17" s="52">
        <v>1891</v>
      </c>
      <c r="E17" s="52">
        <v>2128</v>
      </c>
      <c r="F17" s="52">
        <v>2359</v>
      </c>
      <c r="G17" s="52">
        <v>3103</v>
      </c>
      <c r="H17" s="52">
        <v>2796</v>
      </c>
      <c r="I17" s="52">
        <v>2175</v>
      </c>
    </row>
    <row r="18" spans="1:9" x14ac:dyDescent="0.2">
      <c r="A18" s="11" t="s">
        <v>17</v>
      </c>
      <c r="B18" s="10" t="s">
        <v>70</v>
      </c>
      <c r="C18" s="52">
        <v>2040</v>
      </c>
      <c r="D18" s="52">
        <v>3905</v>
      </c>
      <c r="E18" s="52">
        <v>4387</v>
      </c>
      <c r="F18" s="52">
        <v>4926</v>
      </c>
      <c r="G18" s="52">
        <v>6294</v>
      </c>
      <c r="H18" s="52">
        <v>5723</v>
      </c>
      <c r="I18" s="52">
        <v>4165</v>
      </c>
    </row>
    <row r="19" spans="1:9" x14ac:dyDescent="0.2">
      <c r="A19" s="11" t="s">
        <v>18</v>
      </c>
      <c r="B19" s="10" t="s">
        <v>70</v>
      </c>
      <c r="C19" s="52">
        <v>982</v>
      </c>
      <c r="D19" s="52">
        <v>1733</v>
      </c>
      <c r="E19" s="52">
        <v>1852</v>
      </c>
      <c r="F19" s="52">
        <v>2084</v>
      </c>
      <c r="G19" s="52">
        <v>2536</v>
      </c>
      <c r="H19" s="52">
        <v>2333</v>
      </c>
      <c r="I19" s="52">
        <v>1774</v>
      </c>
    </row>
    <row r="20" spans="1:9" x14ac:dyDescent="0.2">
      <c r="A20" s="11" t="s">
        <v>19</v>
      </c>
      <c r="B20" s="10" t="s">
        <v>70</v>
      </c>
      <c r="C20" s="52">
        <v>1713</v>
      </c>
      <c r="D20" s="52">
        <v>2867</v>
      </c>
      <c r="E20" s="52">
        <v>3021</v>
      </c>
      <c r="F20" s="52">
        <v>3348</v>
      </c>
      <c r="G20" s="52">
        <v>4268</v>
      </c>
      <c r="H20" s="52">
        <v>4089</v>
      </c>
      <c r="I20" s="52">
        <v>3173</v>
      </c>
    </row>
    <row r="21" spans="1:9" x14ac:dyDescent="0.2">
      <c r="A21" s="11" t="s">
        <v>20</v>
      </c>
      <c r="B21" s="10" t="s">
        <v>70</v>
      </c>
      <c r="C21" s="52">
        <v>2155</v>
      </c>
      <c r="D21" s="52">
        <v>3809</v>
      </c>
      <c r="E21" s="52">
        <v>4330</v>
      </c>
      <c r="F21" s="52">
        <v>4636</v>
      </c>
      <c r="G21" s="52">
        <v>6198</v>
      </c>
      <c r="H21" s="52">
        <v>5965</v>
      </c>
      <c r="I21" s="52">
        <v>4807</v>
      </c>
    </row>
    <row r="22" spans="1:9" x14ac:dyDescent="0.2">
      <c r="A22" s="11" t="s">
        <v>21</v>
      </c>
      <c r="B22" s="10" t="s">
        <v>70</v>
      </c>
      <c r="C22" s="52">
        <v>5864</v>
      </c>
      <c r="D22" s="52">
        <v>10975</v>
      </c>
      <c r="E22" s="52">
        <v>12447</v>
      </c>
      <c r="F22" s="52">
        <v>12846</v>
      </c>
      <c r="G22" s="52">
        <v>16850</v>
      </c>
      <c r="H22" s="52">
        <v>15736</v>
      </c>
      <c r="I22" s="52">
        <v>13785</v>
      </c>
    </row>
    <row r="23" spans="1:9" x14ac:dyDescent="0.2">
      <c r="A23" s="11" t="s">
        <v>22</v>
      </c>
      <c r="B23" s="10" t="s">
        <v>70</v>
      </c>
      <c r="C23" s="52">
        <v>4866</v>
      </c>
      <c r="D23" s="52">
        <v>9770</v>
      </c>
      <c r="E23" s="52">
        <v>10874</v>
      </c>
      <c r="F23" s="52">
        <v>11019</v>
      </c>
      <c r="G23" s="52">
        <v>14834</v>
      </c>
      <c r="H23" s="52">
        <v>13993</v>
      </c>
      <c r="I23" s="52">
        <v>10740</v>
      </c>
    </row>
    <row r="24" spans="1:9" x14ac:dyDescent="0.2">
      <c r="A24" s="11" t="s">
        <v>23</v>
      </c>
      <c r="B24" s="10" t="s">
        <v>70</v>
      </c>
      <c r="C24" s="52">
        <v>9585</v>
      </c>
      <c r="D24" s="52">
        <v>17624</v>
      </c>
      <c r="E24" s="52">
        <v>19777</v>
      </c>
      <c r="F24" s="52">
        <v>19672</v>
      </c>
      <c r="G24" s="52">
        <v>28047</v>
      </c>
      <c r="H24" s="52">
        <v>27068</v>
      </c>
      <c r="I24" s="52">
        <v>21222</v>
      </c>
    </row>
    <row r="25" spans="1:9" x14ac:dyDescent="0.2">
      <c r="A25" s="11" t="s">
        <v>24</v>
      </c>
      <c r="B25" s="10" t="s">
        <v>70</v>
      </c>
      <c r="C25" s="52">
        <v>826</v>
      </c>
      <c r="D25" s="52">
        <v>1483</v>
      </c>
      <c r="E25" s="52">
        <v>1652</v>
      </c>
      <c r="F25" s="52">
        <v>1755</v>
      </c>
      <c r="G25" s="52">
        <v>2512</v>
      </c>
      <c r="H25" s="52">
        <v>2299</v>
      </c>
      <c r="I25" s="52">
        <v>1596</v>
      </c>
    </row>
    <row r="26" spans="1:9" x14ac:dyDescent="0.2">
      <c r="A26" s="11" t="s">
        <v>25</v>
      </c>
      <c r="B26" s="10" t="s">
        <v>70</v>
      </c>
      <c r="C26" s="52">
        <v>5427</v>
      </c>
      <c r="D26" s="52">
        <v>9458</v>
      </c>
      <c r="E26" s="52">
        <v>10255</v>
      </c>
      <c r="F26" s="52">
        <v>10808</v>
      </c>
      <c r="G26" s="52">
        <v>13775</v>
      </c>
      <c r="H26" s="52">
        <v>12093</v>
      </c>
      <c r="I26" s="52">
        <v>9126</v>
      </c>
    </row>
    <row r="27" spans="1:9" x14ac:dyDescent="0.2">
      <c r="A27" s="11" t="s">
        <v>26</v>
      </c>
      <c r="B27" s="10" t="s">
        <v>70</v>
      </c>
      <c r="C27" s="52">
        <v>2813</v>
      </c>
      <c r="D27" s="52">
        <v>5820</v>
      </c>
      <c r="E27" s="52">
        <v>6228</v>
      </c>
      <c r="F27" s="52">
        <v>6759</v>
      </c>
      <c r="G27" s="52">
        <v>7926</v>
      </c>
      <c r="H27" s="52">
        <v>6947</v>
      </c>
      <c r="I27" s="52">
        <v>4810</v>
      </c>
    </row>
    <row r="28" spans="1:9" x14ac:dyDescent="0.2">
      <c r="A28" s="11" t="s">
        <v>27</v>
      </c>
      <c r="B28" s="10" t="s">
        <v>70</v>
      </c>
      <c r="C28" s="52">
        <v>104</v>
      </c>
      <c r="D28" s="52">
        <v>141</v>
      </c>
      <c r="E28" s="52">
        <v>195</v>
      </c>
      <c r="F28" s="52">
        <v>274</v>
      </c>
      <c r="G28" s="52">
        <v>440</v>
      </c>
      <c r="H28" s="52">
        <v>499</v>
      </c>
      <c r="I28" s="52">
        <v>387</v>
      </c>
    </row>
    <row r="29" spans="1:9" x14ac:dyDescent="0.2">
      <c r="A29" s="11" t="s">
        <v>28</v>
      </c>
      <c r="B29" s="10" t="s">
        <v>70</v>
      </c>
      <c r="C29" s="52">
        <v>4260</v>
      </c>
      <c r="D29" s="52">
        <v>8081</v>
      </c>
      <c r="E29" s="52">
        <v>9087</v>
      </c>
      <c r="F29" s="52">
        <v>9816</v>
      </c>
      <c r="G29" s="52">
        <v>12472</v>
      </c>
      <c r="H29" s="52">
        <v>11165</v>
      </c>
      <c r="I29" s="52">
        <v>9479</v>
      </c>
    </row>
    <row r="30" spans="1:9" x14ac:dyDescent="0.2">
      <c r="A30" s="11" t="s">
        <v>29</v>
      </c>
      <c r="B30" s="10" t="s">
        <v>70</v>
      </c>
      <c r="C30" s="52">
        <v>532</v>
      </c>
      <c r="D30" s="52">
        <v>996</v>
      </c>
      <c r="E30" s="52">
        <v>1001</v>
      </c>
      <c r="F30" s="52">
        <v>1161</v>
      </c>
      <c r="G30" s="52">
        <v>1466</v>
      </c>
      <c r="H30" s="52">
        <v>1339</v>
      </c>
      <c r="I30" s="52">
        <v>980</v>
      </c>
    </row>
    <row r="31" spans="1:9" x14ac:dyDescent="0.2">
      <c r="A31" s="11" t="s">
        <v>30</v>
      </c>
      <c r="B31" s="10" t="s">
        <v>70</v>
      </c>
      <c r="C31" s="52">
        <v>986</v>
      </c>
      <c r="D31" s="52">
        <v>1760</v>
      </c>
      <c r="E31" s="52">
        <v>1778</v>
      </c>
      <c r="F31" s="52">
        <v>2066</v>
      </c>
      <c r="G31" s="52">
        <v>2242</v>
      </c>
      <c r="H31" s="52">
        <v>1949</v>
      </c>
      <c r="I31" s="52">
        <v>1368</v>
      </c>
    </row>
    <row r="32" spans="1:9" x14ac:dyDescent="0.2">
      <c r="A32" s="11" t="s">
        <v>31</v>
      </c>
      <c r="B32" s="10" t="s">
        <v>70</v>
      </c>
      <c r="C32" s="52">
        <v>1379</v>
      </c>
      <c r="D32" s="52">
        <v>2297</v>
      </c>
      <c r="E32" s="52">
        <v>2476</v>
      </c>
      <c r="F32" s="52">
        <v>2770</v>
      </c>
      <c r="G32" s="52">
        <v>3680</v>
      </c>
      <c r="H32" s="52">
        <v>3496</v>
      </c>
      <c r="I32" s="52">
        <v>2803</v>
      </c>
    </row>
    <row r="33" spans="1:9" x14ac:dyDescent="0.2">
      <c r="A33" s="11" t="s">
        <v>32</v>
      </c>
      <c r="B33" s="10" t="s">
        <v>70</v>
      </c>
      <c r="C33" s="52">
        <v>2444</v>
      </c>
      <c r="D33" s="52">
        <v>3554</v>
      </c>
      <c r="E33" s="52">
        <v>3972</v>
      </c>
      <c r="F33" s="52">
        <v>4407</v>
      </c>
      <c r="G33" s="52">
        <v>5376</v>
      </c>
      <c r="H33" s="52">
        <v>5219</v>
      </c>
      <c r="I33" s="52">
        <v>3914</v>
      </c>
    </row>
    <row r="34" spans="1:9" x14ac:dyDescent="0.2">
      <c r="A34" s="11" t="s">
        <v>33</v>
      </c>
      <c r="B34" s="10" t="s">
        <v>70</v>
      </c>
      <c r="C34" s="52">
        <v>1359</v>
      </c>
      <c r="D34" s="52">
        <v>2364</v>
      </c>
      <c r="E34" s="52">
        <v>2837</v>
      </c>
      <c r="F34" s="52">
        <v>2847</v>
      </c>
      <c r="G34" s="52">
        <v>3689</v>
      </c>
      <c r="H34" s="52">
        <v>3624</v>
      </c>
      <c r="I34" s="52">
        <v>2710</v>
      </c>
    </row>
    <row r="35" spans="1:9" x14ac:dyDescent="0.2">
      <c r="A35" s="11" t="s">
        <v>34</v>
      </c>
      <c r="B35" s="10" t="s">
        <v>70</v>
      </c>
      <c r="C35" s="52">
        <v>670</v>
      </c>
      <c r="D35" s="52">
        <v>1271</v>
      </c>
      <c r="E35" s="52">
        <v>1371</v>
      </c>
      <c r="F35" s="52">
        <v>1510</v>
      </c>
      <c r="G35" s="52">
        <v>1966</v>
      </c>
      <c r="H35" s="52">
        <v>1801</v>
      </c>
      <c r="I35" s="52">
        <v>1436</v>
      </c>
    </row>
    <row r="36" spans="1:9" x14ac:dyDescent="0.2">
      <c r="A36" s="11" t="s">
        <v>35</v>
      </c>
      <c r="B36" s="10" t="s">
        <v>70</v>
      </c>
      <c r="C36" s="52">
        <v>4230</v>
      </c>
      <c r="D36" s="52">
        <v>7258</v>
      </c>
      <c r="E36" s="52">
        <v>7844</v>
      </c>
      <c r="F36" s="52">
        <v>8204</v>
      </c>
      <c r="G36" s="52">
        <v>10002</v>
      </c>
      <c r="H36" s="52">
        <v>8275</v>
      </c>
      <c r="I36" s="52">
        <v>6471</v>
      </c>
    </row>
    <row r="37" spans="1:9" x14ac:dyDescent="0.2">
      <c r="A37" s="11" t="s">
        <v>36</v>
      </c>
      <c r="B37" s="10" t="s">
        <v>70</v>
      </c>
      <c r="C37" s="52">
        <v>13041</v>
      </c>
      <c r="D37" s="52">
        <v>24463</v>
      </c>
      <c r="E37" s="52">
        <v>26243</v>
      </c>
      <c r="F37" s="52">
        <v>25289</v>
      </c>
      <c r="G37" s="52">
        <v>32890</v>
      </c>
      <c r="H37" s="52">
        <v>32710</v>
      </c>
      <c r="I37" s="52">
        <v>29225</v>
      </c>
    </row>
    <row r="38" spans="1:9" x14ac:dyDescent="0.2">
      <c r="A38" s="11" t="s">
        <v>37</v>
      </c>
      <c r="B38" s="10" t="s">
        <v>70</v>
      </c>
      <c r="C38" s="52">
        <v>2373</v>
      </c>
      <c r="D38" s="52">
        <v>3838</v>
      </c>
      <c r="E38" s="52">
        <v>4267</v>
      </c>
      <c r="F38" s="52">
        <v>4607</v>
      </c>
      <c r="G38" s="52">
        <v>5539</v>
      </c>
      <c r="H38" s="52">
        <v>5352</v>
      </c>
      <c r="I38" s="52">
        <v>4151</v>
      </c>
    </row>
    <row r="39" spans="1:9" x14ac:dyDescent="0.2">
      <c r="A39" s="11" t="s">
        <v>38</v>
      </c>
      <c r="B39" s="10" t="s">
        <v>70</v>
      </c>
      <c r="C39" s="52">
        <v>3401</v>
      </c>
      <c r="D39" s="52">
        <v>6236</v>
      </c>
      <c r="E39" s="52">
        <v>7113</v>
      </c>
      <c r="F39" s="52">
        <v>7760</v>
      </c>
      <c r="G39" s="52">
        <v>9864</v>
      </c>
      <c r="H39" s="52">
        <v>9740</v>
      </c>
      <c r="I39" s="52">
        <v>8502</v>
      </c>
    </row>
    <row r="40" spans="1:9" x14ac:dyDescent="0.2">
      <c r="A40" s="11" t="s">
        <v>39</v>
      </c>
      <c r="B40" s="10" t="s">
        <v>70</v>
      </c>
      <c r="C40" s="52">
        <v>5929</v>
      </c>
      <c r="D40" s="52">
        <v>11526</v>
      </c>
      <c r="E40" s="52">
        <v>12599</v>
      </c>
      <c r="F40" s="52">
        <v>13203</v>
      </c>
      <c r="G40" s="52">
        <v>17383</v>
      </c>
      <c r="H40" s="52">
        <v>16013</v>
      </c>
      <c r="I40" s="52">
        <v>12904</v>
      </c>
    </row>
    <row r="41" spans="1:9" x14ac:dyDescent="0.2">
      <c r="A41" s="11" t="s">
        <v>40</v>
      </c>
      <c r="B41" s="10" t="s">
        <v>70</v>
      </c>
      <c r="C41" s="52">
        <v>5919</v>
      </c>
      <c r="D41" s="52">
        <v>11238</v>
      </c>
      <c r="E41" s="52">
        <v>13150</v>
      </c>
      <c r="F41" s="52">
        <v>13901</v>
      </c>
      <c r="G41" s="52">
        <v>18403</v>
      </c>
      <c r="H41" s="52">
        <v>15653</v>
      </c>
      <c r="I41" s="52">
        <v>12793</v>
      </c>
    </row>
    <row r="42" spans="1:9" x14ac:dyDescent="0.2">
      <c r="A42" s="11" t="s">
        <v>41</v>
      </c>
      <c r="B42" s="10" t="s">
        <v>70</v>
      </c>
      <c r="C42" s="52">
        <v>2869</v>
      </c>
      <c r="D42" s="52">
        <v>4960</v>
      </c>
      <c r="E42" s="52">
        <v>6295</v>
      </c>
      <c r="F42" s="52">
        <v>6372</v>
      </c>
      <c r="G42" s="52">
        <v>8217</v>
      </c>
      <c r="H42" s="52">
        <v>8485</v>
      </c>
      <c r="I42" s="52">
        <v>6628</v>
      </c>
    </row>
    <row r="43" spans="1:9" x14ac:dyDescent="0.2">
      <c r="A43" s="11" t="s">
        <v>42</v>
      </c>
      <c r="B43" s="10" t="s">
        <v>70</v>
      </c>
      <c r="C43" s="52">
        <v>1041</v>
      </c>
      <c r="D43" s="52">
        <v>1850</v>
      </c>
      <c r="E43" s="52">
        <v>2193</v>
      </c>
      <c r="F43" s="52">
        <v>2425</v>
      </c>
      <c r="G43" s="52">
        <v>3204</v>
      </c>
      <c r="H43" s="52">
        <v>3090</v>
      </c>
      <c r="I43" s="52">
        <v>2362</v>
      </c>
    </row>
    <row r="44" spans="1:9" x14ac:dyDescent="0.2">
      <c r="A44" s="11" t="s">
        <v>43</v>
      </c>
      <c r="B44" s="10" t="s">
        <v>70</v>
      </c>
      <c r="C44" s="52">
        <v>2947</v>
      </c>
      <c r="D44" s="52">
        <v>4976</v>
      </c>
      <c r="E44" s="52">
        <v>4994</v>
      </c>
      <c r="F44" s="52">
        <v>5499</v>
      </c>
      <c r="G44" s="52">
        <v>7204</v>
      </c>
      <c r="H44" s="52">
        <v>6977</v>
      </c>
      <c r="I44" s="52">
        <v>5664</v>
      </c>
    </row>
    <row r="45" spans="1:9" x14ac:dyDescent="0.2">
      <c r="A45" s="11" t="s">
        <v>44</v>
      </c>
      <c r="B45" s="10" t="s">
        <v>70</v>
      </c>
      <c r="C45" s="52">
        <v>1134</v>
      </c>
      <c r="D45" s="52">
        <v>2338</v>
      </c>
      <c r="E45" s="52">
        <v>2488</v>
      </c>
      <c r="F45" s="52">
        <v>2687</v>
      </c>
      <c r="G45" s="52">
        <v>3729</v>
      </c>
      <c r="H45" s="52">
        <v>3397</v>
      </c>
      <c r="I45" s="52">
        <v>2852</v>
      </c>
    </row>
    <row r="46" spans="1:9" x14ac:dyDescent="0.2">
      <c r="A46" s="11" t="s">
        <v>45</v>
      </c>
      <c r="B46" s="10" t="s">
        <v>70</v>
      </c>
      <c r="C46" s="52">
        <v>2549</v>
      </c>
      <c r="D46" s="52">
        <v>5207</v>
      </c>
      <c r="E46" s="52">
        <v>6129</v>
      </c>
      <c r="F46" s="52">
        <v>6491</v>
      </c>
      <c r="G46" s="52">
        <v>9353</v>
      </c>
      <c r="H46" s="52">
        <v>8367</v>
      </c>
      <c r="I46" s="52">
        <v>5183</v>
      </c>
    </row>
    <row r="47" spans="1:9" x14ac:dyDescent="0.2">
      <c r="A47" s="11" t="s">
        <v>46</v>
      </c>
      <c r="B47" s="10" t="s">
        <v>70</v>
      </c>
      <c r="C47" s="52">
        <v>14148</v>
      </c>
      <c r="D47" s="52">
        <v>26053</v>
      </c>
      <c r="E47" s="52">
        <v>28135</v>
      </c>
      <c r="F47" s="52">
        <v>29162</v>
      </c>
      <c r="G47" s="52">
        <v>41267</v>
      </c>
      <c r="H47" s="52">
        <v>37698</v>
      </c>
      <c r="I47" s="52">
        <v>31474</v>
      </c>
    </row>
    <row r="48" spans="1:9" x14ac:dyDescent="0.2">
      <c r="A48" s="11" t="s">
        <v>47</v>
      </c>
      <c r="B48" s="10" t="s">
        <v>70</v>
      </c>
      <c r="C48" s="52">
        <v>409</v>
      </c>
      <c r="D48" s="52">
        <v>812</v>
      </c>
      <c r="E48" s="52">
        <v>936</v>
      </c>
      <c r="F48" s="52">
        <v>878</v>
      </c>
      <c r="G48" s="52">
        <v>1218</v>
      </c>
      <c r="H48" s="52">
        <v>1236</v>
      </c>
      <c r="I48" s="52">
        <v>1062</v>
      </c>
    </row>
    <row r="49" spans="1:9" x14ac:dyDescent="0.2">
      <c r="A49" s="11" t="s">
        <v>48</v>
      </c>
      <c r="B49" s="10" t="s">
        <v>70</v>
      </c>
      <c r="C49" s="52">
        <v>6178</v>
      </c>
      <c r="D49" s="52">
        <v>11238</v>
      </c>
      <c r="E49" s="52">
        <v>11860</v>
      </c>
      <c r="F49" s="52">
        <v>12509</v>
      </c>
      <c r="G49" s="52">
        <v>17475</v>
      </c>
      <c r="H49" s="52">
        <v>15443</v>
      </c>
      <c r="I49" s="52">
        <v>12226</v>
      </c>
    </row>
    <row r="50" spans="1:9" x14ac:dyDescent="0.2">
      <c r="A50" s="11" t="s">
        <v>49</v>
      </c>
      <c r="B50" s="10" t="s">
        <v>70</v>
      </c>
      <c r="C50" s="52">
        <v>2014</v>
      </c>
      <c r="D50" s="52">
        <v>3654</v>
      </c>
      <c r="E50" s="52">
        <v>4616</v>
      </c>
      <c r="F50" s="52">
        <v>4808</v>
      </c>
      <c r="G50" s="52">
        <v>6202</v>
      </c>
      <c r="H50" s="52">
        <v>5958</v>
      </c>
      <c r="I50" s="52">
        <v>4690</v>
      </c>
    </row>
    <row r="51" spans="1:9" x14ac:dyDescent="0.2">
      <c r="A51" s="11" t="s">
        <v>50</v>
      </c>
      <c r="B51" s="10" t="s">
        <v>70</v>
      </c>
      <c r="C51" s="52">
        <v>1428</v>
      </c>
      <c r="D51" s="52">
        <v>2636</v>
      </c>
      <c r="E51" s="52">
        <v>3053</v>
      </c>
      <c r="F51" s="52">
        <v>3218</v>
      </c>
      <c r="G51" s="52">
        <v>4251</v>
      </c>
      <c r="H51" s="52">
        <v>3800</v>
      </c>
      <c r="I51" s="52">
        <v>2562</v>
      </c>
    </row>
    <row r="52" spans="1:9" x14ac:dyDescent="0.2">
      <c r="A52" s="11" t="s">
        <v>51</v>
      </c>
      <c r="B52" s="10" t="s">
        <v>70</v>
      </c>
      <c r="C52" s="52">
        <v>9980</v>
      </c>
      <c r="D52" s="52">
        <v>25823</v>
      </c>
      <c r="E52" s="52">
        <v>23654</v>
      </c>
      <c r="F52" s="52">
        <v>18676</v>
      </c>
      <c r="G52" s="52">
        <v>20704</v>
      </c>
      <c r="H52" s="52">
        <v>18096</v>
      </c>
      <c r="I52" s="52">
        <v>14289</v>
      </c>
    </row>
    <row r="53" spans="1:9" x14ac:dyDescent="0.2">
      <c r="A53" s="11" t="s">
        <v>52</v>
      </c>
      <c r="B53" s="10" t="s">
        <v>70</v>
      </c>
      <c r="C53" s="52">
        <v>1241</v>
      </c>
      <c r="D53" s="52">
        <v>2408</v>
      </c>
      <c r="E53" s="52">
        <v>2968</v>
      </c>
      <c r="F53" s="52">
        <v>3251</v>
      </c>
      <c r="G53" s="52">
        <v>5206</v>
      </c>
      <c r="H53" s="52">
        <v>4692</v>
      </c>
      <c r="I53" s="52">
        <v>3233</v>
      </c>
    </row>
    <row r="54" spans="1:9" x14ac:dyDescent="0.2">
      <c r="A54" s="11" t="s">
        <v>53</v>
      </c>
      <c r="B54" s="10" t="s">
        <v>70</v>
      </c>
      <c r="C54" s="52">
        <v>505</v>
      </c>
      <c r="D54" s="52">
        <v>919</v>
      </c>
      <c r="E54" s="52">
        <v>1045</v>
      </c>
      <c r="F54" s="52">
        <v>1078</v>
      </c>
      <c r="G54" s="52">
        <v>1554</v>
      </c>
      <c r="H54" s="52">
        <v>1613</v>
      </c>
      <c r="I54" s="52">
        <v>1296</v>
      </c>
    </row>
    <row r="55" spans="1:9" x14ac:dyDescent="0.2">
      <c r="A55" s="11" t="s">
        <v>54</v>
      </c>
      <c r="B55" s="10" t="s">
        <v>70</v>
      </c>
      <c r="C55" s="52">
        <v>3681</v>
      </c>
      <c r="D55" s="52">
        <v>6278</v>
      </c>
      <c r="E55" s="52">
        <v>7365</v>
      </c>
      <c r="F55" s="52">
        <v>8353</v>
      </c>
      <c r="G55" s="52">
        <v>10542</v>
      </c>
      <c r="H55" s="52">
        <v>9614</v>
      </c>
      <c r="I55" s="52">
        <v>7285</v>
      </c>
    </row>
    <row r="56" spans="1:9" x14ac:dyDescent="0.2">
      <c r="A56" s="11" t="s">
        <v>55</v>
      </c>
      <c r="B56" s="10" t="s">
        <v>70</v>
      </c>
      <c r="C56" s="52">
        <v>1237</v>
      </c>
      <c r="D56" s="52">
        <v>1864</v>
      </c>
      <c r="E56" s="52">
        <v>2252</v>
      </c>
      <c r="F56" s="52">
        <v>2357</v>
      </c>
      <c r="G56" s="52">
        <v>3049</v>
      </c>
      <c r="H56" s="52">
        <v>2814</v>
      </c>
      <c r="I56" s="52">
        <v>2387</v>
      </c>
    </row>
    <row r="57" spans="1:9" x14ac:dyDescent="0.2">
      <c r="A57" s="11" t="s">
        <v>56</v>
      </c>
      <c r="B57" s="10" t="s">
        <v>70</v>
      </c>
      <c r="C57" s="52">
        <v>2286</v>
      </c>
      <c r="D57" s="52">
        <v>3934</v>
      </c>
      <c r="E57" s="52">
        <v>4373</v>
      </c>
      <c r="F57" s="52">
        <v>4904</v>
      </c>
      <c r="G57" s="52">
        <v>6265</v>
      </c>
      <c r="H57" s="52">
        <v>6318</v>
      </c>
      <c r="I57" s="52">
        <v>4745</v>
      </c>
    </row>
    <row r="58" spans="1:9" x14ac:dyDescent="0.2">
      <c r="A58" s="11" t="s">
        <v>57</v>
      </c>
      <c r="B58" s="10" t="s">
        <v>70</v>
      </c>
      <c r="C58" s="52">
        <v>157</v>
      </c>
      <c r="D58" s="52">
        <v>265</v>
      </c>
      <c r="E58" s="52">
        <v>356</v>
      </c>
      <c r="F58" s="52">
        <v>377</v>
      </c>
      <c r="G58" s="52">
        <v>566</v>
      </c>
      <c r="H58" s="52">
        <v>664</v>
      </c>
      <c r="I58" s="52">
        <v>467</v>
      </c>
    </row>
    <row r="59" spans="1:9" x14ac:dyDescent="0.2">
      <c r="A59" s="11" t="s">
        <v>58</v>
      </c>
      <c r="B59" s="10" t="s">
        <v>70</v>
      </c>
      <c r="C59" s="52">
        <v>1147</v>
      </c>
      <c r="D59" s="52">
        <v>2162</v>
      </c>
      <c r="E59" s="52">
        <v>2403</v>
      </c>
      <c r="F59" s="52">
        <v>2384</v>
      </c>
      <c r="G59" s="52">
        <v>3447</v>
      </c>
      <c r="H59" s="52">
        <v>3360</v>
      </c>
      <c r="I59" s="52">
        <v>2619</v>
      </c>
    </row>
    <row r="60" spans="1:9" x14ac:dyDescent="0.2">
      <c r="A60" s="11" t="s">
        <v>59</v>
      </c>
      <c r="B60" s="10" t="s">
        <v>70</v>
      </c>
      <c r="C60" s="52">
        <v>1102</v>
      </c>
      <c r="D60" s="52">
        <v>1977</v>
      </c>
      <c r="E60" s="52">
        <v>2472</v>
      </c>
      <c r="F60" s="52">
        <v>2548</v>
      </c>
      <c r="G60" s="52">
        <v>3483</v>
      </c>
      <c r="H60" s="52">
        <v>3574</v>
      </c>
      <c r="I60" s="52">
        <v>2954</v>
      </c>
    </row>
    <row r="61" spans="1:9" x14ac:dyDescent="0.2">
      <c r="A61" s="11" t="s">
        <v>60</v>
      </c>
      <c r="B61" s="10" t="s">
        <v>70</v>
      </c>
      <c r="C61" s="52">
        <v>1350</v>
      </c>
      <c r="D61" s="52">
        <v>1762</v>
      </c>
      <c r="E61" s="52">
        <v>1912</v>
      </c>
      <c r="F61" s="52">
        <v>1965</v>
      </c>
      <c r="G61" s="52">
        <v>2635</v>
      </c>
      <c r="H61" s="52">
        <v>2410</v>
      </c>
      <c r="I61" s="52">
        <v>2361</v>
      </c>
    </row>
    <row r="62" spans="1:9" x14ac:dyDescent="0.2">
      <c r="A62" s="11" t="s">
        <v>61</v>
      </c>
      <c r="B62" s="10" t="s">
        <v>70</v>
      </c>
      <c r="C62" s="52">
        <v>1231</v>
      </c>
      <c r="D62" s="52">
        <v>2217</v>
      </c>
      <c r="E62" s="52">
        <v>2703</v>
      </c>
      <c r="F62" s="52">
        <v>3038</v>
      </c>
      <c r="G62" s="52">
        <v>3873</v>
      </c>
      <c r="H62" s="52">
        <v>4031</v>
      </c>
      <c r="I62" s="52">
        <v>3025</v>
      </c>
    </row>
    <row r="63" spans="1:9" x14ac:dyDescent="0.2">
      <c r="A63" s="11" t="s">
        <v>62</v>
      </c>
      <c r="B63" s="10" t="s">
        <v>70</v>
      </c>
      <c r="C63" s="52">
        <v>979</v>
      </c>
      <c r="D63" s="52">
        <v>1721</v>
      </c>
      <c r="E63" s="52">
        <v>2063</v>
      </c>
      <c r="F63" s="52">
        <v>2167</v>
      </c>
      <c r="G63" s="52">
        <v>3084</v>
      </c>
      <c r="H63" s="52">
        <v>3019</v>
      </c>
      <c r="I63" s="52">
        <v>2191</v>
      </c>
    </row>
    <row r="64" spans="1:9" x14ac:dyDescent="0.2">
      <c r="A64" s="11" t="s">
        <v>63</v>
      </c>
      <c r="B64" s="10" t="s">
        <v>70</v>
      </c>
      <c r="C64" s="52">
        <v>5321</v>
      </c>
      <c r="D64" s="52">
        <v>9727</v>
      </c>
      <c r="E64" s="52">
        <v>11159</v>
      </c>
      <c r="F64" s="52">
        <v>11524</v>
      </c>
      <c r="G64" s="52">
        <v>13884</v>
      </c>
      <c r="H64" s="52">
        <v>12556</v>
      </c>
      <c r="I64" s="52">
        <v>8772</v>
      </c>
    </row>
    <row r="65" spans="1:9" x14ac:dyDescent="0.2">
      <c r="A65" s="11" t="s">
        <v>64</v>
      </c>
      <c r="B65" s="10" t="s">
        <v>70</v>
      </c>
      <c r="C65" s="52">
        <v>1286</v>
      </c>
      <c r="D65" s="52">
        <v>2499</v>
      </c>
      <c r="E65" s="52">
        <v>2778</v>
      </c>
      <c r="F65" s="52">
        <v>2892</v>
      </c>
      <c r="G65" s="52">
        <v>4524</v>
      </c>
      <c r="H65" s="52">
        <v>4405</v>
      </c>
      <c r="I65" s="52">
        <v>3359</v>
      </c>
    </row>
    <row r="66" spans="1:9" x14ac:dyDescent="0.2">
      <c r="A66" s="11" t="s">
        <v>65</v>
      </c>
      <c r="B66" s="10" t="s">
        <v>70</v>
      </c>
      <c r="C66" s="52">
        <v>8919</v>
      </c>
      <c r="D66" s="52">
        <v>16521</v>
      </c>
      <c r="E66" s="52">
        <v>18330</v>
      </c>
      <c r="F66" s="52">
        <v>19247</v>
      </c>
      <c r="G66" s="52">
        <v>25950</v>
      </c>
      <c r="H66" s="52">
        <v>23819</v>
      </c>
      <c r="I66" s="52">
        <v>18178</v>
      </c>
    </row>
    <row r="67" spans="1:9" x14ac:dyDescent="0.2">
      <c r="A67" s="11" t="s">
        <v>66</v>
      </c>
      <c r="B67" s="10" t="s">
        <v>70</v>
      </c>
      <c r="C67" s="52">
        <v>740</v>
      </c>
      <c r="D67" s="52">
        <v>1377</v>
      </c>
      <c r="E67" s="52">
        <v>1542</v>
      </c>
      <c r="F67" s="52">
        <v>1739</v>
      </c>
      <c r="G67" s="52">
        <v>2143</v>
      </c>
      <c r="H67" s="52">
        <v>2074</v>
      </c>
      <c r="I67" s="52">
        <v>1725</v>
      </c>
    </row>
    <row r="68" spans="1:9" ht="13.5" thickBot="1" x14ac:dyDescent="0.25">
      <c r="A68" s="13" t="s">
        <v>67</v>
      </c>
      <c r="B68" s="12" t="s">
        <v>70</v>
      </c>
      <c r="C68" s="52">
        <v>11181</v>
      </c>
      <c r="D68" s="52">
        <v>21486</v>
      </c>
      <c r="E68" s="52">
        <v>25209</v>
      </c>
      <c r="F68" s="52">
        <v>25461</v>
      </c>
      <c r="G68" s="52">
        <v>34366</v>
      </c>
      <c r="H68" s="52">
        <v>28932</v>
      </c>
      <c r="I68" s="52">
        <v>21599</v>
      </c>
    </row>
    <row r="69" spans="1:9" x14ac:dyDescent="0.2">
      <c r="A69" s="32" t="s">
        <v>68</v>
      </c>
      <c r="C69" s="14">
        <f>SUM(C2:C68)</f>
        <v>254847</v>
      </c>
      <c r="D69" s="14">
        <f t="shared" ref="D69:I69" si="0">SUM(D2:D68)</f>
        <v>470649</v>
      </c>
      <c r="E69" s="14">
        <f t="shared" si="0"/>
        <v>514948</v>
      </c>
      <c r="F69" s="14">
        <f t="shared" si="0"/>
        <v>530220</v>
      </c>
      <c r="G69" s="14">
        <f t="shared" si="0"/>
        <v>705758</v>
      </c>
      <c r="H69" s="14">
        <f t="shared" si="0"/>
        <v>650900</v>
      </c>
      <c r="I69" s="14">
        <f t="shared" si="0"/>
        <v>510761</v>
      </c>
    </row>
    <row r="70" spans="1:9" x14ac:dyDescent="0.2">
      <c r="C70" s="17">
        <f>C69/$C$72</f>
        <v>7.0049803701564814E-2</v>
      </c>
      <c r="D70" s="17">
        <f t="shared" ref="D70:I70" si="1">D69/$C$72</f>
        <v>0.12936730690311354</v>
      </c>
      <c r="E70" s="17">
        <f t="shared" si="1"/>
        <v>0.14154377456479139</v>
      </c>
      <c r="F70" s="17">
        <f t="shared" si="1"/>
        <v>0.14574158973283458</v>
      </c>
      <c r="G70" s="17">
        <f t="shared" si="1"/>
        <v>0.19399172586221919</v>
      </c>
      <c r="H70" s="17">
        <f t="shared" si="1"/>
        <v>0.17891290550545438</v>
      </c>
      <c r="I70" s="17">
        <f t="shared" si="1"/>
        <v>0.14039289373002209</v>
      </c>
    </row>
    <row r="72" spans="1:9" x14ac:dyDescent="0.2">
      <c r="A72" s="32" t="s">
        <v>80</v>
      </c>
      <c r="C72" s="16">
        <f>SUM(C69:I69)</f>
        <v>3638083</v>
      </c>
    </row>
    <row r="75" spans="1:9" x14ac:dyDescent="0.2">
      <c r="I75" s="10"/>
    </row>
    <row r="80" spans="1:9" x14ac:dyDescent="0.2">
      <c r="H80" s="11"/>
    </row>
    <row r="81" spans="3:8" x14ac:dyDescent="0.2">
      <c r="H81" s="11"/>
    </row>
    <row r="82" spans="3:8" x14ac:dyDescent="0.2">
      <c r="H82" s="11"/>
    </row>
    <row r="83" spans="3:8" x14ac:dyDescent="0.2">
      <c r="H83" s="11"/>
    </row>
    <row r="84" spans="3:8" x14ac:dyDescent="0.2">
      <c r="H84" s="11"/>
    </row>
    <row r="85" spans="3:8" x14ac:dyDescent="0.2">
      <c r="H85" s="11"/>
    </row>
    <row r="86" spans="3:8" x14ac:dyDescent="0.2">
      <c r="C86" s="11"/>
    </row>
    <row r="87" spans="3:8" x14ac:dyDescent="0.2">
      <c r="C87" s="11"/>
    </row>
    <row r="88" spans="3:8" x14ac:dyDescent="0.2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A24" sqref="A24:XFD24"/>
    </sheetView>
  </sheetViews>
  <sheetFormatPr defaultColWidth="9.140625" defaultRowHeight="12.75" x14ac:dyDescent="0.2"/>
  <cols>
    <col min="1" max="1" width="19.140625" style="11" bestFit="1" customWidth="1"/>
    <col min="2" max="5" width="14.140625" style="10" customWidth="1"/>
    <col min="6" max="6" width="15.28515625" style="11" customWidth="1"/>
    <col min="7" max="7" width="18.5703125" style="37" customWidth="1"/>
    <col min="8" max="9" width="9.140625" style="11"/>
    <col min="10" max="10" width="12" style="11" bestFit="1" customWidth="1"/>
    <col min="11" max="11" width="10" style="11" bestFit="1" customWidth="1"/>
    <col min="12" max="12" width="11.28515625" style="11" bestFit="1" customWidth="1"/>
    <col min="13" max="13" width="9.5703125" style="11" bestFit="1" customWidth="1"/>
    <col min="14" max="14" width="10.85546875" style="11" bestFit="1" customWidth="1"/>
    <col min="15" max="16384" width="9.140625" style="11"/>
  </cols>
  <sheetData>
    <row r="1" spans="1:7" x14ac:dyDescent="0.2">
      <c r="B1" s="77" t="s">
        <v>81</v>
      </c>
      <c r="C1" s="78"/>
      <c r="D1" s="77" t="s">
        <v>102</v>
      </c>
      <c r="E1" s="78"/>
      <c r="F1" s="77" t="s">
        <v>84</v>
      </c>
      <c r="G1" s="78"/>
    </row>
    <row r="2" spans="1:7" x14ac:dyDescent="0.2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">
      <c r="A3" s="11" t="s">
        <v>1</v>
      </c>
      <c r="B3" s="69">
        <v>17611</v>
      </c>
      <c r="C3" s="70">
        <v>1556</v>
      </c>
      <c r="D3" s="69">
        <v>41985</v>
      </c>
      <c r="E3" s="70">
        <v>2010</v>
      </c>
      <c r="F3" s="72">
        <v>12032</v>
      </c>
      <c r="G3" s="74">
        <v>1307</v>
      </c>
    </row>
    <row r="4" spans="1:7" x14ac:dyDescent="0.2">
      <c r="A4" s="11" t="s">
        <v>2</v>
      </c>
      <c r="B4" s="69">
        <v>467048</v>
      </c>
      <c r="C4" s="70">
        <v>35771</v>
      </c>
      <c r="D4" s="69">
        <v>250810</v>
      </c>
      <c r="E4" s="70">
        <v>12443</v>
      </c>
      <c r="F4" s="72">
        <v>135211</v>
      </c>
      <c r="G4" s="75">
        <v>14776</v>
      </c>
    </row>
    <row r="5" spans="1:7" x14ac:dyDescent="0.2">
      <c r="A5" s="11" t="s">
        <v>3</v>
      </c>
      <c r="B5" s="69">
        <v>9903</v>
      </c>
      <c r="C5" s="70">
        <v>752</v>
      </c>
      <c r="D5" s="69">
        <v>26350</v>
      </c>
      <c r="E5" s="70">
        <v>1270</v>
      </c>
      <c r="F5" s="72">
        <v>4787</v>
      </c>
      <c r="G5" s="75">
        <v>493</v>
      </c>
    </row>
    <row r="6" spans="1:7" x14ac:dyDescent="0.2">
      <c r="A6" s="11" t="s">
        <v>4</v>
      </c>
      <c r="B6" s="69">
        <v>43523</v>
      </c>
      <c r="C6" s="70">
        <v>2246</v>
      </c>
      <c r="D6" s="69">
        <v>49997</v>
      </c>
      <c r="E6" s="70">
        <v>1868</v>
      </c>
      <c r="F6" s="72">
        <v>15180</v>
      </c>
      <c r="G6" s="75">
        <v>1280</v>
      </c>
    </row>
    <row r="7" spans="1:7" x14ac:dyDescent="0.2">
      <c r="A7" s="11" t="s">
        <v>5</v>
      </c>
      <c r="B7" s="69">
        <v>4905</v>
      </c>
      <c r="C7" s="70">
        <v>363</v>
      </c>
      <c r="D7" s="69">
        <v>23600</v>
      </c>
      <c r="E7" s="70">
        <v>982</v>
      </c>
      <c r="F7" s="72">
        <v>2884</v>
      </c>
      <c r="G7" s="75">
        <v>308</v>
      </c>
    </row>
    <row r="8" spans="1:7" x14ac:dyDescent="0.2">
      <c r="A8" s="11" t="s">
        <v>6</v>
      </c>
      <c r="B8" s="69">
        <v>96793</v>
      </c>
      <c r="C8" s="70">
        <v>7516</v>
      </c>
      <c r="D8" s="69">
        <v>113128</v>
      </c>
      <c r="E8" s="70">
        <v>5021</v>
      </c>
      <c r="F8" s="72">
        <v>47115</v>
      </c>
      <c r="G8" s="75">
        <v>4519</v>
      </c>
    </row>
    <row r="9" spans="1:7" x14ac:dyDescent="0.2">
      <c r="A9" s="11" t="s">
        <v>7</v>
      </c>
      <c r="B9" s="69">
        <v>18076</v>
      </c>
      <c r="C9" s="70">
        <v>1704</v>
      </c>
      <c r="D9" s="69">
        <v>48137</v>
      </c>
      <c r="E9" s="70">
        <v>2502</v>
      </c>
      <c r="F9" s="72">
        <v>9884</v>
      </c>
      <c r="G9" s="75">
        <v>1248</v>
      </c>
    </row>
    <row r="10" spans="1:7" x14ac:dyDescent="0.2">
      <c r="A10" s="11" t="s">
        <v>8</v>
      </c>
      <c r="B10" s="69">
        <v>7089</v>
      </c>
      <c r="C10" s="70">
        <v>711</v>
      </c>
      <c r="D10" s="69">
        <v>24146</v>
      </c>
      <c r="E10" s="70">
        <v>1494</v>
      </c>
      <c r="F10" s="72">
        <v>4765</v>
      </c>
      <c r="G10" s="75">
        <v>618</v>
      </c>
    </row>
    <row r="11" spans="1:7" x14ac:dyDescent="0.2">
      <c r="A11" s="11" t="s">
        <v>9</v>
      </c>
      <c r="B11" s="69">
        <v>179390</v>
      </c>
      <c r="C11" s="70">
        <v>14456</v>
      </c>
      <c r="D11" s="69">
        <v>191525</v>
      </c>
      <c r="E11" s="70">
        <v>10537</v>
      </c>
      <c r="F11" s="72">
        <v>79924</v>
      </c>
      <c r="G11" s="75">
        <v>8167</v>
      </c>
    </row>
    <row r="12" spans="1:7" x14ac:dyDescent="0.2">
      <c r="A12" s="11" t="s">
        <v>10</v>
      </c>
      <c r="B12" s="69">
        <v>37237</v>
      </c>
      <c r="C12" s="70">
        <v>1911</v>
      </c>
      <c r="D12" s="69">
        <v>80097</v>
      </c>
      <c r="E12" s="70">
        <v>2792</v>
      </c>
      <c r="F12" s="72">
        <v>19862</v>
      </c>
      <c r="G12" s="75">
        <v>1541</v>
      </c>
    </row>
    <row r="13" spans="1:7" x14ac:dyDescent="0.2">
      <c r="A13" s="11" t="s">
        <v>11</v>
      </c>
      <c r="B13" s="69">
        <v>27987</v>
      </c>
      <c r="C13" s="70">
        <v>1439</v>
      </c>
      <c r="D13" s="69">
        <v>45121</v>
      </c>
      <c r="E13" s="70">
        <v>1386</v>
      </c>
      <c r="F13" s="72">
        <v>9211</v>
      </c>
      <c r="G13" s="75">
        <v>732</v>
      </c>
    </row>
    <row r="14" spans="1:7" x14ac:dyDescent="0.2">
      <c r="A14" s="11" t="s">
        <v>12</v>
      </c>
      <c r="B14" s="69">
        <v>609</v>
      </c>
      <c r="C14" s="70">
        <v>57</v>
      </c>
      <c r="D14" s="69">
        <v>1728</v>
      </c>
      <c r="E14" s="70">
        <v>111</v>
      </c>
      <c r="F14" s="72">
        <v>337</v>
      </c>
      <c r="G14" s="75">
        <v>39</v>
      </c>
    </row>
    <row r="15" spans="1:7" x14ac:dyDescent="0.2">
      <c r="A15" s="11" t="s">
        <v>13</v>
      </c>
      <c r="B15" s="69">
        <v>13241</v>
      </c>
      <c r="C15" s="70">
        <v>830</v>
      </c>
      <c r="D15" s="69">
        <v>22870</v>
      </c>
      <c r="E15" s="70">
        <v>984</v>
      </c>
      <c r="F15" s="72">
        <v>7096</v>
      </c>
      <c r="G15" s="75">
        <v>629</v>
      </c>
    </row>
    <row r="16" spans="1:7" x14ac:dyDescent="0.2">
      <c r="A16" s="11" t="s">
        <v>14</v>
      </c>
      <c r="B16" s="69">
        <v>35458</v>
      </c>
      <c r="C16" s="70">
        <v>5973</v>
      </c>
      <c r="D16" s="69">
        <v>38427</v>
      </c>
      <c r="E16" s="70">
        <v>3385</v>
      </c>
      <c r="F16" s="72">
        <v>15653</v>
      </c>
      <c r="G16" s="75">
        <v>3106</v>
      </c>
    </row>
    <row r="17" spans="1:7" x14ac:dyDescent="0.2">
      <c r="A17" s="11" t="s">
        <v>15</v>
      </c>
      <c r="B17" s="69">
        <v>153040</v>
      </c>
      <c r="C17" s="70">
        <v>7640</v>
      </c>
      <c r="D17" s="69">
        <v>146677</v>
      </c>
      <c r="E17" s="70">
        <v>5256</v>
      </c>
      <c r="F17" s="72">
        <v>72052</v>
      </c>
      <c r="G17" s="75">
        <v>4284</v>
      </c>
    </row>
    <row r="18" spans="1:7" x14ac:dyDescent="0.2">
      <c r="A18" s="11" t="s">
        <v>16</v>
      </c>
      <c r="B18" s="69">
        <v>4683</v>
      </c>
      <c r="C18" s="70">
        <v>380</v>
      </c>
      <c r="D18" s="69">
        <v>14861</v>
      </c>
      <c r="E18" s="70">
        <v>698</v>
      </c>
      <c r="F18" s="72">
        <v>2456</v>
      </c>
      <c r="G18" s="75">
        <v>279</v>
      </c>
    </row>
    <row r="19" spans="1:7" x14ac:dyDescent="0.2">
      <c r="A19" s="11" t="s">
        <v>17</v>
      </c>
      <c r="B19" s="69">
        <v>10761</v>
      </c>
      <c r="C19" s="70">
        <v>1269</v>
      </c>
      <c r="D19" s="69">
        <v>29148</v>
      </c>
      <c r="E19" s="70">
        <v>2292</v>
      </c>
      <c r="F19" s="72">
        <v>5155</v>
      </c>
      <c r="G19" s="75">
        <v>922</v>
      </c>
    </row>
    <row r="20" spans="1:7" x14ac:dyDescent="0.2">
      <c r="A20" s="11" t="s">
        <v>18</v>
      </c>
      <c r="B20" s="69">
        <v>5619</v>
      </c>
      <c r="C20" s="70">
        <v>454</v>
      </c>
      <c r="D20" s="69">
        <v>12605</v>
      </c>
      <c r="E20" s="70">
        <v>689</v>
      </c>
      <c r="F20" s="72">
        <v>2799</v>
      </c>
      <c r="G20" s="75">
        <v>348</v>
      </c>
    </row>
    <row r="21" spans="1:7" x14ac:dyDescent="0.2">
      <c r="A21" s="11" t="s">
        <v>19</v>
      </c>
      <c r="B21" s="69">
        <v>10663</v>
      </c>
      <c r="C21" s="70">
        <v>1137</v>
      </c>
      <c r="D21" s="69">
        <v>21183</v>
      </c>
      <c r="E21" s="70">
        <v>1296</v>
      </c>
      <c r="F21" s="72">
        <v>5536</v>
      </c>
      <c r="G21" s="75">
        <v>813</v>
      </c>
    </row>
    <row r="22" spans="1:7" x14ac:dyDescent="0.2">
      <c r="A22" s="11" t="s">
        <v>20</v>
      </c>
      <c r="B22" s="69">
        <v>13359</v>
      </c>
      <c r="C22" s="70">
        <v>1105</v>
      </c>
      <c r="D22" s="69">
        <v>30644</v>
      </c>
      <c r="E22" s="70">
        <v>1256</v>
      </c>
      <c r="F22" s="72">
        <v>6135</v>
      </c>
      <c r="G22" s="75">
        <v>653</v>
      </c>
    </row>
    <row r="23" spans="1:7" x14ac:dyDescent="0.2">
      <c r="A23" s="11" t="s">
        <v>21</v>
      </c>
      <c r="B23" s="69">
        <v>57625</v>
      </c>
      <c r="C23" s="70">
        <v>3989</v>
      </c>
      <c r="D23" s="69">
        <v>84890</v>
      </c>
      <c r="E23" s="70">
        <v>3613</v>
      </c>
      <c r="F23" s="72">
        <v>30788</v>
      </c>
      <c r="G23" s="75">
        <v>2749</v>
      </c>
    </row>
    <row r="24" spans="1:7" x14ac:dyDescent="0.2">
      <c r="A24" s="11" t="s">
        <v>22</v>
      </c>
      <c r="B24" s="69">
        <v>77640</v>
      </c>
      <c r="C24" s="70">
        <v>8567</v>
      </c>
      <c r="D24" s="69">
        <v>71387</v>
      </c>
      <c r="E24" s="70">
        <v>4709</v>
      </c>
      <c r="F24" s="72">
        <v>33234</v>
      </c>
      <c r="G24" s="75">
        <v>4805</v>
      </c>
    </row>
    <row r="25" spans="1:7" x14ac:dyDescent="0.2">
      <c r="A25" s="11" t="s">
        <v>23</v>
      </c>
      <c r="B25" s="69">
        <v>180441</v>
      </c>
      <c r="C25" s="70">
        <v>22240</v>
      </c>
      <c r="D25" s="69">
        <v>132460</v>
      </c>
      <c r="E25" s="70">
        <v>10535</v>
      </c>
      <c r="F25" s="72">
        <v>55954</v>
      </c>
      <c r="G25" s="75">
        <v>8646</v>
      </c>
    </row>
    <row r="26" spans="1:7" x14ac:dyDescent="0.2">
      <c r="A26" s="11" t="s">
        <v>24</v>
      </c>
      <c r="B26" s="69">
        <v>5555</v>
      </c>
      <c r="C26" s="70">
        <v>232</v>
      </c>
      <c r="D26" s="69">
        <v>11835</v>
      </c>
      <c r="E26" s="70">
        <v>288</v>
      </c>
      <c r="F26" s="72">
        <v>2383</v>
      </c>
      <c r="G26" s="75">
        <v>169</v>
      </c>
    </row>
    <row r="27" spans="1:7" x14ac:dyDescent="0.2">
      <c r="A27" s="11" t="s">
        <v>25</v>
      </c>
      <c r="B27" s="69">
        <v>71555</v>
      </c>
      <c r="C27" s="70">
        <v>4972</v>
      </c>
      <c r="D27" s="69">
        <v>67668</v>
      </c>
      <c r="E27" s="70">
        <v>3274</v>
      </c>
      <c r="F27" s="72">
        <v>24617</v>
      </c>
      <c r="G27" s="75">
        <v>2841</v>
      </c>
    </row>
    <row r="28" spans="1:7" x14ac:dyDescent="0.2">
      <c r="A28" s="11" t="s">
        <v>26</v>
      </c>
      <c r="B28" s="69">
        <v>27964</v>
      </c>
      <c r="C28" s="70">
        <v>1578</v>
      </c>
      <c r="D28" s="69">
        <v>39932</v>
      </c>
      <c r="E28" s="70">
        <v>1371</v>
      </c>
      <c r="F28" s="72">
        <v>8005</v>
      </c>
      <c r="G28" s="75">
        <v>716</v>
      </c>
    </row>
    <row r="29" spans="1:7" x14ac:dyDescent="0.2">
      <c r="A29" s="11" t="s">
        <v>27</v>
      </c>
      <c r="B29" s="69">
        <v>714</v>
      </c>
      <c r="C29" s="70">
        <v>62</v>
      </c>
      <c r="D29" s="69">
        <v>1932</v>
      </c>
      <c r="E29" s="70">
        <v>108</v>
      </c>
      <c r="F29" s="72">
        <v>349</v>
      </c>
      <c r="G29" s="75">
        <v>48</v>
      </c>
    </row>
    <row r="30" spans="1:7" x14ac:dyDescent="0.2">
      <c r="A30" s="11" t="s">
        <v>28</v>
      </c>
      <c r="B30" s="69">
        <v>21470</v>
      </c>
      <c r="C30" s="70">
        <v>1991</v>
      </c>
      <c r="D30" s="69">
        <v>61339</v>
      </c>
      <c r="E30" s="70">
        <v>3021</v>
      </c>
      <c r="F30" s="72">
        <v>15709</v>
      </c>
      <c r="G30" s="75">
        <v>1685</v>
      </c>
    </row>
    <row r="31" spans="1:7" x14ac:dyDescent="0.2">
      <c r="A31" s="11" t="s">
        <v>29</v>
      </c>
      <c r="B31" s="69">
        <v>1347</v>
      </c>
      <c r="C31" s="70">
        <v>125</v>
      </c>
      <c r="D31" s="69">
        <v>7130</v>
      </c>
      <c r="E31" s="70">
        <v>345</v>
      </c>
      <c r="F31" s="72">
        <v>1009</v>
      </c>
      <c r="G31" s="75">
        <v>157</v>
      </c>
    </row>
    <row r="32" spans="1:7" x14ac:dyDescent="0.2">
      <c r="A32" s="11" t="s">
        <v>30</v>
      </c>
      <c r="B32" s="69">
        <v>6924</v>
      </c>
      <c r="C32" s="70">
        <v>465</v>
      </c>
      <c r="D32" s="69">
        <v>11571</v>
      </c>
      <c r="E32" s="70">
        <v>578</v>
      </c>
      <c r="F32" s="72">
        <v>2006</v>
      </c>
      <c r="G32" s="75">
        <v>234</v>
      </c>
    </row>
    <row r="33" spans="1:7" x14ac:dyDescent="0.2">
      <c r="A33" s="11" t="s">
        <v>31</v>
      </c>
      <c r="B33" s="69">
        <v>5434</v>
      </c>
      <c r="C33" s="70">
        <v>586</v>
      </c>
      <c r="D33" s="69">
        <v>18199</v>
      </c>
      <c r="E33" s="70">
        <v>702</v>
      </c>
      <c r="F33" s="72">
        <v>2666</v>
      </c>
      <c r="G33" s="75">
        <v>299</v>
      </c>
    </row>
    <row r="34" spans="1:7" x14ac:dyDescent="0.2">
      <c r="A34" s="11" t="s">
        <v>32</v>
      </c>
      <c r="B34" s="69">
        <v>13052</v>
      </c>
      <c r="C34" s="70">
        <v>867</v>
      </c>
      <c r="D34" s="69">
        <v>27920</v>
      </c>
      <c r="E34" s="70">
        <v>966</v>
      </c>
      <c r="F34" s="72">
        <v>5896</v>
      </c>
      <c r="G34" s="75">
        <v>441</v>
      </c>
    </row>
    <row r="35" spans="1:7" x14ac:dyDescent="0.2">
      <c r="A35" s="11" t="s">
        <v>33</v>
      </c>
      <c r="B35" s="69">
        <v>5151</v>
      </c>
      <c r="C35" s="70">
        <v>273</v>
      </c>
      <c r="D35" s="69">
        <v>18829</v>
      </c>
      <c r="E35" s="70">
        <v>601</v>
      </c>
      <c r="F35" s="72">
        <v>2988</v>
      </c>
      <c r="G35" s="75">
        <v>214</v>
      </c>
    </row>
    <row r="36" spans="1:7" x14ac:dyDescent="0.2">
      <c r="A36" s="11" t="s">
        <v>34</v>
      </c>
      <c r="B36" s="69">
        <v>2337</v>
      </c>
      <c r="C36" s="70">
        <v>207</v>
      </c>
      <c r="D36" s="69">
        <v>9611</v>
      </c>
      <c r="E36" s="70">
        <v>414</v>
      </c>
      <c r="F36" s="72">
        <v>1354</v>
      </c>
      <c r="G36" s="75">
        <v>155</v>
      </c>
    </row>
    <row r="37" spans="1:7" x14ac:dyDescent="0.2">
      <c r="A37" s="11" t="s">
        <v>35</v>
      </c>
      <c r="B37" s="69">
        <v>70723</v>
      </c>
      <c r="C37" s="70">
        <v>5813</v>
      </c>
      <c r="D37" s="69">
        <v>48589</v>
      </c>
      <c r="E37" s="70">
        <v>3695</v>
      </c>
      <c r="F37" s="72">
        <v>17972</v>
      </c>
      <c r="G37" s="75">
        <v>2704</v>
      </c>
    </row>
    <row r="38" spans="1:7" x14ac:dyDescent="0.2">
      <c r="A38" s="11" t="s">
        <v>36</v>
      </c>
      <c r="B38" s="69">
        <v>102920</v>
      </c>
      <c r="C38" s="70">
        <v>9867</v>
      </c>
      <c r="D38" s="69">
        <v>173505</v>
      </c>
      <c r="E38" s="70">
        <v>10356</v>
      </c>
      <c r="F38" s="72">
        <v>59906</v>
      </c>
      <c r="G38" s="75">
        <v>7324</v>
      </c>
    </row>
    <row r="39" spans="1:7" x14ac:dyDescent="0.2">
      <c r="A39" s="11" t="s">
        <v>37</v>
      </c>
      <c r="B39" s="69">
        <v>18071</v>
      </c>
      <c r="C39" s="70">
        <v>1612</v>
      </c>
      <c r="D39" s="69">
        <v>28570</v>
      </c>
      <c r="E39" s="70">
        <v>1557</v>
      </c>
      <c r="F39" s="72">
        <v>6624</v>
      </c>
      <c r="G39" s="75">
        <v>885</v>
      </c>
    </row>
    <row r="40" spans="1:7" x14ac:dyDescent="0.2">
      <c r="A40" s="11" t="s">
        <v>38</v>
      </c>
      <c r="B40" s="69">
        <v>23580</v>
      </c>
      <c r="C40" s="70">
        <v>1774</v>
      </c>
      <c r="D40" s="69">
        <v>50849</v>
      </c>
      <c r="E40" s="70">
        <v>1767</v>
      </c>
      <c r="F40" s="72">
        <v>14543</v>
      </c>
      <c r="G40" s="75">
        <v>1355</v>
      </c>
    </row>
    <row r="41" spans="1:7" x14ac:dyDescent="0.2">
      <c r="A41" s="11" t="s">
        <v>39</v>
      </c>
      <c r="B41" s="69">
        <v>103226</v>
      </c>
      <c r="C41" s="70">
        <v>8064</v>
      </c>
      <c r="D41" s="69">
        <v>85589</v>
      </c>
      <c r="E41" s="70">
        <v>3968</v>
      </c>
      <c r="F41" s="72">
        <v>47886</v>
      </c>
      <c r="G41" s="75">
        <v>4827</v>
      </c>
    </row>
    <row r="42" spans="1:7" x14ac:dyDescent="0.2">
      <c r="A42" s="11" t="s">
        <v>40</v>
      </c>
      <c r="B42" s="69">
        <v>79744</v>
      </c>
      <c r="C42" s="70">
        <v>5015</v>
      </c>
      <c r="D42" s="69">
        <v>87303</v>
      </c>
      <c r="E42" s="70">
        <v>3755</v>
      </c>
      <c r="F42" s="72">
        <v>28374</v>
      </c>
      <c r="G42" s="75">
        <v>2843</v>
      </c>
    </row>
    <row r="43" spans="1:7" x14ac:dyDescent="0.2">
      <c r="A43" s="11" t="s">
        <v>41</v>
      </c>
      <c r="B43" s="69">
        <v>16432</v>
      </c>
      <c r="C43" s="70">
        <v>1766</v>
      </c>
      <c r="D43" s="69">
        <v>41571</v>
      </c>
      <c r="E43" s="70">
        <v>2255</v>
      </c>
      <c r="F43" s="72">
        <v>9360</v>
      </c>
      <c r="G43" s="75">
        <v>1265</v>
      </c>
    </row>
    <row r="44" spans="1:7" x14ac:dyDescent="0.2">
      <c r="A44" s="11" t="s">
        <v>42</v>
      </c>
      <c r="B44" s="69">
        <v>4967</v>
      </c>
      <c r="C44" s="70">
        <v>317</v>
      </c>
      <c r="D44" s="69">
        <v>15557</v>
      </c>
      <c r="E44" s="70">
        <v>608</v>
      </c>
      <c r="F44" s="72">
        <v>3378</v>
      </c>
      <c r="G44" s="75">
        <v>348</v>
      </c>
    </row>
    <row r="45" spans="1:7" x14ac:dyDescent="0.2">
      <c r="A45" s="11" t="s">
        <v>43</v>
      </c>
      <c r="B45" s="69">
        <v>21051</v>
      </c>
      <c r="C45" s="70">
        <v>2058</v>
      </c>
      <c r="D45" s="69">
        <v>35990</v>
      </c>
      <c r="E45" s="70">
        <v>2271</v>
      </c>
      <c r="F45" s="72">
        <v>9161</v>
      </c>
      <c r="G45" s="75">
        <v>1269</v>
      </c>
    </row>
    <row r="46" spans="1:7" x14ac:dyDescent="0.2">
      <c r="A46" s="11" t="s">
        <v>44</v>
      </c>
      <c r="B46" s="69">
        <v>5053</v>
      </c>
      <c r="C46" s="70">
        <v>314</v>
      </c>
      <c r="D46" s="69">
        <v>17968</v>
      </c>
      <c r="E46" s="70">
        <v>657</v>
      </c>
      <c r="F46" s="72">
        <v>2885</v>
      </c>
      <c r="G46" s="75">
        <v>243</v>
      </c>
    </row>
    <row r="47" spans="1:7" x14ac:dyDescent="0.2">
      <c r="A47" s="11" t="s">
        <v>45</v>
      </c>
      <c r="B47" s="69">
        <v>41925</v>
      </c>
      <c r="C47" s="70">
        <v>6505</v>
      </c>
      <c r="D47" s="69">
        <v>39405</v>
      </c>
      <c r="E47" s="70">
        <v>3874</v>
      </c>
      <c r="F47" s="72">
        <v>21877</v>
      </c>
      <c r="G47" s="75">
        <v>3632</v>
      </c>
    </row>
    <row r="48" spans="1:7" x14ac:dyDescent="0.2">
      <c r="A48" s="11" t="s">
        <v>46</v>
      </c>
      <c r="B48" s="69">
        <v>285370</v>
      </c>
      <c r="C48" s="70">
        <v>19799</v>
      </c>
      <c r="D48" s="69">
        <v>197483</v>
      </c>
      <c r="E48" s="70">
        <v>10454</v>
      </c>
      <c r="F48" s="72">
        <v>100389</v>
      </c>
      <c r="G48" s="75">
        <v>9639</v>
      </c>
    </row>
    <row r="49" spans="1:7" x14ac:dyDescent="0.2">
      <c r="A49" s="11" t="s">
        <v>47</v>
      </c>
      <c r="B49" s="69">
        <v>3476</v>
      </c>
      <c r="C49" s="70">
        <v>289</v>
      </c>
      <c r="D49" s="69">
        <v>6178</v>
      </c>
      <c r="E49" s="70">
        <v>373</v>
      </c>
      <c r="F49" s="72">
        <v>1791</v>
      </c>
      <c r="G49" s="75">
        <v>230</v>
      </c>
    </row>
    <row r="50" spans="1:7" x14ac:dyDescent="0.2">
      <c r="A50" s="11" t="s">
        <v>48</v>
      </c>
      <c r="B50" s="69">
        <v>85305</v>
      </c>
      <c r="C50" s="70">
        <v>10599</v>
      </c>
      <c r="D50" s="69">
        <v>80648</v>
      </c>
      <c r="E50" s="70">
        <v>6281</v>
      </c>
      <c r="F50" s="72">
        <v>42544</v>
      </c>
      <c r="G50" s="75">
        <v>6596</v>
      </c>
    </row>
    <row r="51" spans="1:7" x14ac:dyDescent="0.2">
      <c r="A51" s="11" t="s">
        <v>49</v>
      </c>
      <c r="B51" s="69">
        <v>12130</v>
      </c>
      <c r="C51" s="70">
        <v>3203</v>
      </c>
      <c r="D51" s="69">
        <v>27161</v>
      </c>
      <c r="E51" s="70">
        <v>4783</v>
      </c>
      <c r="F51" s="72">
        <v>4967</v>
      </c>
      <c r="G51" s="75">
        <v>3080</v>
      </c>
    </row>
    <row r="52" spans="1:7" x14ac:dyDescent="0.2">
      <c r="A52" s="11" t="s">
        <v>50</v>
      </c>
      <c r="B52" s="69">
        <v>5844</v>
      </c>
      <c r="C52" s="70">
        <v>177</v>
      </c>
      <c r="D52" s="69">
        <v>20473</v>
      </c>
      <c r="E52" s="70">
        <v>475</v>
      </c>
      <c r="F52" s="72">
        <v>4034</v>
      </c>
      <c r="G52" s="75">
        <v>224</v>
      </c>
    </row>
    <row r="53" spans="1:7" x14ac:dyDescent="0.2">
      <c r="A53" s="11" t="s">
        <v>51</v>
      </c>
      <c r="B53" s="69">
        <v>686196</v>
      </c>
      <c r="C53" s="70">
        <v>89801</v>
      </c>
      <c r="D53" s="69">
        <v>117286</v>
      </c>
      <c r="E53" s="70">
        <v>13936</v>
      </c>
      <c r="F53" s="72">
        <v>151747</v>
      </c>
      <c r="G53" s="75">
        <v>24738</v>
      </c>
    </row>
    <row r="54" spans="1:7" x14ac:dyDescent="0.2">
      <c r="A54" s="11" t="s">
        <v>52</v>
      </c>
      <c r="B54" s="69">
        <v>11857</v>
      </c>
      <c r="C54" s="70">
        <v>1703</v>
      </c>
      <c r="D54" s="69">
        <v>20992</v>
      </c>
      <c r="E54" s="70">
        <v>2007</v>
      </c>
      <c r="F54" s="72">
        <v>9149</v>
      </c>
      <c r="G54" s="75">
        <v>1432</v>
      </c>
    </row>
    <row r="55" spans="1:7" x14ac:dyDescent="0.2">
      <c r="A55" s="11" t="s">
        <v>53</v>
      </c>
      <c r="B55" s="69">
        <v>1595</v>
      </c>
      <c r="C55" s="70">
        <v>147</v>
      </c>
      <c r="D55" s="69">
        <v>7515</v>
      </c>
      <c r="E55" s="70">
        <v>495</v>
      </c>
      <c r="F55" s="72">
        <v>1101</v>
      </c>
      <c r="G55" s="75">
        <v>169</v>
      </c>
    </row>
    <row r="56" spans="1:7" x14ac:dyDescent="0.2">
      <c r="A56" s="11" t="s">
        <v>54</v>
      </c>
      <c r="B56" s="69">
        <v>23439</v>
      </c>
      <c r="C56" s="70">
        <v>1890</v>
      </c>
      <c r="D56" s="69">
        <v>50778</v>
      </c>
      <c r="E56" s="70">
        <v>2340</v>
      </c>
      <c r="F56" s="72">
        <v>12458</v>
      </c>
      <c r="G56" s="75">
        <v>1351</v>
      </c>
    </row>
    <row r="57" spans="1:7" x14ac:dyDescent="0.2">
      <c r="A57" s="11" t="s">
        <v>55</v>
      </c>
      <c r="B57" s="69">
        <v>4389</v>
      </c>
      <c r="C57" s="70">
        <v>492</v>
      </c>
      <c r="D57" s="69">
        <v>15089</v>
      </c>
      <c r="E57" s="70">
        <v>871</v>
      </c>
      <c r="F57" s="72">
        <v>2588</v>
      </c>
      <c r="G57" s="75">
        <v>433</v>
      </c>
    </row>
    <row r="58" spans="1:7" x14ac:dyDescent="0.2">
      <c r="A58" s="11" t="s">
        <v>56</v>
      </c>
      <c r="B58" s="69">
        <v>9721</v>
      </c>
      <c r="C58" s="70">
        <v>784</v>
      </c>
      <c r="D58" s="69">
        <v>31328</v>
      </c>
      <c r="E58" s="70">
        <v>1497</v>
      </c>
      <c r="F58" s="72">
        <v>4569</v>
      </c>
      <c r="G58" s="75">
        <v>573</v>
      </c>
    </row>
    <row r="59" spans="1:7" x14ac:dyDescent="0.2">
      <c r="A59" s="11" t="s">
        <v>57</v>
      </c>
      <c r="B59" s="69">
        <v>976</v>
      </c>
      <c r="C59" s="70">
        <v>84</v>
      </c>
      <c r="D59" s="69">
        <v>2697</v>
      </c>
      <c r="E59" s="70">
        <v>155</v>
      </c>
      <c r="F59" s="72">
        <v>482</v>
      </c>
      <c r="G59" s="75">
        <v>55</v>
      </c>
    </row>
    <row r="60" spans="1:7" x14ac:dyDescent="0.2">
      <c r="A60" s="11" t="s">
        <v>58</v>
      </c>
      <c r="B60" s="69">
        <v>5581</v>
      </c>
      <c r="C60" s="70">
        <v>663</v>
      </c>
      <c r="D60" s="69">
        <v>16283</v>
      </c>
      <c r="E60" s="70">
        <v>1239</v>
      </c>
      <c r="F60" s="72">
        <v>3554</v>
      </c>
      <c r="G60" s="75">
        <v>527</v>
      </c>
    </row>
    <row r="61" spans="1:7" x14ac:dyDescent="0.2">
      <c r="A61" s="11" t="s">
        <v>59</v>
      </c>
      <c r="B61" s="69">
        <v>4559</v>
      </c>
      <c r="C61" s="70">
        <v>369</v>
      </c>
      <c r="D61" s="69">
        <v>17121</v>
      </c>
      <c r="E61" s="70">
        <v>989</v>
      </c>
      <c r="F61" s="72">
        <v>3322</v>
      </c>
      <c r="G61" s="75">
        <v>427</v>
      </c>
    </row>
    <row r="62" spans="1:7" x14ac:dyDescent="0.2">
      <c r="A62" s="11" t="s">
        <v>60</v>
      </c>
      <c r="B62" s="69">
        <v>6620</v>
      </c>
      <c r="C62" s="70">
        <v>1157</v>
      </c>
      <c r="D62" s="69">
        <v>13236</v>
      </c>
      <c r="E62" s="70">
        <v>1159</v>
      </c>
      <c r="F62" s="72">
        <v>3419</v>
      </c>
      <c r="G62" s="75">
        <v>786</v>
      </c>
    </row>
    <row r="63" spans="1:7" x14ac:dyDescent="0.2">
      <c r="A63" s="11" t="s">
        <v>61</v>
      </c>
      <c r="B63" s="69">
        <v>7637</v>
      </c>
      <c r="C63" s="70">
        <v>400</v>
      </c>
      <c r="D63" s="69">
        <v>19443</v>
      </c>
      <c r="E63" s="70">
        <v>675</v>
      </c>
      <c r="F63" s="72">
        <v>4281</v>
      </c>
      <c r="G63" s="75">
        <v>332</v>
      </c>
    </row>
    <row r="64" spans="1:7" x14ac:dyDescent="0.2">
      <c r="A64" s="11" t="s">
        <v>62</v>
      </c>
      <c r="B64" s="69">
        <v>5910</v>
      </c>
      <c r="C64" s="70">
        <v>435</v>
      </c>
      <c r="D64" s="69">
        <v>14396</v>
      </c>
      <c r="E64" s="70">
        <v>828</v>
      </c>
      <c r="F64" s="72">
        <v>3477</v>
      </c>
      <c r="G64" s="75">
        <v>358</v>
      </c>
    </row>
    <row r="65" spans="1:7" x14ac:dyDescent="0.2">
      <c r="A65" s="11" t="s">
        <v>63</v>
      </c>
      <c r="B65" s="69">
        <v>48969</v>
      </c>
      <c r="C65" s="70">
        <v>3886</v>
      </c>
      <c r="D65" s="69">
        <v>69261</v>
      </c>
      <c r="E65" s="70">
        <v>3682</v>
      </c>
      <c r="F65" s="72">
        <v>17611</v>
      </c>
      <c r="G65" s="75">
        <v>2146</v>
      </c>
    </row>
    <row r="66" spans="1:7" x14ac:dyDescent="0.2">
      <c r="A66" s="11" t="s">
        <v>64</v>
      </c>
      <c r="B66" s="69">
        <v>7964</v>
      </c>
      <c r="C66" s="70">
        <v>732</v>
      </c>
      <c r="D66" s="69">
        <v>20505</v>
      </c>
      <c r="E66" s="70">
        <v>1238</v>
      </c>
      <c r="F66" s="72">
        <v>5536</v>
      </c>
      <c r="G66" s="75">
        <v>670</v>
      </c>
    </row>
    <row r="67" spans="1:7" x14ac:dyDescent="0.2">
      <c r="A67" s="11" t="s">
        <v>65</v>
      </c>
      <c r="B67" s="69">
        <v>82999</v>
      </c>
      <c r="C67" s="70">
        <v>3872</v>
      </c>
      <c r="D67" s="69">
        <v>126763</v>
      </c>
      <c r="E67" s="70">
        <v>4201</v>
      </c>
      <c r="F67" s="72">
        <v>30901</v>
      </c>
      <c r="G67" s="75">
        <v>2175</v>
      </c>
    </row>
    <row r="68" spans="1:7" x14ac:dyDescent="0.2">
      <c r="A68" s="11" t="s">
        <v>66</v>
      </c>
      <c r="B68" s="69">
        <v>4334</v>
      </c>
      <c r="C68" s="70">
        <v>345</v>
      </c>
      <c r="D68" s="69">
        <v>10746</v>
      </c>
      <c r="E68" s="70">
        <v>594</v>
      </c>
      <c r="F68" s="72">
        <v>2186</v>
      </c>
      <c r="G68" s="75">
        <v>282</v>
      </c>
    </row>
    <row r="69" spans="1:7" x14ac:dyDescent="0.2">
      <c r="A69" s="19" t="s">
        <v>67</v>
      </c>
      <c r="B69" s="68">
        <v>89705</v>
      </c>
      <c r="C69" s="71">
        <v>6627</v>
      </c>
      <c r="D69" s="68">
        <v>160924</v>
      </c>
      <c r="E69" s="71">
        <v>7310</v>
      </c>
      <c r="F69" s="73">
        <v>57096</v>
      </c>
      <c r="G69" s="76">
        <v>5142</v>
      </c>
    </row>
    <row r="70" spans="1:7" x14ac:dyDescent="0.2">
      <c r="A70" s="32" t="s">
        <v>68</v>
      </c>
      <c r="B70" s="14">
        <f>SUM(B3:B69)</f>
        <v>3516472</v>
      </c>
      <c r="C70" s="14">
        <f t="shared" ref="C70:G70" si="0">SUM(C3:C69)</f>
        <v>323983</v>
      </c>
      <c r="D70" s="14">
        <f t="shared" si="0"/>
        <v>3448944</v>
      </c>
      <c r="E70" s="14">
        <f t="shared" si="0"/>
        <v>189142</v>
      </c>
      <c r="F70" s="14">
        <f t="shared" si="0"/>
        <v>1334200</v>
      </c>
      <c r="G70" s="14">
        <f t="shared" si="0"/>
        <v>157281</v>
      </c>
    </row>
    <row r="71" spans="1:7" x14ac:dyDescent="0.2">
      <c r="G71" s="11"/>
    </row>
    <row r="72" spans="1:7" x14ac:dyDescent="0.2">
      <c r="G72" s="11"/>
    </row>
    <row r="73" spans="1:7" x14ac:dyDescent="0.2">
      <c r="A73" s="32" t="s">
        <v>80</v>
      </c>
      <c r="B73" s="14">
        <f>SUM(B70:G70)</f>
        <v>8970022</v>
      </c>
      <c r="D73" s="11"/>
      <c r="E73" s="11"/>
      <c r="G73" s="11"/>
    </row>
    <row r="74" spans="1:7" x14ac:dyDescent="0.2">
      <c r="D74" s="11"/>
      <c r="E74" s="11"/>
      <c r="G74" s="11"/>
    </row>
    <row r="75" spans="1:7" x14ac:dyDescent="0.2">
      <c r="D75" s="11"/>
      <c r="E75" s="11"/>
      <c r="G75" s="11"/>
    </row>
    <row r="76" spans="1:7" x14ac:dyDescent="0.2">
      <c r="D76" s="11"/>
      <c r="E76" s="11"/>
      <c r="G76" s="11"/>
    </row>
    <row r="77" spans="1:7" x14ac:dyDescent="0.2">
      <c r="D77" s="11"/>
      <c r="E77" s="11"/>
      <c r="G77" s="11"/>
    </row>
    <row r="78" spans="1:7" x14ac:dyDescent="0.2">
      <c r="D78" s="11"/>
      <c r="E78" s="11"/>
      <c r="G78" s="11"/>
    </row>
    <row r="79" spans="1:7" x14ac:dyDescent="0.2">
      <c r="D79" s="11"/>
      <c r="E79" s="11"/>
      <c r="G79" s="11"/>
    </row>
    <row r="80" spans="1:7" x14ac:dyDescent="0.2">
      <c r="D80" s="11"/>
      <c r="E80" s="11"/>
      <c r="G80" s="11"/>
    </row>
    <row r="81" spans="2:7" x14ac:dyDescent="0.2">
      <c r="D81" s="11"/>
      <c r="E81" s="11"/>
      <c r="G81" s="11"/>
    </row>
    <row r="82" spans="2:7" x14ac:dyDescent="0.2">
      <c r="B82" s="11"/>
      <c r="G82" s="11"/>
    </row>
    <row r="83" spans="2:7" x14ac:dyDescent="0.2">
      <c r="B83" s="11"/>
      <c r="G83" s="11"/>
    </row>
    <row r="84" spans="2:7" x14ac:dyDescent="0.2">
      <c r="G84" s="11"/>
    </row>
    <row r="85" spans="2:7" x14ac:dyDescent="0.2">
      <c r="B85" s="11"/>
      <c r="G85" s="11"/>
    </row>
    <row r="86" spans="2:7" x14ac:dyDescent="0.2">
      <c r="B86" s="11"/>
      <c r="G86" s="11"/>
    </row>
    <row r="87" spans="2:7" x14ac:dyDescent="0.2">
      <c r="G87" s="11"/>
    </row>
    <row r="88" spans="2:7" x14ac:dyDescent="0.2">
      <c r="G88" s="11"/>
    </row>
    <row r="89" spans="2:7" x14ac:dyDescent="0.2">
      <c r="G89" s="11"/>
    </row>
    <row r="90" spans="2:7" x14ac:dyDescent="0.2">
      <c r="G90" s="11"/>
    </row>
    <row r="91" spans="2:7" x14ac:dyDescent="0.2">
      <c r="G91" s="11"/>
    </row>
    <row r="92" spans="2:7" x14ac:dyDescent="0.2">
      <c r="G92" s="11"/>
    </row>
    <row r="93" spans="2:7" x14ac:dyDescent="0.2">
      <c r="G93" s="11"/>
    </row>
    <row r="94" spans="2:7" x14ac:dyDescent="0.2">
      <c r="G94" s="11"/>
    </row>
    <row r="95" spans="2:7" x14ac:dyDescent="0.2">
      <c r="G95" s="11"/>
    </row>
    <row r="96" spans="2:7" x14ac:dyDescent="0.2">
      <c r="G96" s="11"/>
    </row>
    <row r="97" spans="7:7" x14ac:dyDescent="0.2">
      <c r="G97" s="11"/>
    </row>
    <row r="98" spans="7:7" x14ac:dyDescent="0.2">
      <c r="G98" s="11"/>
    </row>
    <row r="99" spans="7:7" x14ac:dyDescent="0.2">
      <c r="G99" s="11"/>
    </row>
    <row r="100" spans="7:7" x14ac:dyDescent="0.2">
      <c r="G100" s="11"/>
    </row>
    <row r="101" spans="7:7" x14ac:dyDescent="0.2">
      <c r="G101" s="11"/>
    </row>
    <row r="102" spans="7:7" x14ac:dyDescent="0.2">
      <c r="G102" s="11"/>
    </row>
    <row r="103" spans="7:7" x14ac:dyDescent="0.2">
      <c r="G103" s="11"/>
    </row>
    <row r="104" spans="7:7" x14ac:dyDescent="0.2">
      <c r="G104" s="11"/>
    </row>
    <row r="105" spans="7:7" x14ac:dyDescent="0.2">
      <c r="G105" s="11"/>
    </row>
    <row r="106" spans="7:7" x14ac:dyDescent="0.2">
      <c r="G106" s="11"/>
    </row>
    <row r="107" spans="7:7" x14ac:dyDescent="0.2">
      <c r="G107" s="11"/>
    </row>
    <row r="108" spans="7:7" x14ac:dyDescent="0.2">
      <c r="G108" s="11"/>
    </row>
    <row r="109" spans="7:7" x14ac:dyDescent="0.2">
      <c r="G109" s="11"/>
    </row>
    <row r="110" spans="7:7" x14ac:dyDescent="0.2">
      <c r="G110" s="11"/>
    </row>
    <row r="111" spans="7:7" x14ac:dyDescent="0.2">
      <c r="G111" s="11"/>
    </row>
    <row r="112" spans="7:7" x14ac:dyDescent="0.2">
      <c r="G112" s="11"/>
    </row>
    <row r="113" spans="7:7" x14ac:dyDescent="0.2">
      <c r="G113" s="11"/>
    </row>
    <row r="114" spans="7:7" x14ac:dyDescent="0.2">
      <c r="G114" s="11"/>
    </row>
    <row r="115" spans="7:7" x14ac:dyDescent="0.2">
      <c r="G115" s="11"/>
    </row>
    <row r="116" spans="7:7" x14ac:dyDescent="0.2">
      <c r="G116" s="11"/>
    </row>
    <row r="117" spans="7:7" x14ac:dyDescent="0.2">
      <c r="G117" s="11"/>
    </row>
    <row r="118" spans="7:7" x14ac:dyDescent="0.2">
      <c r="G118" s="11"/>
    </row>
    <row r="119" spans="7:7" x14ac:dyDescent="0.2">
      <c r="G119" s="11"/>
    </row>
    <row r="120" spans="7:7" x14ac:dyDescent="0.2">
      <c r="G120" s="11"/>
    </row>
    <row r="121" spans="7:7" x14ac:dyDescent="0.2">
      <c r="G121" s="11"/>
    </row>
    <row r="122" spans="7:7" x14ac:dyDescent="0.2">
      <c r="G122" s="11"/>
    </row>
    <row r="123" spans="7:7" x14ac:dyDescent="0.2">
      <c r="G123" s="11"/>
    </row>
    <row r="124" spans="7:7" x14ac:dyDescent="0.2">
      <c r="G124" s="11"/>
    </row>
    <row r="125" spans="7:7" x14ac:dyDescent="0.2">
      <c r="G125" s="11"/>
    </row>
    <row r="126" spans="7:7" x14ac:dyDescent="0.2">
      <c r="G126" s="11"/>
    </row>
    <row r="127" spans="7:7" x14ac:dyDescent="0.2">
      <c r="G127" s="11"/>
    </row>
    <row r="128" spans="7:7" x14ac:dyDescent="0.2">
      <c r="G128" s="11"/>
    </row>
    <row r="129" spans="7:7" x14ac:dyDescent="0.2">
      <c r="G129" s="11"/>
    </row>
    <row r="130" spans="7:7" x14ac:dyDescent="0.2">
      <c r="G130" s="11"/>
    </row>
    <row r="131" spans="7:7" x14ac:dyDescent="0.2">
      <c r="G131" s="11"/>
    </row>
    <row r="132" spans="7:7" x14ac:dyDescent="0.2">
      <c r="G132" s="11"/>
    </row>
    <row r="133" spans="7:7" x14ac:dyDescent="0.2">
      <c r="G133" s="11"/>
    </row>
    <row r="134" spans="7:7" x14ac:dyDescent="0.2">
      <c r="G134" s="11"/>
    </row>
    <row r="135" spans="7:7" x14ac:dyDescent="0.2">
      <c r="G135" s="11"/>
    </row>
    <row r="136" spans="7:7" x14ac:dyDescent="0.2">
      <c r="G136" s="11"/>
    </row>
    <row r="137" spans="7:7" x14ac:dyDescent="0.2">
      <c r="G137" s="11"/>
    </row>
    <row r="138" spans="7:7" x14ac:dyDescent="0.2">
      <c r="G138" s="11"/>
    </row>
    <row r="139" spans="7:7" x14ac:dyDescent="0.2">
      <c r="G139" s="11"/>
    </row>
    <row r="140" spans="7:7" x14ac:dyDescent="0.2">
      <c r="G140" s="11"/>
    </row>
    <row r="141" spans="7:7" x14ac:dyDescent="0.2">
      <c r="G141" s="11"/>
    </row>
    <row r="142" spans="7:7" x14ac:dyDescent="0.2">
      <c r="G142" s="11"/>
    </row>
    <row r="143" spans="7:7" x14ac:dyDescent="0.2">
      <c r="G143" s="11"/>
    </row>
    <row r="144" spans="7:7" x14ac:dyDescent="0.2">
      <c r="G144" s="11"/>
    </row>
    <row r="145" spans="7:7" x14ac:dyDescent="0.2">
      <c r="G145" s="11"/>
    </row>
    <row r="146" spans="7:7" x14ac:dyDescent="0.2">
      <c r="G146" s="11"/>
    </row>
    <row r="147" spans="7:7" x14ac:dyDescent="0.2">
      <c r="G147" s="11"/>
    </row>
    <row r="148" spans="7:7" x14ac:dyDescent="0.2">
      <c r="G148" s="11"/>
    </row>
    <row r="149" spans="7:7" x14ac:dyDescent="0.2">
      <c r="G149" s="11"/>
    </row>
    <row r="150" spans="7:7" x14ac:dyDescent="0.2">
      <c r="G150" s="11"/>
    </row>
    <row r="151" spans="7:7" x14ac:dyDescent="0.2">
      <c r="G151" s="11"/>
    </row>
    <row r="152" spans="7:7" x14ac:dyDescent="0.2">
      <c r="G152" s="11"/>
    </row>
    <row r="153" spans="7:7" x14ac:dyDescent="0.2">
      <c r="G153" s="11"/>
    </row>
    <row r="154" spans="7:7" x14ac:dyDescent="0.2">
      <c r="G154" s="11"/>
    </row>
    <row r="155" spans="7:7" x14ac:dyDescent="0.2">
      <c r="G155" s="11"/>
    </row>
    <row r="156" spans="7:7" x14ac:dyDescent="0.2">
      <c r="G156" s="11"/>
    </row>
    <row r="157" spans="7:7" x14ac:dyDescent="0.2">
      <c r="G157" s="11"/>
    </row>
    <row r="158" spans="7:7" x14ac:dyDescent="0.2">
      <c r="G158" s="11"/>
    </row>
    <row r="159" spans="7:7" x14ac:dyDescent="0.2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4.25" x14ac:dyDescent="0.2"/>
  <cols>
    <col min="1" max="1" width="19.85546875" style="24" customWidth="1"/>
    <col min="2" max="2" width="9" style="10" customWidth="1"/>
    <col min="3" max="8" width="12.28515625" style="10" customWidth="1"/>
    <col min="10" max="10" width="6.42578125" customWidth="1"/>
    <col min="12" max="12" width="5.28515625" customWidth="1"/>
  </cols>
  <sheetData>
    <row r="1" spans="1:9" ht="15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5" thickBot="1" x14ac:dyDescent="0.25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ht="15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ht="15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Charpentier, William A.</cp:lastModifiedBy>
  <cp:lastPrinted>2013-07-08T13:20:55Z</cp:lastPrinted>
  <dcterms:created xsi:type="dcterms:W3CDTF">2008-03-11T20:46:20Z</dcterms:created>
  <dcterms:modified xsi:type="dcterms:W3CDTF">2026-07-13T13:57:43Z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