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4E115021-4B36-45A5-B796-311D871171C2}" xr6:coauthVersionLast="47" xr6:coauthVersionMax="47" xr10:uidLastSave="{00000000-0000-0000-0000-000000000000}"/>
  <bookViews>
    <workbookView xWindow="-28920" yWindow="-6885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<sst xmlns="http://schemas.openxmlformats.org/spreadsheetml/2006/main" count="1139" uniqueCount="131">
  <si>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</si>
  <si>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</si>
  <si>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</si>
  <si>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</si>
  <si>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</si>
  <si>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</si>
  <si>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</si>
  <si>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</si>
  <si>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</si>
  <si>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</si>
  <si>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</si>
  <si>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</si>
  <si>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</si>
  <si>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</si>
  <si>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</si>
  <si>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</si>
  <si>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</si>
  <si>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</si>
  <si>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</si>
  <si>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</si>
  <si>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</si>
  <si>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</si>
  <si>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</si>
  <si>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</si>
  <si>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</si>
  <si>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</si>
  <si>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</si>
  <si>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</si>
  <si>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</si>
  <si>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</si>
  <si>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</si>
  <si>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</si>
  <si>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</si>
  <si>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</si>
  <si>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</si>
  <si>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</si>
  <si>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</si>
  <si>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</si>
  <si>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</si>
  <si>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</si>
  <si>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</si>
  <si>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</si>
  <si>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</si>
  <si>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</si>
  <si>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</si>
  <si>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</si>
  <si>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</si>
  <si>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</si>
  <si>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</si>
  <si>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</si>
  <si>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</si>
  <si>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</si>
  <si>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</si>
  <si>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</si>
  <si>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</si>
  <si>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</si>
  <si>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</si>
  <si>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</si>
  <si>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</si>
  <si>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</si>
  <si>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</si>
  <si>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</si>
  <si>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</si>
  <si>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</si>
  <si>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</si>
  <si>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</si>
  <si>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</si>
  <si>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</si>
  <si>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</si>
  <si>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</si>
  <si>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</si>
  <si>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</si>
  <si>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</si>
  <si>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</si>
  <si>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</si>
  <si>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</si>
  <si>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</si>
  <si>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</si>
  <si>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</si>
  <si>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</si>
  <si>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</si>
  <si>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</si>
  <si>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</si>
  <si>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</si>
  <si>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</si>
  <si>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</si>
  <si>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</si>
  <si>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</si>
  <si>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</si>
  <si>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</si>
  <si>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</si>
  <si>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</si>
  <si>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</si>
  <si>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</si>
  <si>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</si>
  <si>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</si>
  <si>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</si>
  <si>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</si>
  <si>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</si>
  <si>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</si>
  <si>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</si>
  <si>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</si>
  <si>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</si>
  <si>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</si>
  <si>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</si>
  <si>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</si>
  <si>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</si>
  <si>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</si>
  <si>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</si>
  <si>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</si>
  <si>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</si>
  <si>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</si>
  <si>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</si>
  <si>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</si>
  <si>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</si>
  <si>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</si>
  <si>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</si>
  <si>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</si>
  <si>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</si>
  <si>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</si>
  <si>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</si>
  <si>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</si>
  <si>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</si>
  <si>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</si>
  <si>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</si>
  <si>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</si>
  <si>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</si>
  <si>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</si>
  <si>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</si>
  <si>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06/22/2026</t>
  </si>
  <si>
    <t>Week Of 06-15-2026 to 06-22-2026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</si>
</sst>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M1" sqref="M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19155</v>
      </c>
      <c r="D3"/>
      <c r="E3">
        <v>43977</v>
      </c>
      <c r="F3"/>
      <c r="G3">
        <v>10484</v>
      </c>
      <c r="H3"/>
      <c r="I3">
        <v>2794</v>
      </c>
      <c r="K3" s="10">
        <f t="shared" ref="K3:K34" si="0">SUM(C3+E3+G3+I3)</f>
        <v>76410</v>
      </c>
    </row>
    <row r="4" spans="1:12" x14ac:dyDescent="0.25">
      <c r="A4" t="s">
        <v>2</v>
      </c>
      <c r="B4" s="1">
        <v>2291</v>
      </c>
      <c r="C4">
        <v>502888</v>
      </c>
      <c r="D4"/>
      <c r="E4">
        <v>263696</v>
      </c>
      <c r="F4"/>
      <c r="G4">
        <v>112617</v>
      </c>
      <c r="H4"/>
      <c r="I4">
        <v>36941</v>
      </c>
      <c r="K4" s="10">
        <f t="shared" si="0"/>
        <v>916142</v>
      </c>
    </row>
    <row r="5" spans="1:12" x14ac:dyDescent="0.25">
      <c r="A5" t="s">
        <v>3</v>
      </c>
      <c r="B5" s="1">
        <v>2292</v>
      </c>
      <c r="C5">
        <v>10655</v>
      </c>
      <c r="D5"/>
      <c r="E5">
        <v>27623</v>
      </c>
      <c r="F5"/>
      <c r="G5">
        <v>3680</v>
      </c>
      <c r="H5"/>
      <c r="I5">
        <v>1580</v>
      </c>
      <c r="K5" s="10">
        <f t="shared" si="0"/>
        <v>43538</v>
      </c>
    </row>
    <row r="6" spans="1:12" x14ac:dyDescent="0.25">
      <c r="A6" t="s">
        <v>4</v>
      </c>
      <c r="B6" s="1">
        <v>2293</v>
      </c>
      <c r="C6">
        <v>45820</v>
      </c>
      <c r="D6"/>
      <c r="E6">
        <v>51927</v>
      </c>
      <c r="F6"/>
      <c r="G6">
        <v>11724</v>
      </c>
      <c r="H6"/>
      <c r="I6">
        <v>4728</v>
      </c>
      <c r="K6" s="10">
        <f t="shared" si="0"/>
        <v>114199</v>
      </c>
    </row>
    <row r="7" spans="1:12" x14ac:dyDescent="0.25">
      <c r="A7" t="s">
        <v>5</v>
      </c>
      <c r="B7" s="1">
        <v>2294</v>
      </c>
      <c r="C7">
        <v>5283</v>
      </c>
      <c r="D7"/>
      <c r="E7">
        <v>24572</v>
      </c>
      <c r="F7"/>
      <c r="G7">
        <v>2292</v>
      </c>
      <c r="H7"/>
      <c r="I7">
        <v>891</v>
      </c>
      <c r="K7" s="10">
        <f t="shared" si="0"/>
        <v>33038</v>
      </c>
    </row>
    <row r="8" spans="1:12" x14ac:dyDescent="0.25">
      <c r="A8" t="s">
        <v>6</v>
      </c>
      <c r="B8" s="1">
        <v>2295</v>
      </c>
      <c r="C8">
        <v>104261</v>
      </c>
      <c r="D8"/>
      <c r="E8">
        <v>118140</v>
      </c>
      <c r="F8"/>
      <c r="G8">
        <v>40643</v>
      </c>
      <c r="H8"/>
      <c r="I8">
        <v>10407</v>
      </c>
      <c r="K8" s="10">
        <f t="shared" si="0"/>
        <v>273451</v>
      </c>
    </row>
    <row r="9" spans="1:12" x14ac:dyDescent="0.25">
      <c r="A9" t="s">
        <v>7</v>
      </c>
      <c r="B9" s="1">
        <v>2296</v>
      </c>
      <c r="C9">
        <v>19752</v>
      </c>
      <c r="D9"/>
      <c r="E9">
        <v>50637</v>
      </c>
      <c r="F9"/>
      <c r="G9">
        <v>8381</v>
      </c>
      <c r="H9"/>
      <c r="I9">
        <v>2713</v>
      </c>
      <c r="K9" s="10">
        <f t="shared" si="0"/>
        <v>81483</v>
      </c>
    </row>
    <row r="10" spans="1:12" x14ac:dyDescent="0.25">
      <c r="A10" t="s">
        <v>8</v>
      </c>
      <c r="B10" s="1">
        <v>2297</v>
      </c>
      <c r="C10">
        <v>7808</v>
      </c>
      <c r="D10"/>
      <c r="E10">
        <v>25642</v>
      </c>
      <c r="F10"/>
      <c r="G10">
        <v>3836</v>
      </c>
      <c r="H10"/>
      <c r="I10">
        <v>1528</v>
      </c>
      <c r="K10" s="10">
        <f t="shared" si="0"/>
        <v>38814</v>
      </c>
    </row>
    <row r="11" spans="1:12" x14ac:dyDescent="0.25">
      <c r="A11" t="s">
        <v>9</v>
      </c>
      <c r="B11" s="1">
        <v>2298</v>
      </c>
      <c r="C11">
        <v>193793</v>
      </c>
      <c r="D11"/>
      <c r="E11">
        <v>202189</v>
      </c>
      <c r="F11"/>
      <c r="G11">
        <v>69479</v>
      </c>
      <c r="H11"/>
      <c r="I11">
        <v>18401</v>
      </c>
      <c r="K11" s="10">
        <f t="shared" si="0"/>
        <v>483862</v>
      </c>
    </row>
    <row r="12" spans="1:12" x14ac:dyDescent="0.25">
      <c r="A12" t="s">
        <v>10</v>
      </c>
      <c r="B12" s="1">
        <v>2299</v>
      </c>
      <c r="C12">
        <v>39069</v>
      </c>
      <c r="D12"/>
      <c r="E12">
        <v>82775</v>
      </c>
      <c r="F12"/>
      <c r="G12">
        <v>16148</v>
      </c>
      <c r="H12"/>
      <c r="I12">
        <v>5155</v>
      </c>
      <c r="K12" s="10">
        <f t="shared" si="0"/>
        <v>143147</v>
      </c>
    </row>
    <row r="13" spans="1:12" x14ac:dyDescent="0.25">
      <c r="A13" t="s">
        <v>11</v>
      </c>
      <c r="B13" s="1">
        <v>2300</v>
      </c>
      <c r="C13">
        <v>29453</v>
      </c>
      <c r="D13"/>
      <c r="E13">
        <v>46540</v>
      </c>
      <c r="F13"/>
      <c r="G13">
        <v>7817</v>
      </c>
      <c r="H13"/>
      <c r="I13">
        <v>2125</v>
      </c>
      <c r="K13" s="10">
        <f t="shared" si="0"/>
        <v>85935</v>
      </c>
    </row>
    <row r="14" spans="1:12" x14ac:dyDescent="0.25">
      <c r="A14" t="s">
        <v>12</v>
      </c>
      <c r="B14" s="1">
        <v>2301</v>
      </c>
      <c r="C14">
        <v>665</v>
      </c>
      <c r="D14"/>
      <c r="E14">
        <v>1835</v>
      </c>
      <c r="F14"/>
      <c r="G14">
        <v>253</v>
      </c>
      <c r="H14"/>
      <c r="I14">
        <v>123</v>
      </c>
      <c r="K14" s="10">
        <f t="shared" si="0"/>
        <v>2876</v>
      </c>
    </row>
    <row r="15" spans="1:12" x14ac:dyDescent="0.25">
      <c r="A15" t="s">
        <v>13</v>
      </c>
      <c r="B15" s="1">
        <v>2302</v>
      </c>
      <c r="C15">
        <v>14059</v>
      </c>
      <c r="D15"/>
      <c r="E15">
        <v>23836</v>
      </c>
      <c r="F15"/>
      <c r="G15">
        <v>5719</v>
      </c>
      <c r="H15"/>
      <c r="I15">
        <v>1919</v>
      </c>
      <c r="K15" s="10">
        <f t="shared" si="0"/>
        <v>45533</v>
      </c>
    </row>
    <row r="16" spans="1:12" x14ac:dyDescent="0.25">
      <c r="A16" t="s">
        <v>14</v>
      </c>
      <c r="B16" s="1">
        <v>2303</v>
      </c>
      <c r="C16">
        <v>41497</v>
      </c>
      <c r="D16"/>
      <c r="E16">
        <v>41914</v>
      </c>
      <c r="F16"/>
      <c r="G16">
        <v>16066</v>
      </c>
      <c r="H16"/>
      <c r="I16">
        <v>2693</v>
      </c>
      <c r="K16" s="10">
        <f t="shared" si="0"/>
        <v>102170</v>
      </c>
    </row>
    <row r="17" spans="1:11" x14ac:dyDescent="0.25">
      <c r="A17" t="s">
        <v>15</v>
      </c>
      <c r="B17" s="1">
        <v>2304</v>
      </c>
      <c r="C17">
        <v>160490</v>
      </c>
      <c r="D17"/>
      <c r="E17">
        <v>152160</v>
      </c>
      <c r="F17"/>
      <c r="G17">
        <v>58124</v>
      </c>
      <c r="H17"/>
      <c r="I17">
        <v>18013</v>
      </c>
      <c r="K17" s="10">
        <f t="shared" si="0"/>
        <v>388787</v>
      </c>
    </row>
    <row r="18" spans="1:11" x14ac:dyDescent="0.25">
      <c r="A18" t="s">
        <v>16</v>
      </c>
      <c r="B18" s="1">
        <v>2305</v>
      </c>
      <c r="C18">
        <v>5066</v>
      </c>
      <c r="D18"/>
      <c r="E18">
        <v>15566</v>
      </c>
      <c r="F18"/>
      <c r="G18">
        <v>2072</v>
      </c>
      <c r="H18"/>
      <c r="I18">
        <v>646</v>
      </c>
      <c r="K18" s="10">
        <f t="shared" si="0"/>
        <v>23350</v>
      </c>
    </row>
    <row r="19" spans="1:11" x14ac:dyDescent="0.25">
      <c r="A19" t="s">
        <v>17</v>
      </c>
      <c r="B19" s="1">
        <v>2306</v>
      </c>
      <c r="C19">
        <v>12049</v>
      </c>
      <c r="D19"/>
      <c r="E19">
        <v>31433</v>
      </c>
      <c r="F19"/>
      <c r="G19">
        <v>4281</v>
      </c>
      <c r="H19"/>
      <c r="I19">
        <v>1791</v>
      </c>
      <c r="K19" s="10">
        <f t="shared" si="0"/>
        <v>49554</v>
      </c>
    </row>
    <row r="20" spans="1:11" x14ac:dyDescent="0.25">
      <c r="A20" t="s">
        <v>18</v>
      </c>
      <c r="B20" s="1">
        <v>2307</v>
      </c>
      <c r="C20">
        <v>6061</v>
      </c>
      <c r="D20"/>
      <c r="E20">
        <v>13302</v>
      </c>
      <c r="F20"/>
      <c r="G20">
        <v>2398</v>
      </c>
      <c r="H20"/>
      <c r="I20">
        <v>741</v>
      </c>
      <c r="K20" s="10">
        <f t="shared" si="0"/>
        <v>22502</v>
      </c>
    </row>
    <row r="21" spans="1:11" x14ac:dyDescent="0.25">
      <c r="A21" t="s">
        <v>19</v>
      </c>
      <c r="B21" s="1">
        <v>2308</v>
      </c>
      <c r="C21">
        <v>11812</v>
      </c>
      <c r="D21"/>
      <c r="E21">
        <v>22427</v>
      </c>
      <c r="F21"/>
      <c r="G21">
        <v>4838</v>
      </c>
      <c r="H21"/>
      <c r="I21">
        <v>1491</v>
      </c>
      <c r="K21" s="10">
        <f t="shared" si="0"/>
        <v>40568</v>
      </c>
    </row>
    <row r="22" spans="1:11" x14ac:dyDescent="0.25">
      <c r="A22" t="s">
        <v>20</v>
      </c>
      <c r="B22" s="1">
        <v>2309</v>
      </c>
      <c r="C22">
        <v>14454</v>
      </c>
      <c r="D22"/>
      <c r="E22">
        <v>31859</v>
      </c>
      <c r="F22"/>
      <c r="G22">
        <v>4936</v>
      </c>
      <c r="H22"/>
      <c r="I22">
        <v>1839</v>
      </c>
      <c r="K22" s="10">
        <f t="shared" si="0"/>
        <v>53088</v>
      </c>
    </row>
    <row r="23" spans="1:11" x14ac:dyDescent="0.25">
      <c r="A23" t="s">
        <v>21</v>
      </c>
      <c r="B23" s="1">
        <v>2310</v>
      </c>
      <c r="C23">
        <v>61151</v>
      </c>
      <c r="D23"/>
      <c r="E23">
        <v>88335</v>
      </c>
      <c r="F23"/>
      <c r="G23">
        <v>26604</v>
      </c>
      <c r="H23"/>
      <c r="I23">
        <v>6502</v>
      </c>
      <c r="K23" s="10">
        <f t="shared" si="0"/>
        <v>182592</v>
      </c>
    </row>
    <row r="24" spans="1:11" x14ac:dyDescent="0.25">
      <c r="A24" t="s">
        <v>22</v>
      </c>
      <c r="B24" s="1">
        <v>2311</v>
      </c>
      <c r="C24">
        <v>85928</v>
      </c>
      <c r="D24"/>
      <c r="E24">
        <v>76136</v>
      </c>
      <c r="F24"/>
      <c r="G24">
        <v>30649</v>
      </c>
      <c r="H24"/>
      <c r="I24">
        <v>7247</v>
      </c>
      <c r="K24" s="10">
        <f t="shared" si="0"/>
        <v>199960</v>
      </c>
    </row>
    <row r="25" spans="1:11" x14ac:dyDescent="0.25">
      <c r="A25" t="s">
        <v>23</v>
      </c>
      <c r="B25" s="1">
        <v>2312</v>
      </c>
      <c r="C25">
        <v>202447</v>
      </c>
      <c r="D25"/>
      <c r="E25">
        <v>143157</v>
      </c>
      <c r="F25"/>
      <c r="G25">
        <v>48632</v>
      </c>
      <c r="H25"/>
      <c r="I25">
        <v>15713</v>
      </c>
      <c r="K25" s="10">
        <f t="shared" si="0"/>
        <v>409949</v>
      </c>
    </row>
    <row r="26" spans="1:11" x14ac:dyDescent="0.25">
      <c r="A26" t="s">
        <v>24</v>
      </c>
      <c r="B26" s="1">
        <v>2313</v>
      </c>
      <c r="C26">
        <v>5798</v>
      </c>
      <c r="D26"/>
      <c r="E26">
        <v>12135</v>
      </c>
      <c r="F26"/>
      <c r="G26">
        <v>1765</v>
      </c>
      <c r="H26"/>
      <c r="I26">
        <v>784</v>
      </c>
      <c r="K26" s="10">
        <f t="shared" si="0"/>
        <v>20482</v>
      </c>
    </row>
    <row r="27" spans="1:11" x14ac:dyDescent="0.25">
      <c r="A27" t="s">
        <v>25</v>
      </c>
      <c r="B27" s="1">
        <v>2314</v>
      </c>
      <c r="C27">
        <v>76558</v>
      </c>
      <c r="D27"/>
      <c r="E27">
        <v>70971</v>
      </c>
      <c r="F27"/>
      <c r="G27">
        <v>20741</v>
      </c>
      <c r="H27"/>
      <c r="I27">
        <v>6672</v>
      </c>
      <c r="K27" s="10">
        <f t="shared" si="0"/>
        <v>174942</v>
      </c>
    </row>
    <row r="28" spans="1:11" x14ac:dyDescent="0.25">
      <c r="A28" t="s">
        <v>26</v>
      </c>
      <c r="B28" s="1">
        <v>2315</v>
      </c>
      <c r="C28">
        <v>29575</v>
      </c>
      <c r="D28"/>
      <c r="E28">
        <v>41298</v>
      </c>
      <c r="F28"/>
      <c r="G28">
        <v>6629</v>
      </c>
      <c r="H28"/>
      <c r="I28">
        <v>2065</v>
      </c>
      <c r="K28" s="10">
        <f t="shared" si="0"/>
        <v>79567</v>
      </c>
    </row>
    <row r="29" spans="1:11" x14ac:dyDescent="0.25">
      <c r="A29" t="s">
        <v>27</v>
      </c>
      <c r="B29" s="1">
        <v>2316</v>
      </c>
      <c r="C29">
        <v>775</v>
      </c>
      <c r="D29"/>
      <c r="E29">
        <v>2040</v>
      </c>
      <c r="F29"/>
      <c r="G29">
        <v>270</v>
      </c>
      <c r="H29"/>
      <c r="I29">
        <v>122</v>
      </c>
      <c r="K29" s="10">
        <f t="shared" si="0"/>
        <v>3207</v>
      </c>
    </row>
    <row r="30" spans="1:11" x14ac:dyDescent="0.25">
      <c r="A30" t="s">
        <v>28</v>
      </c>
      <c r="B30" s="1">
        <v>2317</v>
      </c>
      <c r="C30">
        <v>23465</v>
      </c>
      <c r="D30"/>
      <c r="E30">
        <v>64401</v>
      </c>
      <c r="F30"/>
      <c r="G30">
        <v>13871</v>
      </c>
      <c r="H30"/>
      <c r="I30">
        <v>3417</v>
      </c>
      <c r="K30" s="10">
        <f t="shared" si="0"/>
        <v>105154</v>
      </c>
    </row>
    <row r="31" spans="1:11" x14ac:dyDescent="0.25">
      <c r="A31" t="s">
        <v>29</v>
      </c>
      <c r="B31" s="1">
        <v>2318</v>
      </c>
      <c r="C31">
        <v>1478</v>
      </c>
      <c r="D31"/>
      <c r="E31">
        <v>7498</v>
      </c>
      <c r="F31"/>
      <c r="G31">
        <v>899</v>
      </c>
      <c r="H31"/>
      <c r="I31">
        <v>267</v>
      </c>
      <c r="K31" s="10">
        <f t="shared" si="0"/>
        <v>10142</v>
      </c>
    </row>
    <row r="32" spans="1:11" x14ac:dyDescent="0.25">
      <c r="A32" t="s">
        <v>30</v>
      </c>
      <c r="B32" s="1">
        <v>2319</v>
      </c>
      <c r="C32">
        <v>7395</v>
      </c>
      <c r="D32"/>
      <c r="E32">
        <v>12145</v>
      </c>
      <c r="F32"/>
      <c r="G32">
        <v>1638</v>
      </c>
      <c r="H32"/>
      <c r="I32">
        <v>604</v>
      </c>
      <c r="K32" s="10">
        <f t="shared" si="0"/>
        <v>21782</v>
      </c>
    </row>
    <row r="33" spans="1:11" x14ac:dyDescent="0.25">
      <c r="A33" t="s">
        <v>31</v>
      </c>
      <c r="B33" s="1">
        <v>2320</v>
      </c>
      <c r="C33">
        <v>6026</v>
      </c>
      <c r="D33"/>
      <c r="E33">
        <v>18898</v>
      </c>
      <c r="F33"/>
      <c r="G33">
        <v>2361</v>
      </c>
      <c r="H33"/>
      <c r="I33">
        <v>597</v>
      </c>
      <c r="K33" s="10">
        <f t="shared" si="0"/>
        <v>27882</v>
      </c>
    </row>
    <row r="34" spans="1:11" x14ac:dyDescent="0.25">
      <c r="A34" t="s">
        <v>32</v>
      </c>
      <c r="B34" s="1">
        <v>2321</v>
      </c>
      <c r="C34">
        <v>13949</v>
      </c>
      <c r="D34"/>
      <c r="E34">
        <v>28900</v>
      </c>
      <c r="F34"/>
      <c r="G34">
        <v>4639</v>
      </c>
      <c r="H34"/>
      <c r="I34">
        <v>1682</v>
      </c>
      <c r="K34" s="10">
        <f t="shared" si="0"/>
        <v>49170</v>
      </c>
    </row>
    <row r="35" spans="1:11" x14ac:dyDescent="0.25">
      <c r="A35" t="s">
        <v>33</v>
      </c>
      <c r="B35" s="1">
        <v>2322</v>
      </c>
      <c r="C35">
        <v>5432</v>
      </c>
      <c r="D35"/>
      <c r="E35">
        <v>19457</v>
      </c>
      <c r="F35"/>
      <c r="G35">
        <v>2279</v>
      </c>
      <c r="H35"/>
      <c r="I35">
        <v>929</v>
      </c>
      <c r="K35" s="10">
        <f t="shared" ref="K35:K69" si="1">SUM(C35+E35+G35+I35)</f>
        <v>28097</v>
      </c>
    </row>
    <row r="36" spans="1:11" x14ac:dyDescent="0.25">
      <c r="A36" t="s">
        <v>34</v>
      </c>
      <c r="B36" s="1">
        <v>2323</v>
      </c>
      <c r="C36">
        <v>2543</v>
      </c>
      <c r="D36"/>
      <c r="E36">
        <v>10021</v>
      </c>
      <c r="F36"/>
      <c r="G36">
        <v>1165</v>
      </c>
      <c r="H36"/>
      <c r="I36">
        <v>331</v>
      </c>
      <c r="K36" s="10">
        <f t="shared" si="1"/>
        <v>14060</v>
      </c>
    </row>
    <row r="37" spans="1:11" x14ac:dyDescent="0.25">
      <c r="A37" t="s">
        <v>35</v>
      </c>
      <c r="B37" s="1">
        <v>2324</v>
      </c>
      <c r="C37">
        <v>76330</v>
      </c>
      <c r="D37"/>
      <c r="E37">
        <v>52306</v>
      </c>
      <c r="F37"/>
      <c r="G37">
        <v>17128</v>
      </c>
      <c r="H37"/>
      <c r="I37">
        <v>3464</v>
      </c>
      <c r="K37" s="10">
        <f t="shared" si="1"/>
        <v>149228</v>
      </c>
    </row>
    <row r="38" spans="1:11" x14ac:dyDescent="0.25">
      <c r="A38" t="s">
        <v>36</v>
      </c>
      <c r="B38" s="1">
        <v>2325</v>
      </c>
      <c r="C38">
        <v>112628</v>
      </c>
      <c r="D38"/>
      <c r="E38">
        <v>183904</v>
      </c>
      <c r="F38"/>
      <c r="G38">
        <v>51035</v>
      </c>
      <c r="H38"/>
      <c r="I38">
        <v>15985</v>
      </c>
      <c r="K38" s="10">
        <f t="shared" si="1"/>
        <v>363552</v>
      </c>
    </row>
    <row r="39" spans="1:11" x14ac:dyDescent="0.25">
      <c r="A39" t="s">
        <v>37</v>
      </c>
      <c r="B39" s="1">
        <v>2326</v>
      </c>
      <c r="C39">
        <v>19702</v>
      </c>
      <c r="D39"/>
      <c r="E39">
        <v>30147</v>
      </c>
      <c r="F39"/>
      <c r="G39">
        <v>5586</v>
      </c>
      <c r="H39"/>
      <c r="I39">
        <v>1898</v>
      </c>
      <c r="K39" s="10">
        <f t="shared" si="1"/>
        <v>57333</v>
      </c>
    </row>
    <row r="40" spans="1:11" x14ac:dyDescent="0.25">
      <c r="A40" t="s">
        <v>38</v>
      </c>
      <c r="B40" s="1">
        <v>2327</v>
      </c>
      <c r="C40">
        <v>25357</v>
      </c>
      <c r="D40"/>
      <c r="E40">
        <v>52639</v>
      </c>
      <c r="F40"/>
      <c r="G40">
        <v>12154</v>
      </c>
      <c r="H40"/>
      <c r="I40">
        <v>3696</v>
      </c>
      <c r="K40" s="10">
        <f t="shared" si="1"/>
        <v>93846</v>
      </c>
    </row>
    <row r="41" spans="1:11" x14ac:dyDescent="0.25">
      <c r="A41" t="s">
        <v>39</v>
      </c>
      <c r="B41" s="1">
        <v>2328</v>
      </c>
      <c r="C41">
        <v>111244</v>
      </c>
      <c r="D41"/>
      <c r="E41">
        <v>89704</v>
      </c>
      <c r="F41"/>
      <c r="G41">
        <v>45188</v>
      </c>
      <c r="H41"/>
      <c r="I41">
        <v>7334</v>
      </c>
      <c r="K41" s="10">
        <f t="shared" si="1"/>
        <v>253470</v>
      </c>
    </row>
    <row r="42" spans="1:11" x14ac:dyDescent="0.25">
      <c r="A42" t="s">
        <v>40</v>
      </c>
      <c r="B42" s="1">
        <v>2329</v>
      </c>
      <c r="C42">
        <v>84308</v>
      </c>
      <c r="D42"/>
      <c r="E42">
        <v>91214</v>
      </c>
      <c r="F42"/>
      <c r="G42">
        <v>25413</v>
      </c>
      <c r="H42"/>
      <c r="I42">
        <v>5664</v>
      </c>
      <c r="K42" s="10">
        <f t="shared" si="1"/>
        <v>206599</v>
      </c>
    </row>
    <row r="43" spans="1:11" x14ac:dyDescent="0.25">
      <c r="A43" t="s">
        <v>41</v>
      </c>
      <c r="B43" s="1">
        <v>2330</v>
      </c>
      <c r="C43">
        <v>18184</v>
      </c>
      <c r="D43"/>
      <c r="E43">
        <v>43861</v>
      </c>
      <c r="F43"/>
      <c r="G43">
        <v>7849</v>
      </c>
      <c r="H43"/>
      <c r="I43">
        <v>2726</v>
      </c>
      <c r="K43" s="10">
        <f t="shared" si="1"/>
        <v>72620</v>
      </c>
    </row>
    <row r="44" spans="1:11" x14ac:dyDescent="0.25">
      <c r="A44" t="s">
        <v>91</v>
      </c>
      <c r="B44" s="1">
        <v>2331</v>
      </c>
      <c r="C44">
        <v>5284</v>
      </c>
      <c r="D44"/>
      <c r="E44">
        <v>16165</v>
      </c>
      <c r="F44"/>
      <c r="G44">
        <v>2699</v>
      </c>
      <c r="H44"/>
      <c r="I44">
        <v>1026</v>
      </c>
      <c r="K44" s="10">
        <f t="shared" si="1"/>
        <v>25174</v>
      </c>
    </row>
    <row r="45" spans="1:11" x14ac:dyDescent="0.25">
      <c r="A45" t="s">
        <v>43</v>
      </c>
      <c r="B45" s="1">
        <v>2332</v>
      </c>
      <c r="C45">
        <v>23152</v>
      </c>
      <c r="D45"/>
      <c r="E45">
        <v>38300</v>
      </c>
      <c r="F45"/>
      <c r="G45">
        <v>8378</v>
      </c>
      <c r="H45"/>
      <c r="I45">
        <v>2029</v>
      </c>
      <c r="K45" s="10">
        <f t="shared" si="1"/>
        <v>71859</v>
      </c>
    </row>
    <row r="46" spans="1:11" x14ac:dyDescent="0.25">
      <c r="A46" t="s">
        <v>44</v>
      </c>
      <c r="B46" s="1">
        <v>2333</v>
      </c>
      <c r="C46">
        <v>5358</v>
      </c>
      <c r="D46"/>
      <c r="E46">
        <v>18628</v>
      </c>
      <c r="F46"/>
      <c r="G46">
        <v>2503</v>
      </c>
      <c r="H46"/>
      <c r="I46">
        <v>620</v>
      </c>
      <c r="K46" s="10">
        <f t="shared" si="1"/>
        <v>27109</v>
      </c>
    </row>
    <row r="47" spans="1:11" x14ac:dyDescent="0.25">
      <c r="A47" t="s">
        <v>45</v>
      </c>
      <c r="B47" s="1">
        <v>2334</v>
      </c>
      <c r="C47">
        <v>48388</v>
      </c>
      <c r="D47"/>
      <c r="E47">
        <v>43228</v>
      </c>
      <c r="F47"/>
      <c r="G47">
        <v>20393</v>
      </c>
      <c r="H47"/>
      <c r="I47">
        <v>5001</v>
      </c>
      <c r="K47" s="10">
        <f t="shared" si="1"/>
        <v>117010</v>
      </c>
    </row>
    <row r="48" spans="1:11" x14ac:dyDescent="0.25">
      <c r="A48" t="s">
        <v>46</v>
      </c>
      <c r="B48" s="1">
        <v>2335</v>
      </c>
      <c r="C48">
        <v>304890</v>
      </c>
      <c r="D48"/>
      <c r="E48">
        <v>208011</v>
      </c>
      <c r="F48"/>
      <c r="G48">
        <v>83535</v>
      </c>
      <c r="H48"/>
      <c r="I48">
        <v>26126</v>
      </c>
      <c r="K48" s="10">
        <f t="shared" si="1"/>
        <v>622562</v>
      </c>
    </row>
    <row r="49" spans="1:11" x14ac:dyDescent="0.25">
      <c r="A49" t="s">
        <v>47</v>
      </c>
      <c r="B49" s="1">
        <v>2336</v>
      </c>
      <c r="C49">
        <v>3752</v>
      </c>
      <c r="D49"/>
      <c r="E49">
        <v>6545</v>
      </c>
      <c r="F49"/>
      <c r="G49">
        <v>1603</v>
      </c>
      <c r="H49"/>
      <c r="I49">
        <v>406</v>
      </c>
      <c r="K49" s="10">
        <f t="shared" si="1"/>
        <v>12306</v>
      </c>
    </row>
    <row r="50" spans="1:11" x14ac:dyDescent="0.25">
      <c r="A50" t="s">
        <v>48</v>
      </c>
      <c r="B50" s="1">
        <v>2337</v>
      </c>
      <c r="C50">
        <v>95840</v>
      </c>
      <c r="D50"/>
      <c r="E50">
        <v>86951</v>
      </c>
      <c r="F50"/>
      <c r="G50">
        <v>39427</v>
      </c>
      <c r="H50"/>
      <c r="I50">
        <v>9587</v>
      </c>
      <c r="K50" s="10">
        <f t="shared" si="1"/>
        <v>231805</v>
      </c>
    </row>
    <row r="51" spans="1:11" x14ac:dyDescent="0.25">
      <c r="A51" t="s">
        <v>49</v>
      </c>
      <c r="B51" s="1">
        <v>2338</v>
      </c>
      <c r="C51">
        <v>15317</v>
      </c>
      <c r="D51"/>
      <c r="E51">
        <v>31921</v>
      </c>
      <c r="F51"/>
      <c r="G51">
        <v>5776</v>
      </c>
      <c r="H51"/>
      <c r="I51">
        <v>2240</v>
      </c>
      <c r="K51" s="10">
        <f t="shared" si="1"/>
        <v>55254</v>
      </c>
    </row>
    <row r="52" spans="1:11" x14ac:dyDescent="0.25">
      <c r="A52" t="s">
        <v>50</v>
      </c>
      <c r="B52" s="1">
        <v>2339</v>
      </c>
      <c r="C52">
        <v>5994</v>
      </c>
      <c r="D52"/>
      <c r="E52">
        <v>20975</v>
      </c>
      <c r="F52"/>
      <c r="G52">
        <v>3384</v>
      </c>
      <c r="H52"/>
      <c r="I52">
        <v>849</v>
      </c>
      <c r="K52" s="10">
        <f t="shared" si="1"/>
        <v>31202</v>
      </c>
    </row>
    <row r="53" spans="1:11" x14ac:dyDescent="0.25">
      <c r="A53" t="s">
        <v>51</v>
      </c>
      <c r="B53" s="1">
        <v>2340</v>
      </c>
      <c r="C53">
        <v>774511</v>
      </c>
      <c r="D53"/>
      <c r="E53">
        <v>131423</v>
      </c>
      <c r="F53"/>
      <c r="G53">
        <v>148540</v>
      </c>
      <c r="H53"/>
      <c r="I53">
        <v>26369</v>
      </c>
      <c r="K53" s="10">
        <f t="shared" si="1"/>
        <v>1080843</v>
      </c>
    </row>
    <row r="54" spans="1:11" x14ac:dyDescent="0.25">
      <c r="A54" t="s">
        <v>52</v>
      </c>
      <c r="B54" s="1">
        <v>2341</v>
      </c>
      <c r="C54">
        <v>13555</v>
      </c>
      <c r="D54"/>
      <c r="E54">
        <v>22977</v>
      </c>
      <c r="F54"/>
      <c r="G54">
        <v>8410</v>
      </c>
      <c r="H54"/>
      <c r="I54">
        <v>2150</v>
      </c>
      <c r="K54" s="10">
        <f t="shared" si="1"/>
        <v>47092</v>
      </c>
    </row>
    <row r="55" spans="1:11" x14ac:dyDescent="0.25">
      <c r="A55" t="s">
        <v>53</v>
      </c>
      <c r="B55" s="1">
        <v>2342</v>
      </c>
      <c r="C55">
        <v>1745</v>
      </c>
      <c r="D55"/>
      <c r="E55">
        <v>8023</v>
      </c>
      <c r="F55"/>
      <c r="G55">
        <v>991</v>
      </c>
      <c r="H55"/>
      <c r="I55">
        <v>274</v>
      </c>
      <c r="K55" s="10">
        <f t="shared" si="1"/>
        <v>11033</v>
      </c>
    </row>
    <row r="56" spans="1:11" x14ac:dyDescent="0.25">
      <c r="A56" t="s">
        <v>54</v>
      </c>
      <c r="B56" s="1">
        <v>2343</v>
      </c>
      <c r="C56">
        <v>25322</v>
      </c>
      <c r="D56"/>
      <c r="E56">
        <v>53122</v>
      </c>
      <c r="F56"/>
      <c r="G56">
        <v>9979</v>
      </c>
      <c r="H56"/>
      <c r="I56">
        <v>3775</v>
      </c>
      <c r="K56" s="10">
        <f t="shared" si="1"/>
        <v>92198</v>
      </c>
    </row>
    <row r="57" spans="1:11" x14ac:dyDescent="0.25">
      <c r="A57" t="s">
        <v>55</v>
      </c>
      <c r="B57" s="1">
        <v>2344</v>
      </c>
      <c r="C57">
        <v>4885</v>
      </c>
      <c r="D57"/>
      <c r="E57">
        <v>15961</v>
      </c>
      <c r="F57"/>
      <c r="G57">
        <v>2346</v>
      </c>
      <c r="H57"/>
      <c r="I57">
        <v>667</v>
      </c>
      <c r="K57" s="10">
        <f t="shared" si="1"/>
        <v>23859</v>
      </c>
    </row>
    <row r="58" spans="1:11" x14ac:dyDescent="0.25">
      <c r="A58" t="s">
        <v>56</v>
      </c>
      <c r="B58" s="1">
        <v>2345</v>
      </c>
      <c r="C58">
        <v>10512</v>
      </c>
      <c r="D58"/>
      <c r="E58">
        <v>32838</v>
      </c>
      <c r="F58"/>
      <c r="G58">
        <v>4364</v>
      </c>
      <c r="H58"/>
      <c r="I58">
        <v>763</v>
      </c>
      <c r="K58" s="10">
        <f t="shared" si="1"/>
        <v>48477</v>
      </c>
    </row>
    <row r="59" spans="1:11" x14ac:dyDescent="0.25">
      <c r="A59" t="s">
        <v>57</v>
      </c>
      <c r="B59" s="1">
        <v>2346</v>
      </c>
      <c r="C59">
        <v>1065</v>
      </c>
      <c r="D59"/>
      <c r="E59">
        <v>2856</v>
      </c>
      <c r="F59"/>
      <c r="G59">
        <v>377</v>
      </c>
      <c r="H59"/>
      <c r="I59">
        <v>160</v>
      </c>
      <c r="K59" s="10">
        <f t="shared" si="1"/>
        <v>4458</v>
      </c>
    </row>
    <row r="60" spans="1:11" x14ac:dyDescent="0.25">
      <c r="A60" t="s">
        <v>58</v>
      </c>
      <c r="B60" s="1">
        <v>2347</v>
      </c>
      <c r="C60">
        <v>6266</v>
      </c>
      <c r="D60"/>
      <c r="E60">
        <v>17573</v>
      </c>
      <c r="F60"/>
      <c r="G60">
        <v>2934</v>
      </c>
      <c r="H60"/>
      <c r="I60">
        <v>1156</v>
      </c>
      <c r="K60" s="10">
        <f t="shared" si="1"/>
        <v>27929</v>
      </c>
    </row>
    <row r="61" spans="1:11" x14ac:dyDescent="0.25">
      <c r="A61" t="s">
        <v>59</v>
      </c>
      <c r="B61" s="1">
        <v>2348</v>
      </c>
      <c r="C61">
        <v>4940</v>
      </c>
      <c r="D61"/>
      <c r="E61">
        <v>18113</v>
      </c>
      <c r="F61"/>
      <c r="G61">
        <v>2943</v>
      </c>
      <c r="H61"/>
      <c r="I61">
        <v>798</v>
      </c>
      <c r="K61" s="10">
        <f t="shared" si="1"/>
        <v>26794</v>
      </c>
    </row>
    <row r="62" spans="1:11" x14ac:dyDescent="0.25">
      <c r="A62" t="s">
        <v>60</v>
      </c>
      <c r="B62" s="1">
        <v>2349</v>
      </c>
      <c r="C62">
        <v>7784</v>
      </c>
      <c r="D62"/>
      <c r="E62">
        <v>14406</v>
      </c>
      <c r="F62"/>
      <c r="G62">
        <v>3226</v>
      </c>
      <c r="H62"/>
      <c r="I62">
        <v>983</v>
      </c>
      <c r="K62" s="10">
        <f t="shared" si="1"/>
        <v>26399</v>
      </c>
    </row>
    <row r="63" spans="1:11" x14ac:dyDescent="0.25">
      <c r="A63" t="s">
        <v>61</v>
      </c>
      <c r="B63" s="1">
        <v>2350</v>
      </c>
      <c r="C63">
        <v>8059</v>
      </c>
      <c r="D63"/>
      <c r="E63">
        <v>20177</v>
      </c>
      <c r="F63"/>
      <c r="G63">
        <v>3390</v>
      </c>
      <c r="H63"/>
      <c r="I63">
        <v>1216</v>
      </c>
      <c r="K63" s="10">
        <f t="shared" si="1"/>
        <v>32842</v>
      </c>
    </row>
    <row r="64" spans="1:11" x14ac:dyDescent="0.25">
      <c r="A64" t="s">
        <v>62</v>
      </c>
      <c r="B64" s="1">
        <v>2351</v>
      </c>
      <c r="C64">
        <v>6356</v>
      </c>
      <c r="D64"/>
      <c r="E64">
        <v>15269</v>
      </c>
      <c r="F64"/>
      <c r="G64">
        <v>2575</v>
      </c>
      <c r="H64"/>
      <c r="I64">
        <v>1257</v>
      </c>
      <c r="K64" s="10">
        <f t="shared" si="1"/>
        <v>25457</v>
      </c>
    </row>
    <row r="65" spans="1:11" x14ac:dyDescent="0.25">
      <c r="A65" t="s">
        <v>63</v>
      </c>
      <c r="B65" s="1">
        <v>2352</v>
      </c>
      <c r="C65">
        <v>52870</v>
      </c>
      <c r="D65"/>
      <c r="E65">
        <v>72998</v>
      </c>
      <c r="F65"/>
      <c r="G65">
        <v>15907</v>
      </c>
      <c r="H65"/>
      <c r="I65">
        <v>3797</v>
      </c>
      <c r="K65" s="10">
        <f t="shared" si="1"/>
        <v>145572</v>
      </c>
    </row>
    <row r="66" spans="1:11" x14ac:dyDescent="0.25">
      <c r="A66" t="s">
        <v>64</v>
      </c>
      <c r="B66" s="1">
        <v>2353</v>
      </c>
      <c r="C66">
        <v>8676</v>
      </c>
      <c r="D66"/>
      <c r="E66">
        <v>21713</v>
      </c>
      <c r="F66"/>
      <c r="G66">
        <v>5117</v>
      </c>
      <c r="H66"/>
      <c r="I66">
        <v>1053</v>
      </c>
      <c r="K66" s="10">
        <f t="shared" si="1"/>
        <v>36559</v>
      </c>
    </row>
    <row r="67" spans="1:11" x14ac:dyDescent="0.25">
      <c r="A67" t="s">
        <v>65</v>
      </c>
      <c r="B67" s="1">
        <v>2354</v>
      </c>
      <c r="C67">
        <v>86992</v>
      </c>
      <c r="D67"/>
      <c r="E67">
        <v>131010</v>
      </c>
      <c r="F67"/>
      <c r="G67">
        <v>23655</v>
      </c>
      <c r="H67"/>
      <c r="I67">
        <v>9227</v>
      </c>
      <c r="K67" s="10">
        <f t="shared" si="1"/>
        <v>250884</v>
      </c>
    </row>
    <row r="68" spans="1:11" x14ac:dyDescent="0.25">
      <c r="A68" t="s">
        <v>66</v>
      </c>
      <c r="B68" s="1">
        <v>2355</v>
      </c>
      <c r="C68">
        <v>4671</v>
      </c>
      <c r="D68"/>
      <c r="E68">
        <v>11346</v>
      </c>
      <c r="F68"/>
      <c r="G68">
        <v>1792</v>
      </c>
      <c r="H68"/>
      <c r="I68">
        <v>659</v>
      </c>
      <c r="K68" s="10">
        <f t="shared" si="1"/>
        <v>18468</v>
      </c>
    </row>
    <row r="69" spans="1:11" ht="13.8" thickBot="1" x14ac:dyDescent="0.3">
      <c r="A69" s="2" t="s">
        <v>67</v>
      </c>
      <c r="B69" s="5">
        <v>2356</v>
      </c>
      <c r="C69">
        <v>96292</v>
      </c>
      <c r="D69"/>
      <c r="E69">
        <v>168426</v>
      </c>
      <c r="F69"/>
      <c r="G69">
        <v>53230</v>
      </c>
      <c r="H69"/>
      <c r="I69">
        <v>8812</v>
      </c>
      <c r="J69" s="13"/>
      <c r="K69" s="10">
        <f t="shared" si="1"/>
        <v>326760</v>
      </c>
    </row>
    <row r="70" spans="1:11" ht="21.75" customHeight="1" x14ac:dyDescent="0.25">
      <c r="A70" s="6" t="s">
        <v>68</v>
      </c>
      <c r="C70" s="14">
        <f>SUM(C3:C69)</f>
        <v>3836839</v>
      </c>
      <c r="D70" s="14"/>
      <c r="E70" s="14">
        <f>SUM(E3:E69)</f>
        <v>3640172</v>
      </c>
      <c r="F70" s="14"/>
      <c r="G70" s="14">
        <f>SUM(G3:G69)</f>
        <v>1169757</v>
      </c>
      <c r="H70" s="14"/>
      <c r="I70" s="14">
        <f>SUM(I3:I69)</f>
        <v>315218</v>
      </c>
      <c r="J70" s="14"/>
      <c r="K70" s="44">
        <f>SUM(K3:K69)</f>
        <v>8961986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L2" sqref="L2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3</v>
      </c>
      <c r="C4" s="42">
        <v>1</v>
      </c>
      <c r="D4" s="42">
        <v>1</v>
      </c>
      <c r="E4" s="42">
        <v>6</v>
      </c>
      <c r="F4" s="42">
        <v>92</v>
      </c>
      <c r="G4" s="42">
        <v>127</v>
      </c>
      <c r="H4" s="42">
        <v>94</v>
      </c>
      <c r="I4" s="42">
        <v>134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76</v>
      </c>
      <c r="C5" s="42">
        <v>152</v>
      </c>
      <c r="D5" s="42">
        <v>65</v>
      </c>
      <c r="E5" s="42">
        <v>39</v>
      </c>
      <c r="F5" s="42">
        <v>994</v>
      </c>
      <c r="G5" s="42">
        <v>1713</v>
      </c>
      <c r="H5" s="42">
        <v>972</v>
      </c>
      <c r="I5" s="42">
        <v>482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2</v>
      </c>
      <c r="C6" s="42">
        <v>0</v>
      </c>
      <c r="D6" s="42">
        <v>3</v>
      </c>
      <c r="E6" s="42">
        <v>0</v>
      </c>
      <c r="F6" s="42">
        <v>30</v>
      </c>
      <c r="G6" s="42">
        <v>32</v>
      </c>
      <c r="H6" s="42">
        <v>84</v>
      </c>
      <c r="I6" s="42">
        <v>34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6</v>
      </c>
      <c r="C7" s="42">
        <v>7</v>
      </c>
      <c r="D7" s="42">
        <v>3</v>
      </c>
      <c r="E7" s="42">
        <v>4</v>
      </c>
      <c r="F7" s="42">
        <v>108</v>
      </c>
      <c r="G7" s="42">
        <v>157</v>
      </c>
      <c r="H7" s="42">
        <v>199</v>
      </c>
      <c r="I7" s="42">
        <v>79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0</v>
      </c>
      <c r="C8" s="42">
        <v>0</v>
      </c>
      <c r="D8" s="42">
        <v>0</v>
      </c>
      <c r="E8" s="42">
        <v>1</v>
      </c>
      <c r="F8" s="42">
        <v>17</v>
      </c>
      <c r="G8" s="42">
        <v>17</v>
      </c>
      <c r="H8" s="42">
        <v>22</v>
      </c>
      <c r="I8" s="42">
        <v>19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27</v>
      </c>
      <c r="C9" s="42">
        <v>50</v>
      </c>
      <c r="D9" s="42">
        <v>26</v>
      </c>
      <c r="E9" s="42">
        <v>25</v>
      </c>
      <c r="F9" s="42">
        <v>364</v>
      </c>
      <c r="G9" s="42">
        <v>545</v>
      </c>
      <c r="H9" s="42">
        <v>449</v>
      </c>
      <c r="I9" s="42">
        <v>360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1</v>
      </c>
      <c r="C10" s="42">
        <v>5</v>
      </c>
      <c r="D10" s="42">
        <v>1</v>
      </c>
      <c r="E10" s="42">
        <v>1</v>
      </c>
      <c r="F10" s="42">
        <v>80</v>
      </c>
      <c r="G10" s="42">
        <v>108</v>
      </c>
      <c r="H10" s="42">
        <v>77</v>
      </c>
      <c r="I10" s="42">
        <v>77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0</v>
      </c>
      <c r="C11" s="42">
        <v>2</v>
      </c>
      <c r="D11" s="42">
        <v>2</v>
      </c>
      <c r="E11" s="42">
        <v>0</v>
      </c>
      <c r="F11" s="42">
        <v>37</v>
      </c>
      <c r="G11" s="42">
        <v>41</v>
      </c>
      <c r="H11" s="42">
        <v>51</v>
      </c>
      <c r="I11" s="42">
        <v>64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20</v>
      </c>
      <c r="C12" s="42">
        <v>31</v>
      </c>
      <c r="D12" s="42">
        <v>27</v>
      </c>
      <c r="E12" s="42">
        <v>21</v>
      </c>
      <c r="F12" s="42">
        <v>800</v>
      </c>
      <c r="G12" s="42">
        <v>1313</v>
      </c>
      <c r="H12" s="42">
        <v>692</v>
      </c>
      <c r="I12" s="42">
        <v>724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4</v>
      </c>
      <c r="C13" s="42">
        <v>3</v>
      </c>
      <c r="D13" s="42">
        <v>5</v>
      </c>
      <c r="E13" s="42">
        <v>10</v>
      </c>
      <c r="F13" s="42">
        <v>170</v>
      </c>
      <c r="G13" s="42">
        <v>211</v>
      </c>
      <c r="H13" s="42">
        <v>130</v>
      </c>
      <c r="I13" s="42">
        <v>149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1</v>
      </c>
      <c r="C14" s="42">
        <v>1</v>
      </c>
      <c r="D14" s="42">
        <v>6</v>
      </c>
      <c r="E14" s="42">
        <v>2</v>
      </c>
      <c r="F14" s="42">
        <v>95</v>
      </c>
      <c r="G14" s="42">
        <v>81</v>
      </c>
      <c r="H14" s="42">
        <v>207</v>
      </c>
      <c r="I14" s="42">
        <v>81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1</v>
      </c>
      <c r="G15" s="42">
        <v>1</v>
      </c>
      <c r="H15" s="42">
        <v>7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1</v>
      </c>
      <c r="C16" s="42">
        <v>1</v>
      </c>
      <c r="D16" s="42">
        <v>2</v>
      </c>
      <c r="E16" s="42">
        <v>1</v>
      </c>
      <c r="F16" s="42">
        <v>35</v>
      </c>
      <c r="G16" s="42">
        <v>72</v>
      </c>
      <c r="H16" s="42">
        <v>57</v>
      </c>
      <c r="I16" s="42">
        <v>44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17</v>
      </c>
      <c r="C17" s="42">
        <v>27</v>
      </c>
      <c r="D17" s="42">
        <v>9</v>
      </c>
      <c r="E17" s="42">
        <v>10</v>
      </c>
      <c r="F17" s="42">
        <v>112</v>
      </c>
      <c r="G17" s="42">
        <v>160</v>
      </c>
      <c r="H17" s="42">
        <v>60</v>
      </c>
      <c r="I17" s="42">
        <v>88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5</v>
      </c>
      <c r="C18" s="42">
        <v>11</v>
      </c>
      <c r="D18" s="42">
        <v>2</v>
      </c>
      <c r="E18" s="42">
        <v>6</v>
      </c>
      <c r="F18" s="42">
        <v>582</v>
      </c>
      <c r="G18" s="42">
        <v>993</v>
      </c>
      <c r="H18" s="42">
        <v>318</v>
      </c>
      <c r="I18" s="42">
        <v>503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0</v>
      </c>
      <c r="C19" s="42">
        <v>0</v>
      </c>
      <c r="D19" s="42">
        <v>0</v>
      </c>
      <c r="E19" s="42">
        <v>0</v>
      </c>
      <c r="F19" s="42">
        <v>11</v>
      </c>
      <c r="G19" s="42">
        <v>14</v>
      </c>
      <c r="H19" s="42">
        <v>18</v>
      </c>
      <c r="I19" s="42">
        <v>10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0</v>
      </c>
      <c r="C20" s="42">
        <v>1</v>
      </c>
      <c r="D20" s="42">
        <v>2</v>
      </c>
      <c r="E20" s="42">
        <v>1</v>
      </c>
      <c r="F20" s="42">
        <v>28</v>
      </c>
      <c r="G20" s="42">
        <v>40</v>
      </c>
      <c r="H20" s="42">
        <v>87</v>
      </c>
      <c r="I20" s="42">
        <v>53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0</v>
      </c>
      <c r="C21" s="42">
        <v>1</v>
      </c>
      <c r="D21" s="42">
        <v>1</v>
      </c>
      <c r="E21" s="42">
        <v>0</v>
      </c>
      <c r="F21" s="42">
        <v>21</v>
      </c>
      <c r="G21" s="42">
        <v>33</v>
      </c>
      <c r="H21" s="42">
        <v>29</v>
      </c>
      <c r="I21" s="42">
        <v>31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2</v>
      </c>
      <c r="C22" s="42">
        <v>2</v>
      </c>
      <c r="D22" s="42">
        <v>0</v>
      </c>
      <c r="E22" s="42">
        <v>0</v>
      </c>
      <c r="F22" s="42">
        <v>37</v>
      </c>
      <c r="G22" s="42">
        <v>46</v>
      </c>
      <c r="H22" s="42">
        <v>35</v>
      </c>
      <c r="I22" s="42">
        <v>29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0</v>
      </c>
      <c r="C23" s="42">
        <v>2</v>
      </c>
      <c r="D23" s="42">
        <v>2</v>
      </c>
      <c r="E23" s="42">
        <v>4</v>
      </c>
      <c r="F23" s="42">
        <v>44</v>
      </c>
      <c r="G23" s="42">
        <v>32</v>
      </c>
      <c r="H23" s="42">
        <v>49</v>
      </c>
      <c r="I23" s="42">
        <v>32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17</v>
      </c>
      <c r="C24" s="42">
        <v>13</v>
      </c>
      <c r="D24" s="42">
        <v>7</v>
      </c>
      <c r="E24" s="42">
        <v>11</v>
      </c>
      <c r="F24" s="42">
        <v>284</v>
      </c>
      <c r="G24" s="42">
        <v>405</v>
      </c>
      <c r="H24" s="42">
        <v>179</v>
      </c>
      <c r="I24" s="42">
        <v>282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23</v>
      </c>
      <c r="C25" s="42">
        <v>77</v>
      </c>
      <c r="D25" s="42">
        <v>15</v>
      </c>
      <c r="E25" s="42">
        <v>16</v>
      </c>
      <c r="F25" s="42">
        <v>517</v>
      </c>
      <c r="G25" s="42">
        <v>977</v>
      </c>
      <c r="H25" s="42">
        <v>294</v>
      </c>
      <c r="I25" s="42">
        <v>266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17</v>
      </c>
      <c r="C26" s="42">
        <v>16</v>
      </c>
      <c r="D26" s="42">
        <v>5</v>
      </c>
      <c r="E26" s="42">
        <v>1</v>
      </c>
      <c r="F26" s="42">
        <v>606</v>
      </c>
      <c r="G26" s="42">
        <v>736</v>
      </c>
      <c r="H26" s="42">
        <v>364</v>
      </c>
      <c r="I26" s="42">
        <v>196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0</v>
      </c>
      <c r="C27" s="42">
        <v>1</v>
      </c>
      <c r="D27" s="42">
        <v>1</v>
      </c>
      <c r="E27" s="42">
        <v>1</v>
      </c>
      <c r="F27" s="42">
        <v>18</v>
      </c>
      <c r="G27" s="42">
        <v>15</v>
      </c>
      <c r="H27" s="42">
        <v>37</v>
      </c>
      <c r="I27" s="42">
        <v>12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10</v>
      </c>
      <c r="C28" s="42">
        <v>19</v>
      </c>
      <c r="D28" s="42">
        <v>9</v>
      </c>
      <c r="E28" s="42">
        <v>2</v>
      </c>
      <c r="F28" s="42">
        <v>247</v>
      </c>
      <c r="G28" s="42">
        <v>266</v>
      </c>
      <c r="H28" s="42">
        <v>255</v>
      </c>
      <c r="I28" s="42">
        <v>111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15</v>
      </c>
      <c r="C29" s="42">
        <v>13</v>
      </c>
      <c r="D29" s="42">
        <v>29</v>
      </c>
      <c r="E29" s="42">
        <v>12</v>
      </c>
      <c r="F29" s="42">
        <v>95</v>
      </c>
      <c r="G29" s="42">
        <v>66</v>
      </c>
      <c r="H29" s="42">
        <v>219</v>
      </c>
      <c r="I29" s="42">
        <v>71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1</v>
      </c>
      <c r="E30" s="42">
        <v>1</v>
      </c>
      <c r="F30" s="42">
        <v>2</v>
      </c>
      <c r="G30" s="42">
        <v>0</v>
      </c>
      <c r="H30" s="42">
        <v>4</v>
      </c>
      <c r="I30" s="42">
        <v>2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4</v>
      </c>
      <c r="C31" s="42">
        <v>5</v>
      </c>
      <c r="D31" s="42">
        <v>6</v>
      </c>
      <c r="E31" s="42">
        <v>3</v>
      </c>
      <c r="F31" s="42">
        <v>146</v>
      </c>
      <c r="G31" s="42">
        <v>158</v>
      </c>
      <c r="H31" s="42">
        <v>110</v>
      </c>
      <c r="I31" s="42">
        <v>167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1</v>
      </c>
      <c r="C32" s="42">
        <v>0</v>
      </c>
      <c r="D32" s="42">
        <v>0</v>
      </c>
      <c r="E32" s="42">
        <v>2</v>
      </c>
      <c r="F32" s="42">
        <v>5</v>
      </c>
      <c r="G32" s="42">
        <v>2</v>
      </c>
      <c r="H32" s="42">
        <v>15</v>
      </c>
      <c r="I32" s="42">
        <v>11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0</v>
      </c>
      <c r="C33" s="42">
        <v>0</v>
      </c>
      <c r="D33" s="42">
        <v>1</v>
      </c>
      <c r="E33" s="42">
        <v>2</v>
      </c>
      <c r="F33" s="42">
        <v>16</v>
      </c>
      <c r="G33" s="42">
        <v>11</v>
      </c>
      <c r="H33" s="42">
        <v>86</v>
      </c>
      <c r="I33" s="42">
        <v>40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1</v>
      </c>
      <c r="C34" s="42">
        <v>0</v>
      </c>
      <c r="D34" s="42">
        <v>0</v>
      </c>
      <c r="E34" s="42">
        <v>2</v>
      </c>
      <c r="F34" s="42">
        <v>20</v>
      </c>
      <c r="G34" s="42">
        <v>26</v>
      </c>
      <c r="H34" s="42">
        <v>35</v>
      </c>
      <c r="I34" s="42">
        <v>21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1</v>
      </c>
      <c r="C35" s="42">
        <v>1</v>
      </c>
      <c r="D35" s="42">
        <v>3</v>
      </c>
      <c r="E35" s="42">
        <v>0</v>
      </c>
      <c r="F35" s="42">
        <v>31</v>
      </c>
      <c r="G35" s="42">
        <v>40</v>
      </c>
      <c r="H35" s="42">
        <v>73</v>
      </c>
      <c r="I35" s="42">
        <v>55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0</v>
      </c>
      <c r="D36" s="42">
        <v>0</v>
      </c>
      <c r="E36" s="42">
        <v>0</v>
      </c>
      <c r="F36" s="42">
        <v>15</v>
      </c>
      <c r="G36" s="42">
        <v>22</v>
      </c>
      <c r="H36" s="42">
        <v>11</v>
      </c>
      <c r="I36" s="42">
        <v>15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0</v>
      </c>
      <c r="C37" s="42">
        <v>0</v>
      </c>
      <c r="D37" s="42">
        <v>0</v>
      </c>
      <c r="E37" s="42">
        <v>0</v>
      </c>
      <c r="F37" s="42">
        <v>11</v>
      </c>
      <c r="G37" s="42">
        <v>8</v>
      </c>
      <c r="H37" s="42">
        <v>9</v>
      </c>
      <c r="I37" s="42">
        <v>11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36</v>
      </c>
      <c r="C38" s="42">
        <v>41</v>
      </c>
      <c r="D38" s="42">
        <v>34</v>
      </c>
      <c r="E38" s="42">
        <v>15</v>
      </c>
      <c r="F38" s="42">
        <v>269</v>
      </c>
      <c r="G38" s="42">
        <v>266</v>
      </c>
      <c r="H38" s="42">
        <v>291</v>
      </c>
      <c r="I38" s="42">
        <v>114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25</v>
      </c>
      <c r="C39" s="42">
        <v>34</v>
      </c>
      <c r="D39" s="42">
        <v>9</v>
      </c>
      <c r="E39" s="42">
        <v>28</v>
      </c>
      <c r="F39" s="42">
        <v>635</v>
      </c>
      <c r="G39" s="42">
        <v>942</v>
      </c>
      <c r="H39" s="42">
        <v>455</v>
      </c>
      <c r="I39" s="42">
        <v>640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1</v>
      </c>
      <c r="C40" s="42">
        <v>1</v>
      </c>
      <c r="D40" s="42">
        <v>3</v>
      </c>
      <c r="E40" s="42">
        <v>0</v>
      </c>
      <c r="F40" s="42">
        <v>49</v>
      </c>
      <c r="G40" s="42">
        <v>50</v>
      </c>
      <c r="H40" s="42">
        <v>86</v>
      </c>
      <c r="I40" s="42">
        <v>54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11</v>
      </c>
      <c r="C41" s="42">
        <v>7</v>
      </c>
      <c r="D41" s="42">
        <v>10</v>
      </c>
      <c r="E41" s="42">
        <v>10</v>
      </c>
      <c r="F41" s="42">
        <v>155</v>
      </c>
      <c r="G41" s="42">
        <v>145</v>
      </c>
      <c r="H41" s="42">
        <v>133</v>
      </c>
      <c r="I41" s="42">
        <v>146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77</v>
      </c>
      <c r="C42" s="42">
        <v>138</v>
      </c>
      <c r="D42" s="42">
        <v>42</v>
      </c>
      <c r="E42" s="42">
        <v>38</v>
      </c>
      <c r="F42" s="42">
        <v>519</v>
      </c>
      <c r="G42" s="42">
        <v>747</v>
      </c>
      <c r="H42" s="42">
        <v>303</v>
      </c>
      <c r="I42" s="42">
        <v>248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51</v>
      </c>
      <c r="C43" s="42">
        <v>100</v>
      </c>
      <c r="D43" s="42">
        <v>74</v>
      </c>
      <c r="E43" s="42">
        <v>35</v>
      </c>
      <c r="F43" s="42">
        <v>279</v>
      </c>
      <c r="G43" s="42">
        <v>319</v>
      </c>
      <c r="H43" s="42">
        <v>440</v>
      </c>
      <c r="I43" s="42">
        <v>200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5</v>
      </c>
      <c r="C44" s="42">
        <v>1</v>
      </c>
      <c r="D44" s="42">
        <v>3</v>
      </c>
      <c r="E44" s="42">
        <v>3</v>
      </c>
      <c r="F44" s="42">
        <v>101</v>
      </c>
      <c r="G44" s="42">
        <v>105</v>
      </c>
      <c r="H44" s="42">
        <v>100</v>
      </c>
      <c r="I44" s="42">
        <v>117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0</v>
      </c>
      <c r="D45" s="42">
        <v>0</v>
      </c>
      <c r="E45" s="42">
        <v>0</v>
      </c>
      <c r="F45" s="42">
        <v>16</v>
      </c>
      <c r="G45" s="42">
        <v>10</v>
      </c>
      <c r="H45" s="42">
        <v>7</v>
      </c>
      <c r="I45" s="42">
        <v>7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2</v>
      </c>
      <c r="C46" s="42">
        <v>2</v>
      </c>
      <c r="D46" s="42">
        <v>3</v>
      </c>
      <c r="E46" s="42">
        <v>2</v>
      </c>
      <c r="F46" s="42">
        <v>73</v>
      </c>
      <c r="G46" s="42">
        <v>93</v>
      </c>
      <c r="H46" s="42">
        <v>94</v>
      </c>
      <c r="I46" s="42">
        <v>61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1</v>
      </c>
      <c r="C47" s="42">
        <v>0</v>
      </c>
      <c r="D47" s="42">
        <v>3</v>
      </c>
      <c r="E47" s="42">
        <v>1</v>
      </c>
      <c r="F47" s="42">
        <v>25</v>
      </c>
      <c r="G47" s="42">
        <v>29</v>
      </c>
      <c r="H47" s="42">
        <v>29</v>
      </c>
      <c r="I47" s="42">
        <v>19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3</v>
      </c>
      <c r="C48" s="42">
        <v>11</v>
      </c>
      <c r="D48" s="42">
        <v>1</v>
      </c>
      <c r="E48" s="42">
        <v>4</v>
      </c>
      <c r="F48" s="42">
        <v>118</v>
      </c>
      <c r="G48" s="42">
        <v>249</v>
      </c>
      <c r="H48" s="42">
        <v>155</v>
      </c>
      <c r="I48" s="42">
        <v>177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17</v>
      </c>
      <c r="C49" s="42">
        <v>32</v>
      </c>
      <c r="D49" s="42">
        <v>30</v>
      </c>
      <c r="E49" s="42">
        <v>14</v>
      </c>
      <c r="F49" s="42">
        <v>1089</v>
      </c>
      <c r="G49" s="42">
        <v>1523</v>
      </c>
      <c r="H49" s="42">
        <v>761</v>
      </c>
      <c r="I49" s="42">
        <v>633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12</v>
      </c>
      <c r="G50" s="42">
        <v>9</v>
      </c>
      <c r="H50" s="42">
        <v>8</v>
      </c>
      <c r="I50" s="42">
        <v>5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23</v>
      </c>
      <c r="C51" s="42">
        <v>24</v>
      </c>
      <c r="D51" s="42">
        <v>25</v>
      </c>
      <c r="E51" s="42">
        <v>29</v>
      </c>
      <c r="F51" s="42">
        <v>359</v>
      </c>
      <c r="G51" s="42">
        <v>612</v>
      </c>
      <c r="H51" s="42">
        <v>356</v>
      </c>
      <c r="I51" s="42">
        <v>330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3</v>
      </c>
      <c r="C52" s="42">
        <v>3</v>
      </c>
      <c r="D52" s="42">
        <v>4</v>
      </c>
      <c r="E52" s="42">
        <v>0</v>
      </c>
      <c r="F52" s="42">
        <v>64</v>
      </c>
      <c r="G52" s="42">
        <v>61</v>
      </c>
      <c r="H52" s="42">
        <v>72</v>
      </c>
      <c r="I52" s="42">
        <v>39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3</v>
      </c>
      <c r="C53" s="42">
        <v>8</v>
      </c>
      <c r="D53" s="42">
        <v>5</v>
      </c>
      <c r="E53" s="42">
        <v>7</v>
      </c>
      <c r="F53" s="42">
        <v>28</v>
      </c>
      <c r="G53" s="42">
        <v>47</v>
      </c>
      <c r="H53" s="42">
        <v>33</v>
      </c>
      <c r="I53" s="42">
        <v>43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25</v>
      </c>
      <c r="C54" s="42">
        <v>91</v>
      </c>
      <c r="D54" s="42">
        <v>20</v>
      </c>
      <c r="E54" s="42">
        <v>8</v>
      </c>
      <c r="F54" s="42">
        <v>1111</v>
      </c>
      <c r="G54" s="42">
        <v>3268</v>
      </c>
      <c r="H54" s="42">
        <v>1201</v>
      </c>
      <c r="I54" s="42">
        <v>498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0</v>
      </c>
      <c r="C55" s="42">
        <v>1</v>
      </c>
      <c r="D55" s="42">
        <v>0</v>
      </c>
      <c r="E55" s="42">
        <v>2</v>
      </c>
      <c r="F55" s="42">
        <v>41</v>
      </c>
      <c r="G55" s="42">
        <v>72</v>
      </c>
      <c r="H55" s="42">
        <v>52</v>
      </c>
      <c r="I55" s="42">
        <v>89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5</v>
      </c>
      <c r="G56" s="42">
        <v>3</v>
      </c>
      <c r="H56" s="42">
        <v>9</v>
      </c>
      <c r="I56" s="42">
        <v>9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1</v>
      </c>
      <c r="C57" s="42">
        <v>1</v>
      </c>
      <c r="D57" s="42">
        <v>1</v>
      </c>
      <c r="E57" s="42">
        <v>3</v>
      </c>
      <c r="F57" s="42">
        <v>101</v>
      </c>
      <c r="G57" s="42">
        <v>100</v>
      </c>
      <c r="H57" s="42">
        <v>160</v>
      </c>
      <c r="I57" s="42">
        <v>99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2</v>
      </c>
      <c r="C58" s="42">
        <v>0</v>
      </c>
      <c r="D58" s="42">
        <v>0</v>
      </c>
      <c r="E58" s="42">
        <v>1</v>
      </c>
      <c r="F58" s="42">
        <v>16</v>
      </c>
      <c r="G58" s="42">
        <v>18</v>
      </c>
      <c r="H58" s="42">
        <v>6</v>
      </c>
      <c r="I58" s="42">
        <v>23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3</v>
      </c>
      <c r="C59" s="42">
        <v>0</v>
      </c>
      <c r="D59" s="42">
        <v>5</v>
      </c>
      <c r="E59" s="42">
        <v>4</v>
      </c>
      <c r="F59" s="42">
        <v>46</v>
      </c>
      <c r="G59" s="42">
        <v>40</v>
      </c>
      <c r="H59" s="42">
        <v>107</v>
      </c>
      <c r="I59" s="42">
        <v>77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0</v>
      </c>
      <c r="D60" s="42">
        <v>2</v>
      </c>
      <c r="E60" s="42">
        <v>0</v>
      </c>
      <c r="F60" s="42">
        <v>6</v>
      </c>
      <c r="G60" s="42">
        <v>2</v>
      </c>
      <c r="H60" s="42">
        <v>6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2</v>
      </c>
      <c r="C61" s="42">
        <v>4</v>
      </c>
      <c r="D61" s="42">
        <v>3</v>
      </c>
      <c r="E61" s="42">
        <v>3</v>
      </c>
      <c r="F61" s="42">
        <v>30</v>
      </c>
      <c r="G61" s="42">
        <v>31</v>
      </c>
      <c r="H61" s="42">
        <v>30</v>
      </c>
      <c r="I61" s="42">
        <v>30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5</v>
      </c>
      <c r="C62" s="42">
        <v>3</v>
      </c>
      <c r="D62" s="42">
        <v>3</v>
      </c>
      <c r="E62" s="42">
        <v>3</v>
      </c>
      <c r="F62" s="42">
        <v>29</v>
      </c>
      <c r="G62" s="42">
        <v>32</v>
      </c>
      <c r="H62" s="42">
        <v>31</v>
      </c>
      <c r="I62" s="42">
        <v>36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0</v>
      </c>
      <c r="C63" s="42">
        <v>1</v>
      </c>
      <c r="D63" s="42">
        <v>0</v>
      </c>
      <c r="E63" s="42">
        <v>0</v>
      </c>
      <c r="F63" s="42">
        <v>13</v>
      </c>
      <c r="G63" s="42">
        <v>30</v>
      </c>
      <c r="H63" s="42">
        <v>18</v>
      </c>
      <c r="I63" s="42">
        <v>17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0</v>
      </c>
      <c r="C64" s="42">
        <v>1</v>
      </c>
      <c r="D64" s="42">
        <v>1</v>
      </c>
      <c r="E64" s="42">
        <v>1</v>
      </c>
      <c r="F64" s="42">
        <v>35</v>
      </c>
      <c r="G64" s="42">
        <v>44</v>
      </c>
      <c r="H64" s="42">
        <v>39</v>
      </c>
      <c r="I64" s="42">
        <v>35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0</v>
      </c>
      <c r="C65" s="42">
        <v>1</v>
      </c>
      <c r="D65" s="42">
        <v>4</v>
      </c>
      <c r="E65" s="42">
        <v>0</v>
      </c>
      <c r="F65" s="42">
        <v>27</v>
      </c>
      <c r="G65" s="42">
        <v>37</v>
      </c>
      <c r="H65" s="42">
        <v>25</v>
      </c>
      <c r="I65" s="42">
        <v>28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9</v>
      </c>
      <c r="C66" s="42">
        <v>8</v>
      </c>
      <c r="D66" s="42">
        <v>14</v>
      </c>
      <c r="E66" s="42">
        <v>6</v>
      </c>
      <c r="F66" s="42">
        <v>143</v>
      </c>
      <c r="G66" s="42">
        <v>171</v>
      </c>
      <c r="H66" s="42">
        <v>244</v>
      </c>
      <c r="I66" s="42">
        <v>142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1</v>
      </c>
      <c r="C67" s="42">
        <v>1</v>
      </c>
      <c r="D67" s="42">
        <v>0</v>
      </c>
      <c r="E67" s="42">
        <v>0</v>
      </c>
      <c r="F67" s="42">
        <v>26</v>
      </c>
      <c r="G67" s="42">
        <v>44</v>
      </c>
      <c r="H67" s="42">
        <v>49</v>
      </c>
      <c r="I67" s="42">
        <v>50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26</v>
      </c>
      <c r="C68" s="42">
        <v>38</v>
      </c>
      <c r="D68" s="42">
        <v>38</v>
      </c>
      <c r="E68" s="42">
        <v>22</v>
      </c>
      <c r="F68" s="42">
        <v>237</v>
      </c>
      <c r="G68" s="42">
        <v>276</v>
      </c>
      <c r="H68" s="42">
        <v>341</v>
      </c>
      <c r="I68" s="42">
        <v>190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0</v>
      </c>
      <c r="C69" s="42">
        <v>0</v>
      </c>
      <c r="D69" s="42">
        <v>1</v>
      </c>
      <c r="E69" s="42">
        <v>0</v>
      </c>
      <c r="F69" s="42">
        <v>28</v>
      </c>
      <c r="G69" s="42">
        <v>23</v>
      </c>
      <c r="H69" s="42">
        <v>37</v>
      </c>
      <c r="I69" s="42">
        <v>25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30</v>
      </c>
      <c r="C70" s="42">
        <v>76</v>
      </c>
      <c r="D70" s="42">
        <v>30</v>
      </c>
      <c r="E70" s="42">
        <v>34</v>
      </c>
      <c r="F70" s="42">
        <v>533</v>
      </c>
      <c r="G70" s="42">
        <v>842</v>
      </c>
      <c r="H70" s="42">
        <v>403</v>
      </c>
      <c r="I70" s="42">
        <v>508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616</v>
      </c>
      <c r="C71" s="67">
        <f>SUM(C4:C70)</f>
        <v>1070</v>
      </c>
      <c r="D71" s="67">
        <f>SUM(D4:D70)</f>
        <v>602</v>
      </c>
      <c r="E71" s="67">
        <f>SUM(E4:E70)</f>
        <v>457</v>
      </c>
      <c r="F71" s="67">
        <f t="shared" ref="F71:I71" si="0">SUM(F4:F70)</f>
        <v>11889</v>
      </c>
      <c r="G71" s="67">
        <f t="shared" si="0"/>
        <v>18708</v>
      </c>
      <c r="H71" s="67">
        <f t="shared" si="0"/>
        <v>11409</v>
      </c>
      <c r="I71" s="67">
        <f t="shared" si="0"/>
        <v>8947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5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H2" sqref="H2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0" t="s">
        <v>130</v>
      </c>
      <c r="C1" s="91"/>
      <c r="D1" s="92" t="s">
        <v>126</v>
      </c>
      <c r="E1" s="93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6</v>
      </c>
      <c r="C3" s="53">
        <v>15</v>
      </c>
      <c r="D3" s="53">
        <v>92</v>
      </c>
      <c r="E3" s="53">
        <v>167</v>
      </c>
    </row>
    <row r="4" spans="1:5" x14ac:dyDescent="0.25">
      <c r="A4" s="42" t="s">
        <v>2</v>
      </c>
      <c r="B4" s="53">
        <v>96</v>
      </c>
      <c r="C4" s="53">
        <v>48</v>
      </c>
      <c r="D4" s="53">
        <v>1042</v>
      </c>
      <c r="E4" s="53">
        <v>743</v>
      </c>
    </row>
    <row r="5" spans="1:5" x14ac:dyDescent="0.25">
      <c r="A5" s="42" t="s">
        <v>3</v>
      </c>
      <c r="B5" s="53">
        <v>1</v>
      </c>
      <c r="C5" s="53">
        <v>2</v>
      </c>
      <c r="D5" s="53">
        <v>18</v>
      </c>
      <c r="E5" s="53">
        <v>39</v>
      </c>
    </row>
    <row r="6" spans="1:5" x14ac:dyDescent="0.25">
      <c r="A6" s="42" t="s">
        <v>4</v>
      </c>
      <c r="B6" s="53">
        <v>3</v>
      </c>
      <c r="C6" s="53">
        <v>0</v>
      </c>
      <c r="D6" s="53">
        <v>64</v>
      </c>
      <c r="E6" s="53">
        <v>88</v>
      </c>
    </row>
    <row r="7" spans="1:5" x14ac:dyDescent="0.25">
      <c r="A7" s="42" t="s">
        <v>5</v>
      </c>
      <c r="B7" s="53">
        <v>0</v>
      </c>
      <c r="C7" s="53">
        <v>1</v>
      </c>
      <c r="D7" s="53">
        <v>5</v>
      </c>
      <c r="E7" s="53">
        <v>10</v>
      </c>
    </row>
    <row r="8" spans="1:5" x14ac:dyDescent="0.25">
      <c r="A8" s="42" t="s">
        <v>6</v>
      </c>
      <c r="B8" s="53">
        <v>14</v>
      </c>
      <c r="C8" s="53">
        <v>28</v>
      </c>
      <c r="D8" s="53">
        <v>572</v>
      </c>
      <c r="E8" s="53">
        <v>474</v>
      </c>
    </row>
    <row r="9" spans="1:5" x14ac:dyDescent="0.25">
      <c r="A9" s="42" t="s">
        <v>7</v>
      </c>
      <c r="B9" s="53">
        <v>1</v>
      </c>
      <c r="C9" s="53">
        <v>2</v>
      </c>
      <c r="D9" s="53">
        <v>60</v>
      </c>
      <c r="E9" s="53">
        <v>84</v>
      </c>
    </row>
    <row r="10" spans="1:5" x14ac:dyDescent="0.25">
      <c r="A10" s="42" t="s">
        <v>8</v>
      </c>
      <c r="B10" s="53">
        <v>0</v>
      </c>
      <c r="C10" s="53">
        <v>0</v>
      </c>
      <c r="D10" s="53">
        <v>29</v>
      </c>
      <c r="E10" s="53">
        <v>45</v>
      </c>
    </row>
    <row r="11" spans="1:5" x14ac:dyDescent="0.25">
      <c r="A11" s="42" t="s">
        <v>9</v>
      </c>
      <c r="B11" s="53">
        <v>21</v>
      </c>
      <c r="C11" s="53">
        <v>27</v>
      </c>
      <c r="D11" s="53">
        <v>800</v>
      </c>
      <c r="E11" s="53">
        <v>922</v>
      </c>
    </row>
    <row r="12" spans="1:5" x14ac:dyDescent="0.25">
      <c r="A12" s="42" t="s">
        <v>10</v>
      </c>
      <c r="B12" s="53">
        <v>1</v>
      </c>
      <c r="C12" s="53">
        <v>5</v>
      </c>
      <c r="D12" s="53">
        <v>85</v>
      </c>
      <c r="E12" s="53">
        <v>172</v>
      </c>
    </row>
    <row r="13" spans="1:5" x14ac:dyDescent="0.25">
      <c r="A13" s="42" t="s">
        <v>11</v>
      </c>
      <c r="B13" s="53">
        <v>0</v>
      </c>
      <c r="C13" s="53">
        <v>2</v>
      </c>
      <c r="D13" s="53">
        <v>78</v>
      </c>
      <c r="E13" s="53">
        <v>87</v>
      </c>
    </row>
    <row r="14" spans="1:5" x14ac:dyDescent="0.25">
      <c r="A14" s="42" t="s">
        <v>12</v>
      </c>
      <c r="B14" s="53">
        <v>0</v>
      </c>
      <c r="C14" s="53">
        <v>0</v>
      </c>
      <c r="D14" s="53">
        <v>1</v>
      </c>
      <c r="E14" s="53">
        <v>3</v>
      </c>
    </row>
    <row r="15" spans="1:5" x14ac:dyDescent="0.25">
      <c r="A15" s="42" t="s">
        <v>13</v>
      </c>
      <c r="B15" s="53">
        <v>0</v>
      </c>
      <c r="C15" s="53">
        <v>1</v>
      </c>
      <c r="D15" s="53">
        <v>31</v>
      </c>
      <c r="E15" s="53">
        <v>39</v>
      </c>
    </row>
    <row r="16" spans="1:5" x14ac:dyDescent="0.25">
      <c r="A16" s="42" t="s">
        <v>14</v>
      </c>
      <c r="B16" s="53">
        <v>22</v>
      </c>
      <c r="C16" s="53">
        <v>20</v>
      </c>
      <c r="D16" s="53">
        <v>103</v>
      </c>
      <c r="E16" s="53">
        <v>95</v>
      </c>
    </row>
    <row r="17" spans="1:5" x14ac:dyDescent="0.25">
      <c r="A17" s="42" t="s">
        <v>15</v>
      </c>
      <c r="B17" s="53">
        <v>3</v>
      </c>
      <c r="C17" s="53">
        <v>4</v>
      </c>
      <c r="D17" s="53">
        <v>595</v>
      </c>
      <c r="E17" s="53">
        <v>614</v>
      </c>
    </row>
    <row r="18" spans="1:5" x14ac:dyDescent="0.25">
      <c r="A18" s="42" t="s">
        <v>16</v>
      </c>
      <c r="B18" s="53">
        <v>0</v>
      </c>
      <c r="C18" s="53">
        <v>0</v>
      </c>
      <c r="D18" s="53">
        <v>11</v>
      </c>
      <c r="E18" s="53">
        <v>14</v>
      </c>
    </row>
    <row r="19" spans="1:5" x14ac:dyDescent="0.25">
      <c r="A19" s="42" t="s">
        <v>17</v>
      </c>
      <c r="B19" s="53">
        <v>2</v>
      </c>
      <c r="C19" s="53">
        <v>0</v>
      </c>
      <c r="D19" s="53">
        <v>30</v>
      </c>
      <c r="E19" s="53">
        <v>39</v>
      </c>
    </row>
    <row r="20" spans="1:5" x14ac:dyDescent="0.25">
      <c r="A20" s="42" t="s">
        <v>18</v>
      </c>
      <c r="B20" s="53">
        <v>0</v>
      </c>
      <c r="C20" s="53">
        <v>0</v>
      </c>
      <c r="D20" s="53">
        <v>24</v>
      </c>
      <c r="E20" s="53">
        <v>33</v>
      </c>
    </row>
    <row r="21" spans="1:5" x14ac:dyDescent="0.25">
      <c r="A21" s="42" t="s">
        <v>19</v>
      </c>
      <c r="B21" s="53">
        <v>0</v>
      </c>
      <c r="C21" s="53">
        <v>1</v>
      </c>
      <c r="D21" s="53">
        <v>21</v>
      </c>
      <c r="E21" s="53">
        <v>41</v>
      </c>
    </row>
    <row r="22" spans="1:5" x14ac:dyDescent="0.25">
      <c r="A22" s="42" t="s">
        <v>20</v>
      </c>
      <c r="B22" s="53">
        <v>2</v>
      </c>
      <c r="C22" s="53">
        <v>2</v>
      </c>
      <c r="D22" s="53">
        <v>33</v>
      </c>
      <c r="E22" s="53">
        <v>45</v>
      </c>
    </row>
    <row r="23" spans="1:5" x14ac:dyDescent="0.25">
      <c r="A23" s="42" t="s">
        <v>21</v>
      </c>
      <c r="B23" s="53">
        <v>5</v>
      </c>
      <c r="C23" s="53">
        <v>14</v>
      </c>
      <c r="D23" s="53">
        <v>256</v>
      </c>
      <c r="E23" s="53">
        <v>307</v>
      </c>
    </row>
    <row r="24" spans="1:5" x14ac:dyDescent="0.25">
      <c r="A24" s="42" t="s">
        <v>22</v>
      </c>
      <c r="B24" s="53">
        <v>41</v>
      </c>
      <c r="C24" s="53">
        <v>19</v>
      </c>
      <c r="D24" s="53">
        <v>640</v>
      </c>
      <c r="E24" s="53">
        <v>393</v>
      </c>
    </row>
    <row r="25" spans="1:5" x14ac:dyDescent="0.25">
      <c r="A25" s="42" t="s">
        <v>23</v>
      </c>
      <c r="B25" s="53">
        <v>8</v>
      </c>
      <c r="C25" s="53">
        <v>10</v>
      </c>
      <c r="D25" s="53">
        <v>513</v>
      </c>
      <c r="E25" s="53">
        <v>378</v>
      </c>
    </row>
    <row r="26" spans="1:5" x14ac:dyDescent="0.25">
      <c r="A26" s="42" t="s">
        <v>24</v>
      </c>
      <c r="B26" s="53">
        <v>0</v>
      </c>
      <c r="C26" s="53">
        <v>0</v>
      </c>
      <c r="D26" s="53">
        <v>5</v>
      </c>
      <c r="E26" s="53">
        <v>16</v>
      </c>
    </row>
    <row r="27" spans="1:5" x14ac:dyDescent="0.25">
      <c r="A27" s="42" t="s">
        <v>25</v>
      </c>
      <c r="B27" s="53">
        <v>8</v>
      </c>
      <c r="C27" s="53">
        <v>1</v>
      </c>
      <c r="D27" s="53">
        <v>175</v>
      </c>
      <c r="E27" s="53">
        <v>156</v>
      </c>
    </row>
    <row r="28" spans="1:5" x14ac:dyDescent="0.25">
      <c r="A28" s="42" t="s">
        <v>26</v>
      </c>
      <c r="B28" s="53">
        <v>10</v>
      </c>
      <c r="C28" s="53">
        <v>8</v>
      </c>
      <c r="D28" s="53">
        <v>59</v>
      </c>
      <c r="E28" s="53">
        <v>68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5">
      <c r="A30" s="42" t="s">
        <v>28</v>
      </c>
      <c r="B30" s="53">
        <v>4</v>
      </c>
      <c r="C30" s="53">
        <v>9</v>
      </c>
      <c r="D30" s="53">
        <v>139</v>
      </c>
      <c r="E30" s="53">
        <v>240</v>
      </c>
    </row>
    <row r="31" spans="1:5" x14ac:dyDescent="0.25">
      <c r="A31" s="42" t="s">
        <v>29</v>
      </c>
      <c r="B31" s="53">
        <v>1</v>
      </c>
      <c r="C31" s="53">
        <v>2</v>
      </c>
      <c r="D31" s="53">
        <v>8</v>
      </c>
      <c r="E31" s="53">
        <v>10</v>
      </c>
    </row>
    <row r="32" spans="1:5" x14ac:dyDescent="0.25">
      <c r="A32" s="42" t="s">
        <v>30</v>
      </c>
      <c r="B32" s="53">
        <v>2</v>
      </c>
      <c r="C32" s="53">
        <v>1</v>
      </c>
      <c r="D32" s="53">
        <v>19</v>
      </c>
      <c r="E32" s="53">
        <v>19</v>
      </c>
    </row>
    <row r="33" spans="1:5" x14ac:dyDescent="0.25">
      <c r="A33" s="42" t="s">
        <v>31</v>
      </c>
      <c r="B33" s="53">
        <v>0</v>
      </c>
      <c r="C33" s="53">
        <v>1</v>
      </c>
      <c r="D33" s="53">
        <v>12</v>
      </c>
      <c r="E33" s="53">
        <v>13</v>
      </c>
    </row>
    <row r="34" spans="1:5" x14ac:dyDescent="0.25">
      <c r="A34" s="42" t="s">
        <v>32</v>
      </c>
      <c r="B34" s="53">
        <v>2</v>
      </c>
      <c r="C34" s="53">
        <v>1</v>
      </c>
      <c r="D34" s="53">
        <v>35</v>
      </c>
      <c r="E34" s="53">
        <v>34</v>
      </c>
    </row>
    <row r="35" spans="1:5" x14ac:dyDescent="0.25">
      <c r="A35" s="42" t="s">
        <v>33</v>
      </c>
      <c r="B35" s="53">
        <v>0</v>
      </c>
      <c r="C35" s="53">
        <v>1</v>
      </c>
      <c r="D35" s="53">
        <v>6</v>
      </c>
      <c r="E35" s="53">
        <v>12</v>
      </c>
    </row>
    <row r="36" spans="1:5" x14ac:dyDescent="0.25">
      <c r="A36" s="42" t="s">
        <v>34</v>
      </c>
      <c r="B36" s="53">
        <v>0</v>
      </c>
      <c r="C36" s="53">
        <v>0</v>
      </c>
      <c r="D36" s="53">
        <v>15</v>
      </c>
      <c r="E36" s="53">
        <v>8</v>
      </c>
    </row>
    <row r="37" spans="1:5" x14ac:dyDescent="0.25">
      <c r="A37" s="42" t="s">
        <v>35</v>
      </c>
      <c r="B37" s="53">
        <v>27</v>
      </c>
      <c r="C37" s="53">
        <v>29</v>
      </c>
      <c r="D37" s="53">
        <v>225</v>
      </c>
      <c r="E37" s="53">
        <v>190</v>
      </c>
    </row>
    <row r="38" spans="1:5" x14ac:dyDescent="0.25">
      <c r="A38" s="42" t="s">
        <v>36</v>
      </c>
      <c r="B38" s="53">
        <v>25</v>
      </c>
      <c r="C38" s="53">
        <v>32</v>
      </c>
      <c r="D38" s="53">
        <v>695</v>
      </c>
      <c r="E38" s="53">
        <v>803</v>
      </c>
    </row>
    <row r="39" spans="1:5" x14ac:dyDescent="0.25">
      <c r="A39" s="42" t="s">
        <v>37</v>
      </c>
      <c r="B39" s="53">
        <v>0</v>
      </c>
      <c r="C39" s="53">
        <v>0</v>
      </c>
      <c r="D39" s="53">
        <v>34</v>
      </c>
      <c r="E39" s="53">
        <v>43</v>
      </c>
    </row>
    <row r="40" spans="1:5" x14ac:dyDescent="0.25">
      <c r="A40" s="42" t="s">
        <v>38</v>
      </c>
      <c r="B40" s="53">
        <v>5</v>
      </c>
      <c r="C40" s="53">
        <v>8</v>
      </c>
      <c r="D40" s="53">
        <v>106</v>
      </c>
      <c r="E40" s="53">
        <v>119</v>
      </c>
    </row>
    <row r="41" spans="1:5" x14ac:dyDescent="0.25">
      <c r="A41" s="42" t="s">
        <v>39</v>
      </c>
      <c r="B41" s="53">
        <v>75</v>
      </c>
      <c r="C41" s="53">
        <v>49</v>
      </c>
      <c r="D41" s="53">
        <v>448</v>
      </c>
      <c r="E41" s="53">
        <v>326</v>
      </c>
    </row>
    <row r="42" spans="1:5" x14ac:dyDescent="0.25">
      <c r="A42" s="42" t="s">
        <v>40</v>
      </c>
      <c r="B42" s="53">
        <v>55</v>
      </c>
      <c r="C42" s="53">
        <v>51</v>
      </c>
      <c r="D42" s="53">
        <v>266</v>
      </c>
      <c r="E42" s="53">
        <v>212</v>
      </c>
    </row>
    <row r="43" spans="1:5" x14ac:dyDescent="0.25">
      <c r="A43" s="42" t="s">
        <v>41</v>
      </c>
      <c r="B43" s="53">
        <v>4</v>
      </c>
      <c r="C43" s="53">
        <v>3</v>
      </c>
      <c r="D43" s="53">
        <v>81</v>
      </c>
      <c r="E43" s="53">
        <v>112</v>
      </c>
    </row>
    <row r="44" spans="1:5" x14ac:dyDescent="0.25">
      <c r="A44" s="42" t="s">
        <v>42</v>
      </c>
      <c r="B44" s="53">
        <v>0</v>
      </c>
      <c r="C44" s="53">
        <v>0</v>
      </c>
      <c r="D44" s="53">
        <v>10</v>
      </c>
      <c r="E44" s="53">
        <v>10</v>
      </c>
    </row>
    <row r="45" spans="1:5" x14ac:dyDescent="0.25">
      <c r="A45" s="42" t="s">
        <v>43</v>
      </c>
      <c r="B45" s="53">
        <v>4</v>
      </c>
      <c r="C45" s="53">
        <v>6</v>
      </c>
      <c r="D45" s="53">
        <v>63</v>
      </c>
      <c r="E45" s="53">
        <v>67</v>
      </c>
    </row>
    <row r="46" spans="1:5" x14ac:dyDescent="0.25">
      <c r="A46" s="42" t="s">
        <v>44</v>
      </c>
      <c r="B46" s="53">
        <v>1</v>
      </c>
      <c r="C46" s="53">
        <v>1</v>
      </c>
      <c r="D46" s="53">
        <v>10</v>
      </c>
      <c r="E46" s="53">
        <v>22</v>
      </c>
    </row>
    <row r="47" spans="1:5" x14ac:dyDescent="0.25">
      <c r="A47" s="42" t="s">
        <v>45</v>
      </c>
      <c r="B47" s="53">
        <v>12</v>
      </c>
      <c r="C47" s="53">
        <v>2</v>
      </c>
      <c r="D47" s="53">
        <v>215</v>
      </c>
      <c r="E47" s="53">
        <v>152</v>
      </c>
    </row>
    <row r="48" spans="1:5" x14ac:dyDescent="0.25">
      <c r="A48" s="42" t="s">
        <v>46</v>
      </c>
      <c r="B48" s="53">
        <v>35</v>
      </c>
      <c r="C48" s="53">
        <v>30</v>
      </c>
      <c r="D48" s="53">
        <v>1159</v>
      </c>
      <c r="E48" s="53">
        <v>984</v>
      </c>
    </row>
    <row r="49" spans="1:5" x14ac:dyDescent="0.25">
      <c r="A49" s="42" t="s">
        <v>47</v>
      </c>
      <c r="B49" s="53">
        <v>0</v>
      </c>
      <c r="C49" s="53">
        <v>1</v>
      </c>
      <c r="D49" s="53">
        <v>4</v>
      </c>
      <c r="E49" s="53">
        <v>10</v>
      </c>
    </row>
    <row r="50" spans="1:5" x14ac:dyDescent="0.25">
      <c r="A50" s="42" t="s">
        <v>48</v>
      </c>
      <c r="B50" s="53">
        <v>45</v>
      </c>
      <c r="C50" s="53">
        <v>47</v>
      </c>
      <c r="D50" s="53">
        <v>444</v>
      </c>
      <c r="E50" s="53">
        <v>380</v>
      </c>
    </row>
    <row r="51" spans="1:5" x14ac:dyDescent="0.25">
      <c r="A51" s="42" t="s">
        <v>49</v>
      </c>
      <c r="B51" s="53">
        <v>2</v>
      </c>
      <c r="C51" s="53">
        <v>4</v>
      </c>
      <c r="D51" s="53">
        <v>45</v>
      </c>
      <c r="E51" s="53">
        <v>52</v>
      </c>
    </row>
    <row r="52" spans="1:5" x14ac:dyDescent="0.25">
      <c r="A52" s="42" t="s">
        <v>50</v>
      </c>
      <c r="B52" s="53">
        <v>4</v>
      </c>
      <c r="C52" s="53">
        <v>6</v>
      </c>
      <c r="D52" s="53">
        <v>35</v>
      </c>
      <c r="E52" s="53">
        <v>57</v>
      </c>
    </row>
    <row r="53" spans="1:5" x14ac:dyDescent="0.25">
      <c r="A53" s="42" t="s">
        <v>51</v>
      </c>
      <c r="B53" s="53">
        <v>58</v>
      </c>
      <c r="C53" s="53">
        <v>15</v>
      </c>
      <c r="D53" s="53">
        <v>2181</v>
      </c>
      <c r="E53" s="53">
        <v>637</v>
      </c>
    </row>
    <row r="54" spans="1:5" x14ac:dyDescent="0.25">
      <c r="A54" s="42" t="s">
        <v>52</v>
      </c>
      <c r="B54" s="53">
        <v>2</v>
      </c>
      <c r="C54" s="53">
        <v>2</v>
      </c>
      <c r="D54" s="53">
        <v>56</v>
      </c>
      <c r="E54" s="53">
        <v>70</v>
      </c>
    </row>
    <row r="55" spans="1:5" x14ac:dyDescent="0.25">
      <c r="A55" s="42" t="s">
        <v>53</v>
      </c>
      <c r="B55" s="53">
        <v>1</v>
      </c>
      <c r="C55" s="53">
        <v>0</v>
      </c>
      <c r="D55" s="53">
        <v>7</v>
      </c>
      <c r="E55" s="53">
        <v>11</v>
      </c>
    </row>
    <row r="56" spans="1:5" x14ac:dyDescent="0.25">
      <c r="A56" s="42" t="s">
        <v>54</v>
      </c>
      <c r="B56" s="53">
        <v>4</v>
      </c>
      <c r="C56" s="53">
        <v>1</v>
      </c>
      <c r="D56" s="53">
        <v>96</v>
      </c>
      <c r="E56" s="53">
        <v>114</v>
      </c>
    </row>
    <row r="57" spans="1:5" x14ac:dyDescent="0.25">
      <c r="A57" s="42" t="s">
        <v>55</v>
      </c>
      <c r="B57" s="53">
        <v>1</v>
      </c>
      <c r="C57" s="53">
        <v>1</v>
      </c>
      <c r="D57" s="53">
        <v>5</v>
      </c>
      <c r="E57" s="53">
        <v>7</v>
      </c>
    </row>
    <row r="58" spans="1:5" x14ac:dyDescent="0.25">
      <c r="A58" s="42" t="s">
        <v>56</v>
      </c>
      <c r="B58" s="53">
        <v>2</v>
      </c>
      <c r="C58" s="53">
        <v>1</v>
      </c>
      <c r="D58" s="53">
        <v>47</v>
      </c>
      <c r="E58" s="53">
        <v>56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5</v>
      </c>
    </row>
    <row r="60" spans="1:5" x14ac:dyDescent="0.25">
      <c r="A60" s="42" t="s">
        <v>58</v>
      </c>
      <c r="B60" s="53">
        <v>5</v>
      </c>
      <c r="C60" s="53">
        <v>2</v>
      </c>
      <c r="D60" s="53">
        <v>23</v>
      </c>
      <c r="E60" s="53">
        <v>26</v>
      </c>
    </row>
    <row r="61" spans="1:5" x14ac:dyDescent="0.25">
      <c r="A61" s="42" t="s">
        <v>59</v>
      </c>
      <c r="B61" s="53">
        <v>2</v>
      </c>
      <c r="C61" s="53">
        <v>13</v>
      </c>
      <c r="D61" s="53">
        <v>19</v>
      </c>
      <c r="E61" s="53">
        <v>33</v>
      </c>
    </row>
    <row r="62" spans="1:5" x14ac:dyDescent="0.25">
      <c r="A62" s="42" t="s">
        <v>60</v>
      </c>
      <c r="B62" s="53">
        <v>1</v>
      </c>
      <c r="C62" s="53">
        <v>1</v>
      </c>
      <c r="D62" s="53">
        <v>9</v>
      </c>
      <c r="E62" s="53">
        <v>23</v>
      </c>
    </row>
    <row r="63" spans="1:5" x14ac:dyDescent="0.25">
      <c r="A63" s="42" t="s">
        <v>61</v>
      </c>
      <c r="B63" s="53">
        <v>2</v>
      </c>
      <c r="C63" s="53">
        <v>0</v>
      </c>
      <c r="D63" s="53">
        <v>29</v>
      </c>
      <c r="E63" s="53">
        <v>44</v>
      </c>
    </row>
    <row r="64" spans="1:5" x14ac:dyDescent="0.25">
      <c r="A64" s="42" t="s">
        <v>62</v>
      </c>
      <c r="B64" s="53">
        <v>2</v>
      </c>
      <c r="C64" s="53">
        <v>2</v>
      </c>
      <c r="D64" s="53">
        <v>20</v>
      </c>
      <c r="E64" s="53">
        <v>31</v>
      </c>
    </row>
    <row r="65" spans="1:5" x14ac:dyDescent="0.25">
      <c r="A65" s="42" t="s">
        <v>63</v>
      </c>
      <c r="B65" s="53">
        <v>8</v>
      </c>
      <c r="C65" s="53">
        <v>9</v>
      </c>
      <c r="D65" s="53">
        <v>120</v>
      </c>
      <c r="E65" s="53">
        <v>141</v>
      </c>
    </row>
    <row r="66" spans="1:5" x14ac:dyDescent="0.25">
      <c r="A66" s="42" t="s">
        <v>64</v>
      </c>
      <c r="B66" s="53">
        <v>1</v>
      </c>
      <c r="C66" s="53">
        <v>1</v>
      </c>
      <c r="D66" s="53">
        <v>32</v>
      </c>
      <c r="E66" s="53">
        <v>31</v>
      </c>
    </row>
    <row r="67" spans="1:5" x14ac:dyDescent="0.25">
      <c r="A67" s="42" t="s">
        <v>65</v>
      </c>
      <c r="B67" s="53">
        <v>15</v>
      </c>
      <c r="C67" s="53">
        <v>31</v>
      </c>
      <c r="D67" s="53">
        <v>178</v>
      </c>
      <c r="E67" s="53">
        <v>186</v>
      </c>
    </row>
    <row r="68" spans="1:5" x14ac:dyDescent="0.25">
      <c r="A68" s="42" t="s">
        <v>66</v>
      </c>
      <c r="B68" s="53">
        <v>1</v>
      </c>
      <c r="C68" s="53">
        <v>1</v>
      </c>
      <c r="D68" s="53">
        <v>25</v>
      </c>
      <c r="E68" s="53">
        <v>36</v>
      </c>
    </row>
    <row r="69" spans="1:5" x14ac:dyDescent="0.25">
      <c r="A69" s="42" t="s">
        <v>67</v>
      </c>
      <c r="B69" s="53">
        <v>61</v>
      </c>
      <c r="C69" s="53">
        <v>46</v>
      </c>
      <c r="D69" s="53">
        <v>587</v>
      </c>
      <c r="E69" s="53">
        <v>661</v>
      </c>
    </row>
    <row r="70" spans="1:5" x14ac:dyDescent="0.25">
      <c r="A70" s="39" t="s">
        <v>68</v>
      </c>
      <c r="B70" s="43">
        <f>SUM(B3:B69)</f>
        <v>713</v>
      </c>
      <c r="C70" s="43">
        <f>SUM(C3:C69)</f>
        <v>620</v>
      </c>
      <c r="D70" s="43">
        <f t="shared" ref="D70:E70" si="0">SUM(D3:D69)</f>
        <v>12851</v>
      </c>
      <c r="E70" s="43">
        <f t="shared" si="0"/>
        <v>11060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4"/>
      <c r="E137" s="94"/>
    </row>
    <row r="138" spans="4:5" ht="14.4" x14ac:dyDescent="0.25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H3" sqref="AH3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4"/>
      <c r="AA137" s="94"/>
    </row>
    <row r="138" spans="26:27" ht="14.4" x14ac:dyDescent="0.25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6370</v>
      </c>
      <c r="C2" s="11">
        <v>10609</v>
      </c>
      <c r="D2" s="11">
        <v>10847</v>
      </c>
      <c r="E2" s="11">
        <v>10023</v>
      </c>
      <c r="F2" s="11">
        <v>13681</v>
      </c>
      <c r="G2" s="11">
        <v>13983</v>
      </c>
      <c r="H2" s="11">
        <v>10897</v>
      </c>
    </row>
    <row r="3" spans="1:8" x14ac:dyDescent="0.25">
      <c r="A3" s="11" t="s">
        <v>2</v>
      </c>
      <c r="B3" s="11">
        <v>79957</v>
      </c>
      <c r="C3" s="11">
        <v>171825</v>
      </c>
      <c r="D3" s="11">
        <v>161470</v>
      </c>
      <c r="E3" s="11">
        <v>122810</v>
      </c>
      <c r="F3" s="11">
        <v>132327</v>
      </c>
      <c r="G3" s="11">
        <v>139539</v>
      </c>
      <c r="H3" s="11">
        <v>108214</v>
      </c>
    </row>
    <row r="4" spans="1:8" x14ac:dyDescent="0.25">
      <c r="A4" s="11" t="s">
        <v>3</v>
      </c>
      <c r="B4" s="11">
        <v>3141</v>
      </c>
      <c r="C4" s="11">
        <v>5594</v>
      </c>
      <c r="D4" s="11">
        <v>6158</v>
      </c>
      <c r="E4" s="11">
        <v>6403</v>
      </c>
      <c r="F4" s="11">
        <v>7730</v>
      </c>
      <c r="G4" s="11">
        <v>8223</v>
      </c>
      <c r="H4" s="11">
        <v>6289</v>
      </c>
    </row>
    <row r="5" spans="1:8" x14ac:dyDescent="0.25">
      <c r="A5" s="11" t="s">
        <v>4</v>
      </c>
      <c r="B5" s="11">
        <v>7678</v>
      </c>
      <c r="C5" s="11">
        <v>16089</v>
      </c>
      <c r="D5" s="11">
        <v>17893</v>
      </c>
      <c r="E5" s="11">
        <v>16255</v>
      </c>
      <c r="F5" s="11">
        <v>19661</v>
      </c>
      <c r="G5" s="11">
        <v>20949</v>
      </c>
      <c r="H5" s="11">
        <v>15674</v>
      </c>
    </row>
    <row r="6" spans="1:8" x14ac:dyDescent="0.25">
      <c r="A6" s="11" t="s">
        <v>5</v>
      </c>
      <c r="B6" s="11">
        <v>2278</v>
      </c>
      <c r="C6" s="11">
        <v>4263</v>
      </c>
      <c r="D6" s="11">
        <v>4433</v>
      </c>
      <c r="E6" s="11">
        <v>4813</v>
      </c>
      <c r="F6" s="11">
        <v>6053</v>
      </c>
      <c r="G6" s="11">
        <v>6341</v>
      </c>
      <c r="H6" s="11">
        <v>4857</v>
      </c>
    </row>
    <row r="7" spans="1:8" x14ac:dyDescent="0.25">
      <c r="A7" s="11" t="s">
        <v>6</v>
      </c>
      <c r="B7" s="11">
        <v>23217</v>
      </c>
      <c r="C7" s="11">
        <v>41723</v>
      </c>
      <c r="D7" s="11">
        <v>43823</v>
      </c>
      <c r="E7" s="11">
        <v>40535</v>
      </c>
      <c r="F7" s="11">
        <v>47782</v>
      </c>
      <c r="G7" s="11">
        <v>42776</v>
      </c>
      <c r="H7" s="11">
        <v>33595</v>
      </c>
    </row>
    <row r="8" spans="1:8" x14ac:dyDescent="0.25">
      <c r="A8" s="11" t="s">
        <v>7</v>
      </c>
      <c r="B8" s="11">
        <v>6299</v>
      </c>
      <c r="C8" s="11">
        <v>11257</v>
      </c>
      <c r="D8" s="11">
        <v>12262</v>
      </c>
      <c r="E8" s="11">
        <v>12215</v>
      </c>
      <c r="F8" s="11">
        <v>13643</v>
      </c>
      <c r="G8" s="11">
        <v>13986</v>
      </c>
      <c r="H8" s="11">
        <v>11821</v>
      </c>
    </row>
    <row r="9" spans="1:8" x14ac:dyDescent="0.25">
      <c r="A9" s="11" t="s">
        <v>8</v>
      </c>
      <c r="B9" s="11">
        <v>2928</v>
      </c>
      <c r="C9" s="11">
        <v>5256</v>
      </c>
      <c r="D9" s="11">
        <v>5757</v>
      </c>
      <c r="E9" s="11">
        <v>5407</v>
      </c>
      <c r="F9" s="11">
        <v>6984</v>
      </c>
      <c r="G9" s="11">
        <v>6873</v>
      </c>
      <c r="H9" s="11">
        <v>5609</v>
      </c>
    </row>
    <row r="10" spans="1:8" x14ac:dyDescent="0.25">
      <c r="A10" s="11" t="s">
        <v>9</v>
      </c>
      <c r="B10" s="11">
        <v>39712</v>
      </c>
      <c r="C10" s="11">
        <v>68122</v>
      </c>
      <c r="D10" s="11">
        <v>73677</v>
      </c>
      <c r="E10" s="11">
        <v>70994</v>
      </c>
      <c r="F10" s="11">
        <v>87101</v>
      </c>
      <c r="G10" s="11">
        <v>82122</v>
      </c>
      <c r="H10" s="11">
        <v>62134</v>
      </c>
    </row>
    <row r="11" spans="1:8" x14ac:dyDescent="0.25">
      <c r="A11" s="11" t="s">
        <v>10</v>
      </c>
      <c r="B11" s="11">
        <v>11270</v>
      </c>
      <c r="C11" s="11">
        <v>20299</v>
      </c>
      <c r="D11" s="11">
        <v>22532</v>
      </c>
      <c r="E11" s="11">
        <v>20773</v>
      </c>
      <c r="F11" s="11">
        <v>25115</v>
      </c>
      <c r="G11" s="11">
        <v>24518</v>
      </c>
      <c r="H11" s="11">
        <v>18640</v>
      </c>
    </row>
    <row r="12" spans="1:8" x14ac:dyDescent="0.25">
      <c r="A12" s="11" t="s">
        <v>11</v>
      </c>
      <c r="B12" s="11">
        <v>6420</v>
      </c>
      <c r="C12" s="11">
        <v>11172</v>
      </c>
      <c r="D12" s="11">
        <v>12014</v>
      </c>
      <c r="E12" s="11">
        <v>12644</v>
      </c>
      <c r="F12" s="11">
        <v>14535</v>
      </c>
      <c r="G12" s="11">
        <v>16404</v>
      </c>
      <c r="H12" s="11">
        <v>12746</v>
      </c>
    </row>
    <row r="13" spans="1:8" x14ac:dyDescent="0.25">
      <c r="A13" s="11" t="s">
        <v>12</v>
      </c>
      <c r="B13" s="11">
        <v>146</v>
      </c>
      <c r="C13" s="11">
        <v>293</v>
      </c>
      <c r="D13" s="11">
        <v>360</v>
      </c>
      <c r="E13" s="11">
        <v>353</v>
      </c>
      <c r="F13" s="11">
        <v>550</v>
      </c>
      <c r="G13" s="11">
        <v>650</v>
      </c>
      <c r="H13" s="11">
        <v>524</v>
      </c>
    </row>
    <row r="14" spans="1:8" x14ac:dyDescent="0.25">
      <c r="A14" s="11" t="s">
        <v>13</v>
      </c>
      <c r="B14" s="11">
        <v>3120</v>
      </c>
      <c r="C14" s="11">
        <v>6159</v>
      </c>
      <c r="D14" s="11">
        <v>6784</v>
      </c>
      <c r="E14" s="11">
        <v>6797</v>
      </c>
      <c r="F14" s="11">
        <v>8631</v>
      </c>
      <c r="G14" s="11">
        <v>8240</v>
      </c>
      <c r="H14" s="11">
        <v>5802</v>
      </c>
    </row>
    <row r="15" spans="1:8" x14ac:dyDescent="0.25">
      <c r="A15" s="11" t="s">
        <v>14</v>
      </c>
      <c r="B15" s="11">
        <v>17969</v>
      </c>
      <c r="C15" s="11">
        <v>19274</v>
      </c>
      <c r="D15" s="11">
        <v>13803</v>
      </c>
      <c r="E15" s="11">
        <v>12290</v>
      </c>
      <c r="F15" s="11">
        <v>13941</v>
      </c>
      <c r="G15" s="11">
        <v>13506</v>
      </c>
      <c r="H15" s="11">
        <v>11387</v>
      </c>
    </row>
    <row r="16" spans="1:8" x14ac:dyDescent="0.25">
      <c r="A16" s="11" t="s">
        <v>15</v>
      </c>
      <c r="B16" s="11">
        <v>37024</v>
      </c>
      <c r="C16" s="11">
        <v>60326</v>
      </c>
      <c r="D16" s="11">
        <v>59967</v>
      </c>
      <c r="E16" s="11">
        <v>58822</v>
      </c>
      <c r="F16" s="11">
        <v>66861</v>
      </c>
      <c r="G16" s="11">
        <v>59658</v>
      </c>
      <c r="H16" s="11">
        <v>46129</v>
      </c>
    </row>
    <row r="17" spans="1:8" x14ac:dyDescent="0.25">
      <c r="A17" s="11" t="s">
        <v>16</v>
      </c>
      <c r="B17" s="11">
        <v>1707</v>
      </c>
      <c r="C17" s="11">
        <v>3064</v>
      </c>
      <c r="D17" s="11">
        <v>3280</v>
      </c>
      <c r="E17" s="11">
        <v>3389</v>
      </c>
      <c r="F17" s="11">
        <v>4204</v>
      </c>
      <c r="G17" s="11">
        <v>4321</v>
      </c>
      <c r="H17" s="11">
        <v>3385</v>
      </c>
    </row>
    <row r="18" spans="1:8" x14ac:dyDescent="0.25">
      <c r="A18" s="11" t="s">
        <v>17</v>
      </c>
      <c r="B18" s="11">
        <v>3377</v>
      </c>
      <c r="C18" s="11">
        <v>6448</v>
      </c>
      <c r="D18" s="11">
        <v>7092</v>
      </c>
      <c r="E18" s="11">
        <v>7472</v>
      </c>
      <c r="F18" s="11">
        <v>9158</v>
      </c>
      <c r="G18" s="11">
        <v>9006</v>
      </c>
      <c r="H18" s="11">
        <v>7001</v>
      </c>
    </row>
    <row r="19" spans="1:8" x14ac:dyDescent="0.25">
      <c r="A19" s="11" t="s">
        <v>18</v>
      </c>
      <c r="B19" s="11">
        <v>1729</v>
      </c>
      <c r="C19" s="11">
        <v>3281</v>
      </c>
      <c r="D19" s="11">
        <v>3282</v>
      </c>
      <c r="E19" s="11">
        <v>3343</v>
      </c>
      <c r="F19" s="11">
        <v>3830</v>
      </c>
      <c r="G19" s="11">
        <v>3960</v>
      </c>
      <c r="H19" s="11">
        <v>3077</v>
      </c>
    </row>
    <row r="20" spans="1:8" x14ac:dyDescent="0.25">
      <c r="A20" s="11" t="s">
        <v>19</v>
      </c>
      <c r="B20" s="11">
        <v>3832</v>
      </c>
      <c r="C20" s="11">
        <v>5893</v>
      </c>
      <c r="D20" s="11">
        <v>5892</v>
      </c>
      <c r="E20" s="11">
        <v>5795</v>
      </c>
      <c r="F20" s="11">
        <v>6756</v>
      </c>
      <c r="G20" s="11">
        <v>6936</v>
      </c>
      <c r="H20" s="11">
        <v>5464</v>
      </c>
    </row>
    <row r="21" spans="1:8" x14ac:dyDescent="0.25">
      <c r="A21" s="11" t="s">
        <v>20</v>
      </c>
      <c r="B21" s="11">
        <v>4008</v>
      </c>
      <c r="C21" s="11">
        <v>7000</v>
      </c>
      <c r="D21" s="11">
        <v>7475</v>
      </c>
      <c r="E21" s="11">
        <v>7395</v>
      </c>
      <c r="F21" s="11">
        <v>9336</v>
      </c>
      <c r="G21" s="11">
        <v>9755</v>
      </c>
      <c r="H21" s="11">
        <v>8119</v>
      </c>
    </row>
    <row r="22" spans="1:8" x14ac:dyDescent="0.25">
      <c r="A22" s="11" t="s">
        <v>21</v>
      </c>
      <c r="B22" s="11">
        <v>15858</v>
      </c>
      <c r="C22" s="11">
        <v>27763</v>
      </c>
      <c r="D22" s="11">
        <v>30136</v>
      </c>
      <c r="E22" s="11">
        <v>27190</v>
      </c>
      <c r="F22" s="11">
        <v>29227</v>
      </c>
      <c r="G22" s="11">
        <v>28166</v>
      </c>
      <c r="H22" s="11">
        <v>24252</v>
      </c>
    </row>
    <row r="23" spans="1:8" x14ac:dyDescent="0.25">
      <c r="A23" s="11" t="s">
        <v>22</v>
      </c>
      <c r="B23" s="11">
        <v>16815</v>
      </c>
      <c r="C23" s="11">
        <v>34428</v>
      </c>
      <c r="D23" s="11">
        <v>34435</v>
      </c>
      <c r="E23" s="11">
        <v>29894</v>
      </c>
      <c r="F23" s="11">
        <v>32514</v>
      </c>
      <c r="G23" s="11">
        <v>30278</v>
      </c>
      <c r="H23" s="11">
        <v>21596</v>
      </c>
    </row>
    <row r="24" spans="1:8" x14ac:dyDescent="0.25">
      <c r="A24" s="11" t="s">
        <v>23</v>
      </c>
      <c r="B24" s="11">
        <v>38039</v>
      </c>
      <c r="C24" s="11">
        <v>66227</v>
      </c>
      <c r="D24" s="11">
        <v>72205</v>
      </c>
      <c r="E24" s="11">
        <v>60678</v>
      </c>
      <c r="F24" s="11">
        <v>65476</v>
      </c>
      <c r="G24" s="11">
        <v>61878</v>
      </c>
      <c r="H24" s="11">
        <v>45446</v>
      </c>
    </row>
    <row r="25" spans="1:8" x14ac:dyDescent="0.25">
      <c r="A25" s="11" t="s">
        <v>24</v>
      </c>
      <c r="B25" s="11">
        <v>1495</v>
      </c>
      <c r="C25" s="11">
        <v>2546</v>
      </c>
      <c r="D25" s="11">
        <v>2748</v>
      </c>
      <c r="E25" s="11">
        <v>2834</v>
      </c>
      <c r="F25" s="11">
        <v>3919</v>
      </c>
      <c r="G25" s="11">
        <v>3940</v>
      </c>
      <c r="H25" s="11">
        <v>3000</v>
      </c>
    </row>
    <row r="26" spans="1:8" x14ac:dyDescent="0.25">
      <c r="A26" s="11" t="s">
        <v>25</v>
      </c>
      <c r="B26" s="11">
        <v>14717</v>
      </c>
      <c r="C26" s="11">
        <v>27142</v>
      </c>
      <c r="D26" s="11">
        <v>27192</v>
      </c>
      <c r="E26" s="11">
        <v>25199</v>
      </c>
      <c r="F26" s="11">
        <v>28785</v>
      </c>
      <c r="G26" s="11">
        <v>29590</v>
      </c>
      <c r="H26" s="11">
        <v>22317</v>
      </c>
    </row>
    <row r="27" spans="1:8" x14ac:dyDescent="0.25">
      <c r="A27" s="11" t="s">
        <v>26</v>
      </c>
      <c r="B27" s="11">
        <v>5137</v>
      </c>
      <c r="C27" s="11">
        <v>10758</v>
      </c>
      <c r="D27" s="11">
        <v>11635</v>
      </c>
      <c r="E27" s="11">
        <v>12079</v>
      </c>
      <c r="F27" s="11">
        <v>14113</v>
      </c>
      <c r="G27" s="11">
        <v>14656</v>
      </c>
      <c r="H27" s="11">
        <v>11189</v>
      </c>
    </row>
    <row r="28" spans="1:8" x14ac:dyDescent="0.25">
      <c r="A28" s="11" t="s">
        <v>27</v>
      </c>
      <c r="B28" s="11">
        <v>146</v>
      </c>
      <c r="C28" s="11">
        <v>243</v>
      </c>
      <c r="D28" s="11">
        <v>291</v>
      </c>
      <c r="E28" s="11">
        <v>391</v>
      </c>
      <c r="F28" s="11">
        <v>661</v>
      </c>
      <c r="G28" s="11">
        <v>839</v>
      </c>
      <c r="H28" s="11">
        <v>636</v>
      </c>
    </row>
    <row r="29" spans="1:8" x14ac:dyDescent="0.25">
      <c r="A29" s="11" t="s">
        <v>28</v>
      </c>
      <c r="B29" s="11">
        <v>8335</v>
      </c>
      <c r="C29" s="11">
        <v>15359</v>
      </c>
      <c r="D29" s="11">
        <v>16034</v>
      </c>
      <c r="E29" s="11">
        <v>15757</v>
      </c>
      <c r="F29" s="11">
        <v>18051</v>
      </c>
      <c r="G29" s="11">
        <v>16915</v>
      </c>
      <c r="H29" s="11">
        <v>14703</v>
      </c>
    </row>
    <row r="30" spans="1:8" x14ac:dyDescent="0.25">
      <c r="A30" s="11" t="s">
        <v>29</v>
      </c>
      <c r="B30" s="11">
        <v>730</v>
      </c>
      <c r="C30" s="11">
        <v>1373</v>
      </c>
      <c r="D30" s="11">
        <v>1394</v>
      </c>
      <c r="E30" s="11">
        <v>1549</v>
      </c>
      <c r="F30" s="11">
        <v>1890</v>
      </c>
      <c r="G30" s="11">
        <v>1751</v>
      </c>
      <c r="H30" s="11">
        <v>1455</v>
      </c>
    </row>
    <row r="31" spans="1:8" x14ac:dyDescent="0.25">
      <c r="A31" s="11" t="s">
        <v>30</v>
      </c>
      <c r="B31" s="11">
        <v>1538</v>
      </c>
      <c r="C31" s="11">
        <v>2992</v>
      </c>
      <c r="D31" s="11">
        <v>3068</v>
      </c>
      <c r="E31" s="11">
        <v>3411</v>
      </c>
      <c r="F31" s="11">
        <v>3797</v>
      </c>
      <c r="G31" s="11">
        <v>3993</v>
      </c>
      <c r="H31" s="11">
        <v>2983</v>
      </c>
    </row>
    <row r="32" spans="1:8" x14ac:dyDescent="0.25">
      <c r="A32" s="11" t="s">
        <v>31</v>
      </c>
      <c r="B32" s="11">
        <v>2342</v>
      </c>
      <c r="C32" s="11">
        <v>3694</v>
      </c>
      <c r="D32" s="11">
        <v>3652</v>
      </c>
      <c r="E32" s="11">
        <v>3988</v>
      </c>
      <c r="F32" s="11">
        <v>4963</v>
      </c>
      <c r="G32" s="11">
        <v>5050</v>
      </c>
      <c r="H32" s="11">
        <v>4193</v>
      </c>
    </row>
    <row r="33" spans="1:8" x14ac:dyDescent="0.25">
      <c r="A33" s="11" t="s">
        <v>32</v>
      </c>
      <c r="B33" s="11">
        <v>4568</v>
      </c>
      <c r="C33" s="11">
        <v>6597</v>
      </c>
      <c r="D33" s="11">
        <v>6753</v>
      </c>
      <c r="E33" s="11">
        <v>6929</v>
      </c>
      <c r="F33" s="11">
        <v>8350</v>
      </c>
      <c r="G33" s="11">
        <v>9000</v>
      </c>
      <c r="H33" s="11">
        <v>6973</v>
      </c>
    </row>
    <row r="34" spans="1:8" x14ac:dyDescent="0.25">
      <c r="A34" s="11" t="s">
        <v>33</v>
      </c>
      <c r="B34" s="11">
        <v>2111</v>
      </c>
      <c r="C34" s="11">
        <v>3566</v>
      </c>
      <c r="D34" s="11">
        <v>4148</v>
      </c>
      <c r="E34" s="11">
        <v>4068</v>
      </c>
      <c r="F34" s="11">
        <v>4918</v>
      </c>
      <c r="G34" s="11">
        <v>5295</v>
      </c>
      <c r="H34" s="11">
        <v>3991</v>
      </c>
    </row>
    <row r="35" spans="1:8" x14ac:dyDescent="0.25">
      <c r="A35" s="11" t="s">
        <v>34</v>
      </c>
      <c r="B35" s="11">
        <v>967</v>
      </c>
      <c r="C35" s="11">
        <v>1755</v>
      </c>
      <c r="D35" s="11">
        <v>1997</v>
      </c>
      <c r="E35" s="11">
        <v>2093</v>
      </c>
      <c r="F35" s="11">
        <v>2608</v>
      </c>
      <c r="G35" s="11">
        <v>2564</v>
      </c>
      <c r="H35" s="11">
        <v>2076</v>
      </c>
    </row>
    <row r="36" spans="1:8" x14ac:dyDescent="0.25">
      <c r="A36" s="11" t="s">
        <v>35</v>
      </c>
      <c r="B36" s="11">
        <v>12020</v>
      </c>
      <c r="C36" s="11">
        <v>22716</v>
      </c>
      <c r="D36" s="11">
        <v>24038</v>
      </c>
      <c r="E36" s="11">
        <v>21621</v>
      </c>
      <c r="F36" s="11">
        <v>24990</v>
      </c>
      <c r="G36" s="11">
        <v>24131</v>
      </c>
      <c r="H36" s="11">
        <v>19712</v>
      </c>
    </row>
    <row r="37" spans="1:8" x14ac:dyDescent="0.25">
      <c r="A37" s="11" t="s">
        <v>36</v>
      </c>
      <c r="B37" s="11">
        <v>30880</v>
      </c>
      <c r="C37" s="11">
        <v>58707</v>
      </c>
      <c r="D37" s="11">
        <v>59368</v>
      </c>
      <c r="E37" s="11">
        <v>50910</v>
      </c>
      <c r="F37" s="11">
        <v>56937</v>
      </c>
      <c r="G37" s="11">
        <v>57368</v>
      </c>
      <c r="H37" s="11">
        <v>49382</v>
      </c>
    </row>
    <row r="38" spans="1:8" x14ac:dyDescent="0.25">
      <c r="A38" s="11" t="s">
        <v>37</v>
      </c>
      <c r="B38" s="11">
        <v>4335</v>
      </c>
      <c r="C38" s="11">
        <v>7843</v>
      </c>
      <c r="D38" s="11">
        <v>8338</v>
      </c>
      <c r="E38" s="11">
        <v>8291</v>
      </c>
      <c r="F38" s="11">
        <v>9796</v>
      </c>
      <c r="G38" s="11">
        <v>10370</v>
      </c>
      <c r="H38" s="11">
        <v>8360</v>
      </c>
    </row>
    <row r="39" spans="1:8" x14ac:dyDescent="0.25">
      <c r="A39" s="11" t="s">
        <v>38</v>
      </c>
      <c r="B39" s="11">
        <v>7273</v>
      </c>
      <c r="C39" s="11">
        <v>13053</v>
      </c>
      <c r="D39" s="11">
        <v>14457</v>
      </c>
      <c r="E39" s="11">
        <v>14073</v>
      </c>
      <c r="F39" s="11">
        <v>15935</v>
      </c>
      <c r="G39" s="11">
        <v>15660</v>
      </c>
      <c r="H39" s="11">
        <v>13395</v>
      </c>
    </row>
    <row r="40" spans="1:8" x14ac:dyDescent="0.25">
      <c r="A40" s="11" t="s">
        <v>39</v>
      </c>
      <c r="B40" s="11">
        <v>21510</v>
      </c>
      <c r="C40" s="11">
        <v>41700</v>
      </c>
      <c r="D40" s="11">
        <v>42366</v>
      </c>
      <c r="E40" s="11">
        <v>38564</v>
      </c>
      <c r="F40" s="11">
        <v>41367</v>
      </c>
      <c r="G40" s="11">
        <v>38290</v>
      </c>
      <c r="H40" s="11">
        <v>29673</v>
      </c>
    </row>
    <row r="41" spans="1:8" x14ac:dyDescent="0.25">
      <c r="A41" s="11" t="s">
        <v>40</v>
      </c>
      <c r="B41" s="11">
        <v>15782</v>
      </c>
      <c r="C41" s="11">
        <v>30633</v>
      </c>
      <c r="D41" s="11">
        <v>32981</v>
      </c>
      <c r="E41" s="11">
        <v>30591</v>
      </c>
      <c r="F41" s="11">
        <v>35957</v>
      </c>
      <c r="G41" s="11">
        <v>33394</v>
      </c>
      <c r="H41" s="11">
        <v>27260</v>
      </c>
    </row>
    <row r="42" spans="1:8" x14ac:dyDescent="0.25">
      <c r="A42" s="11" t="s">
        <v>41</v>
      </c>
      <c r="B42" s="11">
        <v>5587</v>
      </c>
      <c r="C42" s="11">
        <v>10005</v>
      </c>
      <c r="D42" s="11">
        <v>11443</v>
      </c>
      <c r="E42" s="11">
        <v>10438</v>
      </c>
      <c r="F42" s="11">
        <v>12221</v>
      </c>
      <c r="G42" s="11">
        <v>12981</v>
      </c>
      <c r="H42" s="11">
        <v>9945</v>
      </c>
    </row>
    <row r="43" spans="1:8" x14ac:dyDescent="0.25">
      <c r="A43" s="11" t="s">
        <v>91</v>
      </c>
      <c r="B43" s="11">
        <v>1805</v>
      </c>
      <c r="C43" s="11">
        <v>3235</v>
      </c>
      <c r="D43" s="11">
        <v>3653</v>
      </c>
      <c r="E43" s="11">
        <v>3757</v>
      </c>
      <c r="F43" s="11">
        <v>4536</v>
      </c>
      <c r="G43" s="11">
        <v>4648</v>
      </c>
      <c r="H43" s="11">
        <v>3540</v>
      </c>
    </row>
    <row r="44" spans="1:8" x14ac:dyDescent="0.25">
      <c r="A44" s="11" t="s">
        <v>43</v>
      </c>
      <c r="B44" s="11">
        <v>5577</v>
      </c>
      <c r="C44" s="11">
        <v>9815</v>
      </c>
      <c r="D44" s="11">
        <v>9957</v>
      </c>
      <c r="E44" s="11">
        <v>9878</v>
      </c>
      <c r="F44" s="11">
        <v>12365</v>
      </c>
      <c r="G44" s="11">
        <v>13460</v>
      </c>
      <c r="H44" s="11">
        <v>10807</v>
      </c>
    </row>
    <row r="45" spans="1:8" x14ac:dyDescent="0.25">
      <c r="A45" s="11" t="s">
        <v>44</v>
      </c>
      <c r="B45" s="11">
        <v>1739</v>
      </c>
      <c r="C45" s="11">
        <v>3662</v>
      </c>
      <c r="D45" s="11">
        <v>3862</v>
      </c>
      <c r="E45" s="11">
        <v>3910</v>
      </c>
      <c r="F45" s="11">
        <v>5032</v>
      </c>
      <c r="G45" s="11">
        <v>4737</v>
      </c>
      <c r="H45" s="11">
        <v>4167</v>
      </c>
    </row>
    <row r="46" spans="1:8" x14ac:dyDescent="0.25">
      <c r="A46" s="11" t="s">
        <v>45</v>
      </c>
      <c r="B46" s="11">
        <v>9622</v>
      </c>
      <c r="C46" s="11">
        <v>17417</v>
      </c>
      <c r="D46" s="11">
        <v>17624</v>
      </c>
      <c r="E46" s="11">
        <v>17390</v>
      </c>
      <c r="F46" s="11">
        <v>22558</v>
      </c>
      <c r="G46" s="11">
        <v>20117</v>
      </c>
      <c r="H46" s="11">
        <v>12282</v>
      </c>
    </row>
    <row r="47" spans="1:8" x14ac:dyDescent="0.25">
      <c r="A47" s="11" t="s">
        <v>46</v>
      </c>
      <c r="B47" s="11">
        <v>54080</v>
      </c>
      <c r="C47" s="11">
        <v>96427</v>
      </c>
      <c r="D47" s="11">
        <v>104702</v>
      </c>
      <c r="E47" s="11">
        <v>93448</v>
      </c>
      <c r="F47" s="11">
        <v>101895</v>
      </c>
      <c r="G47" s="11">
        <v>95063</v>
      </c>
      <c r="H47" s="11">
        <v>76947</v>
      </c>
    </row>
    <row r="48" spans="1:8" x14ac:dyDescent="0.25">
      <c r="A48" s="11" t="s">
        <v>47</v>
      </c>
      <c r="B48" s="11">
        <v>832</v>
      </c>
      <c r="C48" s="11">
        <v>1842</v>
      </c>
      <c r="D48" s="11">
        <v>2007</v>
      </c>
      <c r="E48" s="11">
        <v>1643</v>
      </c>
      <c r="F48" s="11">
        <v>1988</v>
      </c>
      <c r="G48" s="11">
        <v>2161</v>
      </c>
      <c r="H48" s="11">
        <v>1833</v>
      </c>
    </row>
    <row r="49" spans="1:8" x14ac:dyDescent="0.25">
      <c r="A49" s="11" t="s">
        <v>48</v>
      </c>
      <c r="B49" s="11">
        <v>22660</v>
      </c>
      <c r="C49" s="11">
        <v>36734</v>
      </c>
      <c r="D49" s="11">
        <v>35658</v>
      </c>
      <c r="E49" s="11">
        <v>33111</v>
      </c>
      <c r="F49" s="11">
        <v>38569</v>
      </c>
      <c r="G49" s="11">
        <v>36294</v>
      </c>
      <c r="H49" s="11">
        <v>28779</v>
      </c>
    </row>
    <row r="50" spans="1:8" x14ac:dyDescent="0.25">
      <c r="A50" s="11" t="s">
        <v>49</v>
      </c>
      <c r="B50" s="11">
        <v>3683</v>
      </c>
      <c r="C50" s="11">
        <v>7167</v>
      </c>
      <c r="D50" s="11">
        <v>8546</v>
      </c>
      <c r="E50" s="11">
        <v>8181</v>
      </c>
      <c r="F50" s="11">
        <v>9709</v>
      </c>
      <c r="G50" s="11">
        <v>10028</v>
      </c>
      <c r="H50" s="11">
        <v>7938</v>
      </c>
    </row>
    <row r="51" spans="1:8" x14ac:dyDescent="0.25">
      <c r="A51" s="11" t="s">
        <v>50</v>
      </c>
      <c r="B51" s="11">
        <v>2341</v>
      </c>
      <c r="C51" s="11">
        <v>4317</v>
      </c>
      <c r="D51" s="11">
        <v>4845</v>
      </c>
      <c r="E51" s="11">
        <v>4763</v>
      </c>
      <c r="F51" s="11">
        <v>5825</v>
      </c>
      <c r="G51" s="11">
        <v>5369</v>
      </c>
      <c r="H51" s="11">
        <v>3742</v>
      </c>
    </row>
    <row r="52" spans="1:8" x14ac:dyDescent="0.25">
      <c r="A52" s="11" t="s">
        <v>51</v>
      </c>
      <c r="B52" s="11">
        <v>97645</v>
      </c>
      <c r="C52" s="11">
        <v>257020</v>
      </c>
      <c r="D52" s="11">
        <v>219892</v>
      </c>
      <c r="E52" s="11">
        <v>143238</v>
      </c>
      <c r="F52" s="11">
        <v>144829</v>
      </c>
      <c r="G52" s="11">
        <v>126657</v>
      </c>
      <c r="H52" s="11">
        <v>91562</v>
      </c>
    </row>
    <row r="53" spans="1:8" x14ac:dyDescent="0.25">
      <c r="A53" s="11" t="s">
        <v>52</v>
      </c>
      <c r="B53" s="11">
        <v>3166</v>
      </c>
      <c r="C53" s="11">
        <v>5902</v>
      </c>
      <c r="D53" s="11">
        <v>6462</v>
      </c>
      <c r="E53" s="11">
        <v>6592</v>
      </c>
      <c r="F53" s="11">
        <v>9543</v>
      </c>
      <c r="G53" s="11">
        <v>9139</v>
      </c>
      <c r="H53" s="11">
        <v>6288</v>
      </c>
    </row>
    <row r="54" spans="1:8" x14ac:dyDescent="0.25">
      <c r="A54" s="11" t="s">
        <v>53</v>
      </c>
      <c r="B54" s="11">
        <v>749</v>
      </c>
      <c r="C54" s="11">
        <v>1279</v>
      </c>
      <c r="D54" s="11">
        <v>1461</v>
      </c>
      <c r="E54" s="11">
        <v>1514</v>
      </c>
      <c r="F54" s="11">
        <v>2044</v>
      </c>
      <c r="G54" s="11">
        <v>2220</v>
      </c>
      <c r="H54" s="11">
        <v>1766</v>
      </c>
    </row>
    <row r="55" spans="1:8" x14ac:dyDescent="0.25">
      <c r="A55" s="11" t="s">
        <v>54</v>
      </c>
      <c r="B55" s="11">
        <v>6892</v>
      </c>
      <c r="C55" s="11">
        <v>12394</v>
      </c>
      <c r="D55" s="11">
        <v>13800</v>
      </c>
      <c r="E55" s="11">
        <v>14193</v>
      </c>
      <c r="F55" s="11">
        <v>16652</v>
      </c>
      <c r="G55" s="11">
        <v>16109</v>
      </c>
      <c r="H55" s="11">
        <v>12158</v>
      </c>
    </row>
    <row r="56" spans="1:8" x14ac:dyDescent="0.25">
      <c r="A56" s="11" t="s">
        <v>55</v>
      </c>
      <c r="B56" s="11">
        <v>2283</v>
      </c>
      <c r="C56" s="11">
        <v>3189</v>
      </c>
      <c r="D56" s="11">
        <v>3474</v>
      </c>
      <c r="E56" s="11">
        <v>3440</v>
      </c>
      <c r="F56" s="11">
        <v>4155</v>
      </c>
      <c r="G56" s="11">
        <v>3972</v>
      </c>
      <c r="H56" s="11">
        <v>3346</v>
      </c>
    </row>
    <row r="57" spans="1:8" x14ac:dyDescent="0.25">
      <c r="A57" s="11" t="s">
        <v>56</v>
      </c>
      <c r="B57" s="11">
        <v>3320</v>
      </c>
      <c r="C57" s="11">
        <v>5976</v>
      </c>
      <c r="D57" s="11">
        <v>6723</v>
      </c>
      <c r="E57" s="11">
        <v>7054</v>
      </c>
      <c r="F57" s="11">
        <v>8595</v>
      </c>
      <c r="G57" s="11">
        <v>9365</v>
      </c>
      <c r="H57" s="11">
        <v>7444</v>
      </c>
    </row>
    <row r="58" spans="1:8" x14ac:dyDescent="0.25">
      <c r="A58" s="11" t="s">
        <v>57</v>
      </c>
      <c r="B58" s="11">
        <v>238</v>
      </c>
      <c r="C58" s="11">
        <v>421</v>
      </c>
      <c r="D58" s="11">
        <v>570</v>
      </c>
      <c r="E58" s="11">
        <v>556</v>
      </c>
      <c r="F58" s="11">
        <v>804</v>
      </c>
      <c r="G58" s="11">
        <v>1073</v>
      </c>
      <c r="H58" s="11">
        <v>796</v>
      </c>
    </row>
    <row r="59" spans="1:8" x14ac:dyDescent="0.25">
      <c r="A59" s="11" t="s">
        <v>58</v>
      </c>
      <c r="B59" s="11">
        <v>1907</v>
      </c>
      <c r="C59" s="11">
        <v>3660</v>
      </c>
      <c r="D59" s="11">
        <v>3981</v>
      </c>
      <c r="E59" s="11">
        <v>3710</v>
      </c>
      <c r="F59" s="11">
        <v>5100</v>
      </c>
      <c r="G59" s="11">
        <v>5350</v>
      </c>
      <c r="H59" s="11">
        <v>4221</v>
      </c>
    </row>
    <row r="60" spans="1:8" x14ac:dyDescent="0.25">
      <c r="A60" s="11" t="s">
        <v>59</v>
      </c>
      <c r="B60" s="11">
        <v>1898</v>
      </c>
      <c r="C60" s="11">
        <v>3279</v>
      </c>
      <c r="D60" s="11">
        <v>3907</v>
      </c>
      <c r="E60" s="11">
        <v>3743</v>
      </c>
      <c r="F60" s="11">
        <v>4761</v>
      </c>
      <c r="G60" s="11">
        <v>5079</v>
      </c>
      <c r="H60" s="11">
        <v>4127</v>
      </c>
    </row>
    <row r="61" spans="1:8" x14ac:dyDescent="0.25">
      <c r="A61" s="11" t="s">
        <v>60</v>
      </c>
      <c r="B61" s="11">
        <v>3703</v>
      </c>
      <c r="C61" s="11">
        <v>4019</v>
      </c>
      <c r="D61" s="11">
        <v>3624</v>
      </c>
      <c r="E61" s="11">
        <v>3459</v>
      </c>
      <c r="F61" s="11">
        <v>3989</v>
      </c>
      <c r="G61" s="11">
        <v>3896</v>
      </c>
      <c r="H61" s="11">
        <v>3709</v>
      </c>
    </row>
    <row r="62" spans="1:8" x14ac:dyDescent="0.25">
      <c r="A62" s="11" t="s">
        <v>61</v>
      </c>
      <c r="B62" s="11">
        <v>2233</v>
      </c>
      <c r="C62" s="11">
        <v>3961</v>
      </c>
      <c r="D62" s="11">
        <v>4648</v>
      </c>
      <c r="E62" s="11">
        <v>4765</v>
      </c>
      <c r="F62" s="11">
        <v>5733</v>
      </c>
      <c r="G62" s="11">
        <v>6598</v>
      </c>
      <c r="H62" s="11">
        <v>4904</v>
      </c>
    </row>
    <row r="63" spans="1:8" x14ac:dyDescent="0.25">
      <c r="A63" s="11" t="s">
        <v>62</v>
      </c>
      <c r="B63" s="11">
        <v>1764</v>
      </c>
      <c r="C63" s="11">
        <v>3057</v>
      </c>
      <c r="D63" s="11">
        <v>3613</v>
      </c>
      <c r="E63" s="11">
        <v>3518</v>
      </c>
      <c r="F63" s="11">
        <v>4701</v>
      </c>
      <c r="G63" s="11">
        <v>5017</v>
      </c>
      <c r="H63" s="11">
        <v>3787</v>
      </c>
    </row>
    <row r="64" spans="1:8" x14ac:dyDescent="0.25">
      <c r="A64" s="11" t="s">
        <v>63</v>
      </c>
      <c r="B64" s="11">
        <v>10581</v>
      </c>
      <c r="C64" s="11">
        <v>19793</v>
      </c>
      <c r="D64" s="11">
        <v>22556</v>
      </c>
      <c r="E64" s="11">
        <v>21364</v>
      </c>
      <c r="F64" s="11">
        <v>25194</v>
      </c>
      <c r="G64" s="11">
        <v>26092</v>
      </c>
      <c r="H64" s="11">
        <v>19992</v>
      </c>
    </row>
    <row r="65" spans="1:8" x14ac:dyDescent="0.25">
      <c r="A65" s="11" t="s">
        <v>64</v>
      </c>
      <c r="B65" s="11">
        <v>2236</v>
      </c>
      <c r="C65" s="11">
        <v>4509</v>
      </c>
      <c r="D65" s="11">
        <v>5015</v>
      </c>
      <c r="E65" s="11">
        <v>4898</v>
      </c>
      <c r="F65" s="11">
        <v>6920</v>
      </c>
      <c r="G65" s="11">
        <v>7390</v>
      </c>
      <c r="H65" s="11">
        <v>5591</v>
      </c>
    </row>
    <row r="66" spans="1:8" x14ac:dyDescent="0.25">
      <c r="A66" s="11" t="s">
        <v>65</v>
      </c>
      <c r="B66" s="11">
        <v>17552</v>
      </c>
      <c r="C66" s="11">
        <v>33047</v>
      </c>
      <c r="D66" s="11">
        <v>36284</v>
      </c>
      <c r="E66" s="11">
        <v>35191</v>
      </c>
      <c r="F66" s="11">
        <v>44292</v>
      </c>
      <c r="G66" s="11">
        <v>46619</v>
      </c>
      <c r="H66" s="11">
        <v>37899</v>
      </c>
    </row>
    <row r="67" spans="1:8" x14ac:dyDescent="0.25">
      <c r="A67" s="11" t="s">
        <v>66</v>
      </c>
      <c r="B67" s="11">
        <v>1374</v>
      </c>
      <c r="C67" s="11">
        <v>2482</v>
      </c>
      <c r="D67" s="11">
        <v>2716</v>
      </c>
      <c r="E67" s="11">
        <v>2693</v>
      </c>
      <c r="F67" s="11">
        <v>3235</v>
      </c>
      <c r="G67" s="11">
        <v>3352</v>
      </c>
      <c r="H67" s="11">
        <v>2616</v>
      </c>
    </row>
    <row r="68" spans="1:8" ht="13.8" thickBot="1" x14ac:dyDescent="0.3">
      <c r="A68" s="13" t="s">
        <v>67</v>
      </c>
      <c r="B68" s="13">
        <v>26732</v>
      </c>
      <c r="C68" s="13">
        <v>50133</v>
      </c>
      <c r="D68" s="13">
        <v>54469</v>
      </c>
      <c r="E68" s="13">
        <v>50153</v>
      </c>
      <c r="F68" s="13">
        <v>57091</v>
      </c>
      <c r="G68" s="13">
        <v>50299</v>
      </c>
      <c r="H68" s="13">
        <v>37883</v>
      </c>
    </row>
    <row r="69" spans="1:8" x14ac:dyDescent="0.25">
      <c r="A69" s="32" t="s">
        <v>68</v>
      </c>
      <c r="B69" s="32">
        <f>SUM(B2:B68)</f>
        <v>758979</v>
      </c>
      <c r="C69" s="32">
        <f t="shared" ref="C69:G69" si="0">SUM(C2:C68)</f>
        <v>1461784</v>
      </c>
      <c r="D69" s="32">
        <f t="shared" si="0"/>
        <v>1471529</v>
      </c>
      <c r="E69" s="32">
        <f t="shared" si="0"/>
        <v>1285238</v>
      </c>
      <c r="F69" s="32">
        <f t="shared" si="0"/>
        <v>1464469</v>
      </c>
      <c r="G69" s="32">
        <f t="shared" si="0"/>
        <v>1417959</v>
      </c>
      <c r="H69" s="32">
        <f>SUM(H2:H68)</f>
        <v>1102025</v>
      </c>
    </row>
    <row r="70" spans="1:8" x14ac:dyDescent="0.25">
      <c r="B70" s="17">
        <f t="shared" ref="B70:H70" si="1">B69/$B$72</f>
        <v>8.4688734624915038E-2</v>
      </c>
      <c r="C70" s="17">
        <f>C69/$B$72</f>
        <v>0.16310943682888041</v>
      </c>
      <c r="D70" s="17">
        <f>D69/$B$72</f>
        <v>0.16419680778238477</v>
      </c>
      <c r="E70" s="17">
        <f t="shared" si="1"/>
        <v>0.14341000200513659</v>
      </c>
      <c r="F70" s="17">
        <f t="shared" si="1"/>
        <v>0.1634090357011389</v>
      </c>
      <c r="G70" s="17">
        <f t="shared" si="1"/>
        <v>0.15821933605542435</v>
      </c>
      <c r="H70" s="17">
        <f t="shared" si="1"/>
        <v>0.12296664700211996</v>
      </c>
    </row>
    <row r="72" spans="1:8" x14ac:dyDescent="0.25">
      <c r="A72" s="32" t="s">
        <v>80</v>
      </c>
      <c r="B72" s="16">
        <f>SUM(B69:H69)</f>
        <v>8961983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7" sqref="M7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1982</v>
      </c>
      <c r="D2" s="11">
        <v>2768</v>
      </c>
      <c r="E2" s="11">
        <v>2336</v>
      </c>
      <c r="F2" s="11">
        <v>2117</v>
      </c>
      <c r="G2" s="11">
        <v>2650</v>
      </c>
      <c r="H2" s="11">
        <v>3786</v>
      </c>
      <c r="I2" s="11">
        <v>3516</v>
      </c>
    </row>
    <row r="3" spans="1:9" x14ac:dyDescent="0.25">
      <c r="A3" s="11" t="s">
        <v>2</v>
      </c>
      <c r="B3" s="10" t="s">
        <v>0</v>
      </c>
      <c r="C3" s="11">
        <v>41700</v>
      </c>
      <c r="D3" s="11">
        <v>94436</v>
      </c>
      <c r="E3" s="11">
        <v>89262</v>
      </c>
      <c r="F3" s="11">
        <v>64052</v>
      </c>
      <c r="G3" s="11">
        <v>67796</v>
      </c>
      <c r="H3" s="11">
        <v>80221</v>
      </c>
      <c r="I3" s="11">
        <v>65421</v>
      </c>
    </row>
    <row r="4" spans="1:9" x14ac:dyDescent="0.25">
      <c r="A4" s="11" t="s">
        <v>3</v>
      </c>
      <c r="B4" s="10" t="s">
        <v>0</v>
      </c>
      <c r="C4" s="11">
        <v>612</v>
      </c>
      <c r="D4" s="11">
        <v>1079</v>
      </c>
      <c r="E4" s="11">
        <v>1213</v>
      </c>
      <c r="F4" s="11">
        <v>1265</v>
      </c>
      <c r="G4" s="11">
        <v>1763</v>
      </c>
      <c r="H4" s="11">
        <v>2558</v>
      </c>
      <c r="I4" s="11">
        <v>2165</v>
      </c>
    </row>
    <row r="5" spans="1:9" x14ac:dyDescent="0.25">
      <c r="A5" s="11" t="s">
        <v>4</v>
      </c>
      <c r="B5" s="10" t="s">
        <v>0</v>
      </c>
      <c r="C5" s="11">
        <v>2549</v>
      </c>
      <c r="D5" s="11">
        <v>5676</v>
      </c>
      <c r="E5" s="11">
        <v>6434</v>
      </c>
      <c r="F5" s="11">
        <v>5899</v>
      </c>
      <c r="G5" s="11">
        <v>7366</v>
      </c>
      <c r="H5" s="11">
        <v>9852</v>
      </c>
      <c r="I5" s="11">
        <v>8044</v>
      </c>
    </row>
    <row r="6" spans="1:9" x14ac:dyDescent="0.25">
      <c r="A6" s="11" t="s">
        <v>5</v>
      </c>
      <c r="B6" s="10" t="s">
        <v>0</v>
      </c>
      <c r="C6" s="11">
        <v>308</v>
      </c>
      <c r="D6" s="11">
        <v>529</v>
      </c>
      <c r="E6" s="11">
        <v>575</v>
      </c>
      <c r="F6" s="11">
        <v>633</v>
      </c>
      <c r="G6" s="11">
        <v>862</v>
      </c>
      <c r="H6" s="11">
        <v>1187</v>
      </c>
      <c r="I6" s="11">
        <v>1189</v>
      </c>
    </row>
    <row r="7" spans="1:9" x14ac:dyDescent="0.25">
      <c r="A7" s="11" t="s">
        <v>6</v>
      </c>
      <c r="B7" s="10" t="s">
        <v>0</v>
      </c>
      <c r="C7" s="11">
        <v>8460</v>
      </c>
      <c r="D7" s="11">
        <v>15797</v>
      </c>
      <c r="E7" s="11">
        <v>16329</v>
      </c>
      <c r="F7" s="11">
        <v>14900</v>
      </c>
      <c r="G7" s="11">
        <v>16943</v>
      </c>
      <c r="H7" s="11">
        <v>17329</v>
      </c>
      <c r="I7" s="11">
        <v>14503</v>
      </c>
    </row>
    <row r="8" spans="1:9" x14ac:dyDescent="0.25">
      <c r="A8" s="11" t="s">
        <v>7</v>
      </c>
      <c r="B8" s="10" t="s">
        <v>0</v>
      </c>
      <c r="C8" s="11">
        <v>1541</v>
      </c>
      <c r="D8" s="11">
        <v>3017</v>
      </c>
      <c r="E8" s="11">
        <v>3119</v>
      </c>
      <c r="F8" s="11">
        <v>2566</v>
      </c>
      <c r="G8" s="11">
        <v>2728</v>
      </c>
      <c r="H8" s="11">
        <v>3547</v>
      </c>
      <c r="I8" s="11">
        <v>3234</v>
      </c>
    </row>
    <row r="9" spans="1:9" x14ac:dyDescent="0.25">
      <c r="A9" s="11" t="s">
        <v>8</v>
      </c>
      <c r="B9" s="10" t="s">
        <v>0</v>
      </c>
      <c r="C9" s="11">
        <v>504</v>
      </c>
      <c r="D9" s="11">
        <v>1050</v>
      </c>
      <c r="E9" s="11">
        <v>1075</v>
      </c>
      <c r="F9" s="11">
        <v>900</v>
      </c>
      <c r="G9" s="11">
        <v>1194</v>
      </c>
      <c r="H9" s="11">
        <v>1599</v>
      </c>
      <c r="I9" s="11">
        <v>1486</v>
      </c>
    </row>
    <row r="10" spans="1:9" x14ac:dyDescent="0.25">
      <c r="A10" s="11" t="s">
        <v>9</v>
      </c>
      <c r="B10" s="10" t="s">
        <v>0</v>
      </c>
      <c r="C10" s="11">
        <v>15685</v>
      </c>
      <c r="D10" s="11">
        <v>28144</v>
      </c>
      <c r="E10" s="11">
        <v>30105</v>
      </c>
      <c r="F10" s="11">
        <v>27059</v>
      </c>
      <c r="G10" s="11">
        <v>31261</v>
      </c>
      <c r="H10" s="11">
        <v>34609</v>
      </c>
      <c r="I10" s="11">
        <v>26930</v>
      </c>
    </row>
    <row r="11" spans="1:9" x14ac:dyDescent="0.25">
      <c r="A11" s="11" t="s">
        <v>10</v>
      </c>
      <c r="B11" s="10" t="s">
        <v>0</v>
      </c>
      <c r="C11" s="11">
        <v>2990</v>
      </c>
      <c r="D11" s="11">
        <v>5253</v>
      </c>
      <c r="E11" s="11">
        <v>5935</v>
      </c>
      <c r="F11" s="11">
        <v>4992</v>
      </c>
      <c r="G11" s="11">
        <v>5781</v>
      </c>
      <c r="H11" s="11">
        <v>7562</v>
      </c>
      <c r="I11" s="11">
        <v>6556</v>
      </c>
    </row>
    <row r="12" spans="1:9" x14ac:dyDescent="0.25">
      <c r="A12" s="11" t="s">
        <v>11</v>
      </c>
      <c r="B12" s="10" t="s">
        <v>0</v>
      </c>
      <c r="C12" s="11">
        <v>1750</v>
      </c>
      <c r="D12" s="11">
        <v>3355</v>
      </c>
      <c r="E12" s="11">
        <v>3658</v>
      </c>
      <c r="F12" s="11">
        <v>3709</v>
      </c>
      <c r="G12" s="11">
        <v>4667</v>
      </c>
      <c r="H12" s="11">
        <v>6656</v>
      </c>
      <c r="I12" s="11">
        <v>5658</v>
      </c>
    </row>
    <row r="13" spans="1:9" x14ac:dyDescent="0.25">
      <c r="A13" s="11" t="s">
        <v>12</v>
      </c>
      <c r="B13" s="10" t="s">
        <v>0</v>
      </c>
      <c r="C13" s="11">
        <v>32</v>
      </c>
      <c r="D13" s="11">
        <v>67</v>
      </c>
      <c r="E13" s="11">
        <v>77</v>
      </c>
      <c r="F13" s="11">
        <v>61</v>
      </c>
      <c r="G13" s="11">
        <v>117</v>
      </c>
      <c r="H13" s="11">
        <v>168</v>
      </c>
      <c r="I13" s="11">
        <v>143</v>
      </c>
    </row>
    <row r="14" spans="1:9" x14ac:dyDescent="0.25">
      <c r="A14" s="11" t="s">
        <v>13</v>
      </c>
      <c r="B14" s="10" t="s">
        <v>0</v>
      </c>
      <c r="C14" s="11">
        <v>855</v>
      </c>
      <c r="D14" s="11">
        <v>1783</v>
      </c>
      <c r="E14" s="11">
        <v>1933</v>
      </c>
      <c r="F14" s="11">
        <v>1923</v>
      </c>
      <c r="G14" s="11">
        <v>2441</v>
      </c>
      <c r="H14" s="11">
        <v>2857</v>
      </c>
      <c r="I14" s="11">
        <v>2267</v>
      </c>
    </row>
    <row r="15" spans="1:9" x14ac:dyDescent="0.25">
      <c r="A15" s="11" t="s">
        <v>14</v>
      </c>
      <c r="B15" s="10" t="s">
        <v>0</v>
      </c>
      <c r="C15" s="11">
        <v>7878</v>
      </c>
      <c r="D15" s="11">
        <v>9024</v>
      </c>
      <c r="E15" s="11">
        <v>5728</v>
      </c>
      <c r="F15" s="11">
        <v>4602</v>
      </c>
      <c r="G15" s="11">
        <v>4506</v>
      </c>
      <c r="H15" s="11">
        <v>5096</v>
      </c>
      <c r="I15" s="11">
        <v>4663</v>
      </c>
    </row>
    <row r="16" spans="1:9" x14ac:dyDescent="0.25">
      <c r="A16" s="11" t="s">
        <v>15</v>
      </c>
      <c r="B16" s="10" t="s">
        <v>0</v>
      </c>
      <c r="C16" s="11">
        <v>16584</v>
      </c>
      <c r="D16" s="11">
        <v>27082</v>
      </c>
      <c r="E16" s="11">
        <v>26291</v>
      </c>
      <c r="F16" s="11">
        <v>23314</v>
      </c>
      <c r="G16" s="11">
        <v>24123</v>
      </c>
      <c r="H16" s="11">
        <v>24404</v>
      </c>
      <c r="I16" s="11">
        <v>18692</v>
      </c>
    </row>
    <row r="17" spans="1:9" x14ac:dyDescent="0.25">
      <c r="A17" s="11" t="s">
        <v>16</v>
      </c>
      <c r="B17" s="10" t="s">
        <v>0</v>
      </c>
      <c r="C17" s="11">
        <v>308</v>
      </c>
      <c r="D17" s="11">
        <v>625</v>
      </c>
      <c r="E17" s="11">
        <v>611</v>
      </c>
      <c r="F17" s="11">
        <v>578</v>
      </c>
      <c r="G17" s="11">
        <v>735</v>
      </c>
      <c r="H17" s="11">
        <v>1166</v>
      </c>
      <c r="I17" s="11">
        <v>1043</v>
      </c>
    </row>
    <row r="18" spans="1:9" x14ac:dyDescent="0.25">
      <c r="A18" s="11" t="s">
        <v>17</v>
      </c>
      <c r="B18" s="10" t="s">
        <v>0</v>
      </c>
      <c r="C18" s="11">
        <v>694</v>
      </c>
      <c r="D18" s="11">
        <v>1358</v>
      </c>
      <c r="E18" s="11">
        <v>1469</v>
      </c>
      <c r="F18" s="11">
        <v>1522</v>
      </c>
      <c r="G18" s="11">
        <v>1963</v>
      </c>
      <c r="H18" s="11">
        <v>2578</v>
      </c>
      <c r="I18" s="11">
        <v>2465</v>
      </c>
    </row>
    <row r="19" spans="1:9" x14ac:dyDescent="0.25">
      <c r="A19" s="11" t="s">
        <v>18</v>
      </c>
      <c r="B19" s="10" t="s">
        <v>0</v>
      </c>
      <c r="C19" s="11">
        <v>383</v>
      </c>
      <c r="D19" s="11">
        <v>848</v>
      </c>
      <c r="E19" s="11">
        <v>770</v>
      </c>
      <c r="F19" s="11">
        <v>753</v>
      </c>
      <c r="G19" s="11">
        <v>911</v>
      </c>
      <c r="H19" s="11">
        <v>1290</v>
      </c>
      <c r="I19" s="11">
        <v>1106</v>
      </c>
    </row>
    <row r="20" spans="1:9" x14ac:dyDescent="0.25">
      <c r="A20" s="11" t="s">
        <v>19</v>
      </c>
      <c r="B20" s="10" t="s">
        <v>0</v>
      </c>
      <c r="C20" s="11">
        <v>1226</v>
      </c>
      <c r="D20" s="11">
        <v>1714</v>
      </c>
      <c r="E20" s="11">
        <v>1681</v>
      </c>
      <c r="F20" s="11">
        <v>1476</v>
      </c>
      <c r="G20" s="11">
        <v>1629</v>
      </c>
      <c r="H20" s="11">
        <v>2178</v>
      </c>
      <c r="I20" s="11">
        <v>1908</v>
      </c>
    </row>
    <row r="21" spans="1:9" x14ac:dyDescent="0.25">
      <c r="A21" s="11" t="s">
        <v>20</v>
      </c>
      <c r="B21" s="10" t="s">
        <v>0</v>
      </c>
      <c r="C21" s="11">
        <v>1057</v>
      </c>
      <c r="D21" s="11">
        <v>1808</v>
      </c>
      <c r="E21" s="11">
        <v>1772</v>
      </c>
      <c r="F21" s="11">
        <v>1744</v>
      </c>
      <c r="G21" s="11">
        <v>2165</v>
      </c>
      <c r="H21" s="11">
        <v>3049</v>
      </c>
      <c r="I21" s="11">
        <v>2859</v>
      </c>
    </row>
    <row r="22" spans="1:9" x14ac:dyDescent="0.25">
      <c r="A22" s="11" t="s">
        <v>21</v>
      </c>
      <c r="B22" s="10" t="s">
        <v>0</v>
      </c>
      <c r="C22" s="11">
        <v>6172</v>
      </c>
      <c r="D22" s="11">
        <v>10176</v>
      </c>
      <c r="E22" s="11">
        <v>10846</v>
      </c>
      <c r="F22" s="11">
        <v>8627</v>
      </c>
      <c r="G22" s="11">
        <v>8002</v>
      </c>
      <c r="H22" s="11">
        <v>9055</v>
      </c>
      <c r="I22" s="11">
        <v>8273</v>
      </c>
    </row>
    <row r="23" spans="1:9" x14ac:dyDescent="0.25">
      <c r="A23" s="11" t="s">
        <v>22</v>
      </c>
      <c r="B23" s="10" t="s">
        <v>0</v>
      </c>
      <c r="C23" s="11">
        <v>7252</v>
      </c>
      <c r="D23" s="11">
        <v>15529</v>
      </c>
      <c r="E23" s="11">
        <v>15159</v>
      </c>
      <c r="F23" s="11">
        <v>12814</v>
      </c>
      <c r="G23" s="11">
        <v>13001</v>
      </c>
      <c r="H23" s="11">
        <v>13121</v>
      </c>
      <c r="I23" s="11">
        <v>9052</v>
      </c>
    </row>
    <row r="24" spans="1:9" x14ac:dyDescent="0.25">
      <c r="A24" s="11" t="s">
        <v>23</v>
      </c>
      <c r="B24" s="10" t="s">
        <v>0</v>
      </c>
      <c r="C24" s="11">
        <v>19328</v>
      </c>
      <c r="D24" s="11">
        <v>34936</v>
      </c>
      <c r="E24" s="11">
        <v>38638</v>
      </c>
      <c r="F24" s="11">
        <v>30481</v>
      </c>
      <c r="G24" s="11">
        <v>29447</v>
      </c>
      <c r="H24" s="11">
        <v>29011</v>
      </c>
      <c r="I24" s="11">
        <v>20606</v>
      </c>
    </row>
    <row r="25" spans="1:9" x14ac:dyDescent="0.25">
      <c r="A25" s="11" t="s">
        <v>24</v>
      </c>
      <c r="B25" s="10" t="s">
        <v>0</v>
      </c>
      <c r="C25" s="11">
        <v>322</v>
      </c>
      <c r="D25" s="11">
        <v>602</v>
      </c>
      <c r="E25" s="11">
        <v>655</v>
      </c>
      <c r="F25" s="11">
        <v>649</v>
      </c>
      <c r="G25" s="11">
        <v>1017</v>
      </c>
      <c r="H25" s="11">
        <v>1328</v>
      </c>
      <c r="I25" s="11">
        <v>1225</v>
      </c>
    </row>
    <row r="26" spans="1:9" x14ac:dyDescent="0.25">
      <c r="A26" s="11" t="s">
        <v>25</v>
      </c>
      <c r="B26" s="10" t="s">
        <v>0</v>
      </c>
      <c r="C26" s="11">
        <v>5531</v>
      </c>
      <c r="D26" s="11">
        <v>11291</v>
      </c>
      <c r="E26" s="11">
        <v>11159</v>
      </c>
      <c r="F26" s="11">
        <v>10144</v>
      </c>
      <c r="G26" s="11">
        <v>11769</v>
      </c>
      <c r="H26" s="11">
        <v>14891</v>
      </c>
      <c r="I26" s="11">
        <v>11773</v>
      </c>
    </row>
    <row r="27" spans="1:9" x14ac:dyDescent="0.25">
      <c r="A27" s="11" t="s">
        <v>26</v>
      </c>
      <c r="B27" s="10" t="s">
        <v>0</v>
      </c>
      <c r="C27" s="11">
        <v>1360</v>
      </c>
      <c r="D27" s="11">
        <v>2936</v>
      </c>
      <c r="E27" s="11">
        <v>3504</v>
      </c>
      <c r="F27" s="11">
        <v>3849</v>
      </c>
      <c r="G27" s="11">
        <v>5074</v>
      </c>
      <c r="H27" s="11">
        <v>6894</v>
      </c>
      <c r="I27" s="11">
        <v>5958</v>
      </c>
    </row>
    <row r="28" spans="1:9" x14ac:dyDescent="0.25">
      <c r="A28" s="11" t="s">
        <v>27</v>
      </c>
      <c r="B28" s="10" t="s">
        <v>0</v>
      </c>
      <c r="C28" s="11">
        <v>16</v>
      </c>
      <c r="D28" s="11">
        <v>47</v>
      </c>
      <c r="E28" s="11">
        <v>55</v>
      </c>
      <c r="F28" s="11">
        <v>67</v>
      </c>
      <c r="G28" s="11">
        <v>147</v>
      </c>
      <c r="H28" s="11">
        <v>244</v>
      </c>
      <c r="I28" s="11">
        <v>199</v>
      </c>
    </row>
    <row r="29" spans="1:9" x14ac:dyDescent="0.25">
      <c r="A29" s="11" t="s">
        <v>28</v>
      </c>
      <c r="B29" s="10" t="s">
        <v>0</v>
      </c>
      <c r="C29" s="11">
        <v>2047</v>
      </c>
      <c r="D29" s="11">
        <v>3654</v>
      </c>
      <c r="E29" s="11">
        <v>3450</v>
      </c>
      <c r="F29" s="11">
        <v>3097</v>
      </c>
      <c r="G29" s="11">
        <v>3257</v>
      </c>
      <c r="H29" s="11">
        <v>3960</v>
      </c>
      <c r="I29" s="11">
        <v>4000</v>
      </c>
    </row>
    <row r="30" spans="1:9" x14ac:dyDescent="0.25">
      <c r="A30" s="11" t="s">
        <v>29</v>
      </c>
      <c r="B30" s="10" t="s">
        <v>0</v>
      </c>
      <c r="C30" s="11">
        <v>80</v>
      </c>
      <c r="D30" s="11">
        <v>139</v>
      </c>
      <c r="E30" s="11">
        <v>160</v>
      </c>
      <c r="F30" s="11">
        <v>179</v>
      </c>
      <c r="G30" s="11">
        <v>243</v>
      </c>
      <c r="H30" s="11">
        <v>292</v>
      </c>
      <c r="I30" s="11">
        <v>385</v>
      </c>
    </row>
    <row r="31" spans="1:9" x14ac:dyDescent="0.25">
      <c r="A31" s="11" t="s">
        <v>30</v>
      </c>
      <c r="B31" s="10" t="s">
        <v>0</v>
      </c>
      <c r="C31" s="11">
        <v>298</v>
      </c>
      <c r="D31" s="11">
        <v>680</v>
      </c>
      <c r="E31" s="11">
        <v>826</v>
      </c>
      <c r="F31" s="11">
        <v>951</v>
      </c>
      <c r="G31" s="11">
        <v>1288</v>
      </c>
      <c r="H31" s="11">
        <v>1826</v>
      </c>
      <c r="I31" s="11">
        <v>1526</v>
      </c>
    </row>
    <row r="32" spans="1:9" x14ac:dyDescent="0.25">
      <c r="A32" s="11" t="s">
        <v>31</v>
      </c>
      <c r="B32" s="10" t="s">
        <v>0</v>
      </c>
      <c r="C32" s="11">
        <v>612</v>
      </c>
      <c r="D32" s="11">
        <v>837</v>
      </c>
      <c r="E32" s="11">
        <v>615</v>
      </c>
      <c r="F32" s="11">
        <v>709</v>
      </c>
      <c r="G32" s="11">
        <v>865</v>
      </c>
      <c r="H32" s="11">
        <v>1217</v>
      </c>
      <c r="I32" s="11">
        <v>1171</v>
      </c>
    </row>
    <row r="33" spans="1:9" x14ac:dyDescent="0.25">
      <c r="A33" s="11" t="s">
        <v>32</v>
      </c>
      <c r="B33" s="10" t="s">
        <v>0</v>
      </c>
      <c r="C33" s="11">
        <v>1310</v>
      </c>
      <c r="D33" s="11">
        <v>1819</v>
      </c>
      <c r="E33" s="11">
        <v>1535</v>
      </c>
      <c r="F33" s="11">
        <v>1515</v>
      </c>
      <c r="G33" s="11">
        <v>2098</v>
      </c>
      <c r="H33" s="11">
        <v>3025</v>
      </c>
      <c r="I33" s="11">
        <v>2647</v>
      </c>
    </row>
    <row r="34" spans="1:9" x14ac:dyDescent="0.25">
      <c r="A34" s="11" t="s">
        <v>33</v>
      </c>
      <c r="B34" s="10" t="s">
        <v>0</v>
      </c>
      <c r="C34" s="11">
        <v>352</v>
      </c>
      <c r="D34" s="11">
        <v>613</v>
      </c>
      <c r="E34" s="11">
        <v>659</v>
      </c>
      <c r="F34" s="11">
        <v>666</v>
      </c>
      <c r="G34" s="11">
        <v>799</v>
      </c>
      <c r="H34" s="11">
        <v>1266</v>
      </c>
      <c r="I34" s="11">
        <v>1077</v>
      </c>
    </row>
    <row r="35" spans="1:9" x14ac:dyDescent="0.25">
      <c r="A35" s="11" t="s">
        <v>34</v>
      </c>
      <c r="B35" s="10" t="s">
        <v>0</v>
      </c>
      <c r="C35" s="11">
        <v>140</v>
      </c>
      <c r="D35" s="11">
        <v>245</v>
      </c>
      <c r="E35" s="11">
        <v>297</v>
      </c>
      <c r="F35" s="11">
        <v>317</v>
      </c>
      <c r="G35" s="11">
        <v>409</v>
      </c>
      <c r="H35" s="11">
        <v>603</v>
      </c>
      <c r="I35" s="11">
        <v>532</v>
      </c>
    </row>
    <row r="36" spans="1:9" x14ac:dyDescent="0.25">
      <c r="A36" s="11" t="s">
        <v>35</v>
      </c>
      <c r="B36" s="10" t="s">
        <v>0</v>
      </c>
      <c r="C36" s="11">
        <v>5116</v>
      </c>
      <c r="D36" s="11">
        <v>10525</v>
      </c>
      <c r="E36" s="11">
        <v>11668</v>
      </c>
      <c r="F36" s="11">
        <v>10223</v>
      </c>
      <c r="G36" s="11">
        <v>12575</v>
      </c>
      <c r="H36" s="11">
        <v>14070</v>
      </c>
      <c r="I36" s="11">
        <v>12153</v>
      </c>
    </row>
    <row r="37" spans="1:9" x14ac:dyDescent="0.25">
      <c r="A37" s="11" t="s">
        <v>36</v>
      </c>
      <c r="B37" s="10" t="s">
        <v>0</v>
      </c>
      <c r="C37" s="11">
        <v>9819</v>
      </c>
      <c r="D37" s="11">
        <v>19994</v>
      </c>
      <c r="E37" s="11">
        <v>19617</v>
      </c>
      <c r="F37" s="11">
        <v>15225</v>
      </c>
      <c r="G37" s="11">
        <v>15309</v>
      </c>
      <c r="H37" s="11">
        <v>17385</v>
      </c>
      <c r="I37" s="11">
        <v>15279</v>
      </c>
    </row>
    <row r="38" spans="1:9" x14ac:dyDescent="0.25">
      <c r="A38" s="11" t="s">
        <v>37</v>
      </c>
      <c r="B38" s="10" t="s">
        <v>0</v>
      </c>
      <c r="C38" s="11">
        <v>1183</v>
      </c>
      <c r="D38" s="11">
        <v>2389</v>
      </c>
      <c r="E38" s="11">
        <v>2475</v>
      </c>
      <c r="F38" s="11">
        <v>2470</v>
      </c>
      <c r="G38" s="11">
        <v>3272</v>
      </c>
      <c r="H38" s="11">
        <v>4195</v>
      </c>
      <c r="I38" s="11">
        <v>3718</v>
      </c>
    </row>
    <row r="39" spans="1:9" x14ac:dyDescent="0.25">
      <c r="A39" s="11" t="s">
        <v>38</v>
      </c>
      <c r="B39" s="10" t="s">
        <v>0</v>
      </c>
      <c r="C39" s="11">
        <v>2063</v>
      </c>
      <c r="D39" s="11">
        <v>3732</v>
      </c>
      <c r="E39" s="11">
        <v>4034</v>
      </c>
      <c r="F39" s="11">
        <v>3639</v>
      </c>
      <c r="G39" s="11">
        <v>3853</v>
      </c>
      <c r="H39" s="11">
        <v>4220</v>
      </c>
      <c r="I39" s="11">
        <v>3816</v>
      </c>
    </row>
    <row r="40" spans="1:9" x14ac:dyDescent="0.25">
      <c r="A40" s="11" t="s">
        <v>39</v>
      </c>
      <c r="B40" s="10" t="s">
        <v>0</v>
      </c>
      <c r="C40" s="11">
        <v>9137</v>
      </c>
      <c r="D40" s="11">
        <v>18250</v>
      </c>
      <c r="E40" s="11">
        <v>18620</v>
      </c>
      <c r="F40" s="11">
        <v>16699</v>
      </c>
      <c r="G40" s="11">
        <v>17096</v>
      </c>
      <c r="H40" s="11">
        <v>17409</v>
      </c>
      <c r="I40" s="11">
        <v>14033</v>
      </c>
    </row>
    <row r="41" spans="1:9" x14ac:dyDescent="0.25">
      <c r="A41" s="11" t="s">
        <v>40</v>
      </c>
      <c r="B41" s="10" t="s">
        <v>0</v>
      </c>
      <c r="C41" s="11">
        <v>5757</v>
      </c>
      <c r="D41" s="11">
        <v>12015</v>
      </c>
      <c r="E41" s="11">
        <v>13026</v>
      </c>
      <c r="F41" s="11">
        <v>11853</v>
      </c>
      <c r="G41" s="11">
        <v>13772</v>
      </c>
      <c r="H41" s="11">
        <v>15048</v>
      </c>
      <c r="I41" s="11">
        <v>12837</v>
      </c>
    </row>
    <row r="42" spans="1:9" x14ac:dyDescent="0.25">
      <c r="A42" s="11" t="s">
        <v>41</v>
      </c>
      <c r="B42" s="10" t="s">
        <v>0</v>
      </c>
      <c r="C42" s="11">
        <v>1411</v>
      </c>
      <c r="D42" s="11">
        <v>2896</v>
      </c>
      <c r="E42" s="11">
        <v>2821</v>
      </c>
      <c r="F42" s="11">
        <v>2337</v>
      </c>
      <c r="G42" s="11">
        <v>2601</v>
      </c>
      <c r="H42" s="11">
        <v>3384</v>
      </c>
      <c r="I42" s="11">
        <v>2734</v>
      </c>
    </row>
    <row r="43" spans="1:9" x14ac:dyDescent="0.25">
      <c r="A43" s="11" t="s">
        <v>42</v>
      </c>
      <c r="B43" s="10" t="s">
        <v>0</v>
      </c>
      <c r="C43" s="11">
        <v>370</v>
      </c>
      <c r="D43" s="11">
        <v>720</v>
      </c>
      <c r="E43" s="11">
        <v>691</v>
      </c>
      <c r="F43" s="11">
        <v>646</v>
      </c>
      <c r="G43" s="11">
        <v>782</v>
      </c>
      <c r="H43" s="11">
        <v>1125</v>
      </c>
      <c r="I43" s="11">
        <v>950</v>
      </c>
    </row>
    <row r="44" spans="1:9" x14ac:dyDescent="0.25">
      <c r="A44" s="11" t="s">
        <v>43</v>
      </c>
      <c r="B44" s="10" t="s">
        <v>0</v>
      </c>
      <c r="C44" s="11">
        <v>1387</v>
      </c>
      <c r="D44" s="11">
        <v>2684</v>
      </c>
      <c r="E44" s="11">
        <v>2941</v>
      </c>
      <c r="F44" s="11">
        <v>2778</v>
      </c>
      <c r="G44" s="11">
        <v>3693</v>
      </c>
      <c r="H44" s="11">
        <v>5243</v>
      </c>
      <c r="I44" s="11">
        <v>4426</v>
      </c>
    </row>
    <row r="45" spans="1:9" x14ac:dyDescent="0.25">
      <c r="A45" s="11" t="s">
        <v>44</v>
      </c>
      <c r="B45" s="10" t="s">
        <v>0</v>
      </c>
      <c r="C45" s="11">
        <v>313</v>
      </c>
      <c r="D45" s="11">
        <v>690</v>
      </c>
      <c r="E45" s="11">
        <v>750</v>
      </c>
      <c r="F45" s="11">
        <v>688</v>
      </c>
      <c r="G45" s="11">
        <v>800</v>
      </c>
      <c r="H45" s="11">
        <v>1018</v>
      </c>
      <c r="I45" s="11">
        <v>1099</v>
      </c>
    </row>
    <row r="46" spans="1:9" x14ac:dyDescent="0.25">
      <c r="A46" s="11" t="s">
        <v>45</v>
      </c>
      <c r="B46" s="10" t="s">
        <v>0</v>
      </c>
      <c r="C46" s="11">
        <v>4114</v>
      </c>
      <c r="D46" s="11">
        <v>7306</v>
      </c>
      <c r="E46" s="11">
        <v>6725</v>
      </c>
      <c r="F46" s="11">
        <v>6911</v>
      </c>
      <c r="G46" s="11">
        <v>9113</v>
      </c>
      <c r="H46" s="11">
        <v>8731</v>
      </c>
      <c r="I46" s="11">
        <v>5488</v>
      </c>
    </row>
    <row r="47" spans="1:9" x14ac:dyDescent="0.25">
      <c r="A47" s="11" t="s">
        <v>46</v>
      </c>
      <c r="B47" s="10" t="s">
        <v>0</v>
      </c>
      <c r="C47" s="11">
        <v>26980</v>
      </c>
      <c r="D47" s="11">
        <v>49008</v>
      </c>
      <c r="E47" s="11">
        <v>53881</v>
      </c>
      <c r="F47" s="11">
        <v>45467</v>
      </c>
      <c r="G47" s="11">
        <v>44743</v>
      </c>
      <c r="H47" s="11">
        <v>46337</v>
      </c>
      <c r="I47" s="11">
        <v>38474</v>
      </c>
    </row>
    <row r="48" spans="1:9" x14ac:dyDescent="0.25">
      <c r="A48" s="11" t="s">
        <v>47</v>
      </c>
      <c r="B48" s="10" t="s">
        <v>0</v>
      </c>
      <c r="C48" s="11">
        <v>234</v>
      </c>
      <c r="D48" s="11">
        <v>582</v>
      </c>
      <c r="E48" s="11">
        <v>623</v>
      </c>
      <c r="F48" s="11">
        <v>441</v>
      </c>
      <c r="G48" s="11">
        <v>511</v>
      </c>
      <c r="H48" s="11">
        <v>718</v>
      </c>
      <c r="I48" s="11">
        <v>643</v>
      </c>
    </row>
    <row r="49" spans="1:9" x14ac:dyDescent="0.25">
      <c r="A49" s="11" t="s">
        <v>48</v>
      </c>
      <c r="B49" s="10" t="s">
        <v>0</v>
      </c>
      <c r="C49" s="11">
        <v>9918</v>
      </c>
      <c r="D49" s="11">
        <v>15141</v>
      </c>
      <c r="E49" s="11">
        <v>14302</v>
      </c>
      <c r="F49" s="11">
        <v>12954</v>
      </c>
      <c r="G49" s="11">
        <v>14316</v>
      </c>
      <c r="H49" s="11">
        <v>15812</v>
      </c>
      <c r="I49" s="11">
        <v>13397</v>
      </c>
    </row>
    <row r="50" spans="1:9" x14ac:dyDescent="0.25">
      <c r="A50" s="11" t="s">
        <v>49</v>
      </c>
      <c r="B50" s="10" t="s">
        <v>0</v>
      </c>
      <c r="C50" s="11">
        <v>872</v>
      </c>
      <c r="D50" s="11">
        <v>1895</v>
      </c>
      <c r="E50" s="11">
        <v>2201</v>
      </c>
      <c r="F50" s="11">
        <v>2062</v>
      </c>
      <c r="G50" s="11">
        <v>2377</v>
      </c>
      <c r="H50" s="11">
        <v>3172</v>
      </c>
      <c r="I50" s="11">
        <v>2738</v>
      </c>
    </row>
    <row r="51" spans="1:9" x14ac:dyDescent="0.25">
      <c r="A51" s="11" t="s">
        <v>50</v>
      </c>
      <c r="B51" s="10" t="s">
        <v>0</v>
      </c>
      <c r="C51" s="11">
        <v>455</v>
      </c>
      <c r="D51" s="11">
        <v>809</v>
      </c>
      <c r="E51" s="11">
        <v>897</v>
      </c>
      <c r="F51" s="11">
        <v>818</v>
      </c>
      <c r="G51" s="11">
        <v>961</v>
      </c>
      <c r="H51" s="11">
        <v>1119</v>
      </c>
      <c r="I51" s="11">
        <v>935</v>
      </c>
    </row>
    <row r="52" spans="1:9" x14ac:dyDescent="0.25">
      <c r="A52" s="11" t="s">
        <v>51</v>
      </c>
      <c r="B52" s="10" t="s">
        <v>0</v>
      </c>
      <c r="C52" s="11">
        <v>60506</v>
      </c>
      <c r="D52" s="11">
        <v>176458</v>
      </c>
      <c r="E52" s="11">
        <v>155267</v>
      </c>
      <c r="F52" s="11">
        <v>102659</v>
      </c>
      <c r="G52" s="11">
        <v>109262</v>
      </c>
      <c r="H52" s="11">
        <v>98749</v>
      </c>
      <c r="I52" s="11">
        <v>71610</v>
      </c>
    </row>
    <row r="53" spans="1:9" x14ac:dyDescent="0.25">
      <c r="A53" s="11" t="s">
        <v>52</v>
      </c>
      <c r="B53" s="10" t="s">
        <v>0</v>
      </c>
      <c r="C53" s="11">
        <v>971</v>
      </c>
      <c r="D53" s="11">
        <v>1768</v>
      </c>
      <c r="E53" s="11">
        <v>1722</v>
      </c>
      <c r="F53" s="11">
        <v>1759</v>
      </c>
      <c r="G53" s="11">
        <v>2484</v>
      </c>
      <c r="H53" s="11">
        <v>2806</v>
      </c>
      <c r="I53" s="11">
        <v>2045</v>
      </c>
    </row>
    <row r="54" spans="1:9" x14ac:dyDescent="0.25">
      <c r="A54" s="11" t="s">
        <v>53</v>
      </c>
      <c r="B54" s="10" t="s">
        <v>0</v>
      </c>
      <c r="C54" s="11">
        <v>109</v>
      </c>
      <c r="D54" s="11">
        <v>146</v>
      </c>
      <c r="E54" s="11">
        <v>204</v>
      </c>
      <c r="F54" s="11">
        <v>202</v>
      </c>
      <c r="G54" s="11">
        <v>287</v>
      </c>
      <c r="H54" s="11">
        <v>426</v>
      </c>
      <c r="I54" s="11">
        <v>371</v>
      </c>
    </row>
    <row r="55" spans="1:9" x14ac:dyDescent="0.25">
      <c r="A55" s="11" t="s">
        <v>54</v>
      </c>
      <c r="B55" s="10" t="s">
        <v>0</v>
      </c>
      <c r="C55" s="11">
        <v>1521</v>
      </c>
      <c r="D55" s="11">
        <v>3252</v>
      </c>
      <c r="E55" s="11">
        <v>3638</v>
      </c>
      <c r="F55" s="11">
        <v>3508</v>
      </c>
      <c r="G55" s="11">
        <v>4190</v>
      </c>
      <c r="H55" s="11">
        <v>5111</v>
      </c>
      <c r="I55" s="11">
        <v>4102</v>
      </c>
    </row>
    <row r="56" spans="1:9" x14ac:dyDescent="0.25">
      <c r="A56" s="11" t="s">
        <v>55</v>
      </c>
      <c r="B56" s="10" t="s">
        <v>0</v>
      </c>
      <c r="C56" s="11">
        <v>621</v>
      </c>
      <c r="D56" s="11">
        <v>696</v>
      </c>
      <c r="E56" s="11">
        <v>642</v>
      </c>
      <c r="F56" s="11">
        <v>586</v>
      </c>
      <c r="G56" s="11">
        <v>685</v>
      </c>
      <c r="H56" s="11">
        <v>860</v>
      </c>
      <c r="I56" s="11">
        <v>795</v>
      </c>
    </row>
    <row r="57" spans="1:9" x14ac:dyDescent="0.25">
      <c r="A57" s="11" t="s">
        <v>56</v>
      </c>
      <c r="B57" s="10" t="s">
        <v>0</v>
      </c>
      <c r="C57" s="11">
        <v>496</v>
      </c>
      <c r="D57" s="11">
        <v>1047</v>
      </c>
      <c r="E57" s="11">
        <v>1330</v>
      </c>
      <c r="F57" s="11">
        <v>1250</v>
      </c>
      <c r="G57" s="11">
        <v>1638</v>
      </c>
      <c r="H57" s="11">
        <v>2450</v>
      </c>
      <c r="I57" s="11">
        <v>2301</v>
      </c>
    </row>
    <row r="58" spans="1:9" x14ac:dyDescent="0.25">
      <c r="A58" s="11" t="s">
        <v>57</v>
      </c>
      <c r="B58" s="10" t="s">
        <v>0</v>
      </c>
      <c r="C58" s="11">
        <v>43</v>
      </c>
      <c r="D58" s="11">
        <v>81</v>
      </c>
      <c r="E58" s="11">
        <v>100</v>
      </c>
      <c r="F58" s="11">
        <v>100</v>
      </c>
      <c r="G58" s="11">
        <v>164</v>
      </c>
      <c r="H58" s="11">
        <v>305</v>
      </c>
      <c r="I58" s="11">
        <v>272</v>
      </c>
    </row>
    <row r="59" spans="1:9" x14ac:dyDescent="0.25">
      <c r="A59" s="11" t="s">
        <v>58</v>
      </c>
      <c r="B59" s="10" t="s">
        <v>0</v>
      </c>
      <c r="C59" s="11">
        <v>357</v>
      </c>
      <c r="D59" s="11">
        <v>722</v>
      </c>
      <c r="E59" s="11">
        <v>784</v>
      </c>
      <c r="F59" s="11">
        <v>751</v>
      </c>
      <c r="G59" s="11">
        <v>1049</v>
      </c>
      <c r="H59" s="11">
        <v>1376</v>
      </c>
      <c r="I59" s="11">
        <v>1227</v>
      </c>
    </row>
    <row r="60" spans="1:9" x14ac:dyDescent="0.25">
      <c r="A60" s="11" t="s">
        <v>59</v>
      </c>
      <c r="B60" s="10" t="s">
        <v>0</v>
      </c>
      <c r="C60" s="11">
        <v>393</v>
      </c>
      <c r="D60" s="11">
        <v>608</v>
      </c>
      <c r="E60" s="11">
        <v>621</v>
      </c>
      <c r="F60" s="11">
        <v>611</v>
      </c>
      <c r="G60" s="11">
        <v>736</v>
      </c>
      <c r="H60" s="11">
        <v>1035</v>
      </c>
      <c r="I60" s="11">
        <v>936</v>
      </c>
    </row>
    <row r="61" spans="1:9" x14ac:dyDescent="0.25">
      <c r="A61" s="11" t="s">
        <v>60</v>
      </c>
      <c r="B61" s="10" t="s">
        <v>0</v>
      </c>
      <c r="C61" s="11">
        <v>1476</v>
      </c>
      <c r="D61" s="11">
        <v>1388</v>
      </c>
      <c r="E61" s="11">
        <v>1017</v>
      </c>
      <c r="F61" s="11">
        <v>859</v>
      </c>
      <c r="G61" s="11">
        <v>886</v>
      </c>
      <c r="H61" s="11">
        <v>1081</v>
      </c>
      <c r="I61" s="11">
        <v>1077</v>
      </c>
    </row>
    <row r="62" spans="1:9" x14ac:dyDescent="0.25">
      <c r="A62" s="11" t="s">
        <v>61</v>
      </c>
      <c r="B62" s="10" t="s">
        <v>0</v>
      </c>
      <c r="C62" s="11">
        <v>498</v>
      </c>
      <c r="D62" s="11">
        <v>882</v>
      </c>
      <c r="E62" s="11">
        <v>1022</v>
      </c>
      <c r="F62" s="11">
        <v>949</v>
      </c>
      <c r="G62" s="11">
        <v>1198</v>
      </c>
      <c r="H62" s="11">
        <v>1947</v>
      </c>
      <c r="I62" s="11">
        <v>1563</v>
      </c>
    </row>
    <row r="63" spans="1:9" x14ac:dyDescent="0.25">
      <c r="A63" s="11" t="s">
        <v>62</v>
      </c>
      <c r="B63" s="10" t="s">
        <v>0</v>
      </c>
      <c r="C63" s="11">
        <v>380</v>
      </c>
      <c r="D63" s="11">
        <v>642</v>
      </c>
      <c r="E63" s="11">
        <v>770</v>
      </c>
      <c r="F63" s="11">
        <v>708</v>
      </c>
      <c r="G63" s="11">
        <v>1067</v>
      </c>
      <c r="H63" s="11">
        <v>1487</v>
      </c>
      <c r="I63" s="11">
        <v>1302</v>
      </c>
    </row>
    <row r="64" spans="1:9" x14ac:dyDescent="0.25">
      <c r="A64" s="11" t="s">
        <v>63</v>
      </c>
      <c r="B64" s="10" t="s">
        <v>0</v>
      </c>
      <c r="C64" s="11">
        <v>3110</v>
      </c>
      <c r="D64" s="11">
        <v>5917</v>
      </c>
      <c r="E64" s="11">
        <v>7092</v>
      </c>
      <c r="F64" s="11">
        <v>6600</v>
      </c>
      <c r="G64" s="11">
        <v>8595</v>
      </c>
      <c r="H64" s="11">
        <v>11496</v>
      </c>
      <c r="I64" s="11">
        <v>10060</v>
      </c>
    </row>
    <row r="65" spans="1:9" x14ac:dyDescent="0.25">
      <c r="A65" s="11" t="s">
        <v>64</v>
      </c>
      <c r="B65" s="10" t="s">
        <v>0</v>
      </c>
      <c r="C65" s="11">
        <v>493</v>
      </c>
      <c r="D65" s="11">
        <v>1008</v>
      </c>
      <c r="E65" s="11">
        <v>1182</v>
      </c>
      <c r="F65" s="11">
        <v>1084</v>
      </c>
      <c r="G65" s="11">
        <v>1435</v>
      </c>
      <c r="H65" s="11">
        <v>1908</v>
      </c>
      <c r="I65" s="11">
        <v>1566</v>
      </c>
    </row>
    <row r="66" spans="1:9" x14ac:dyDescent="0.25">
      <c r="A66" s="11" t="s">
        <v>65</v>
      </c>
      <c r="B66" s="10" t="s">
        <v>0</v>
      </c>
      <c r="C66" s="11">
        <v>5240</v>
      </c>
      <c r="D66" s="11">
        <v>10032</v>
      </c>
      <c r="E66" s="11">
        <v>11247</v>
      </c>
      <c r="F66" s="11">
        <v>10602</v>
      </c>
      <c r="G66" s="11">
        <v>13705</v>
      </c>
      <c r="H66" s="11">
        <v>18929</v>
      </c>
      <c r="I66" s="11">
        <v>17237</v>
      </c>
    </row>
    <row r="67" spans="1:9" x14ac:dyDescent="0.25">
      <c r="A67" s="11" t="s">
        <v>66</v>
      </c>
      <c r="B67" s="10" t="s">
        <v>0</v>
      </c>
      <c r="C67" s="11">
        <v>331</v>
      </c>
      <c r="D67" s="11">
        <v>611</v>
      </c>
      <c r="E67" s="11">
        <v>657</v>
      </c>
      <c r="F67" s="11">
        <v>611</v>
      </c>
      <c r="G67" s="11">
        <v>756</v>
      </c>
      <c r="H67" s="11">
        <v>973</v>
      </c>
      <c r="I67" s="11">
        <v>732</v>
      </c>
    </row>
    <row r="68" spans="1:9" ht="13.8" thickBot="1" x14ac:dyDescent="0.3">
      <c r="A68" s="13" t="s">
        <v>67</v>
      </c>
      <c r="B68" s="12" t="s">
        <v>0</v>
      </c>
      <c r="C68" s="11">
        <v>8091</v>
      </c>
      <c r="D68" s="11">
        <v>15182</v>
      </c>
      <c r="E68" s="11">
        <v>15808</v>
      </c>
      <c r="F68" s="11">
        <v>14159</v>
      </c>
      <c r="G68" s="11">
        <v>14446</v>
      </c>
      <c r="H68" s="11">
        <v>15521</v>
      </c>
      <c r="I68" s="11">
        <v>13085</v>
      </c>
    </row>
    <row r="69" spans="1:9" x14ac:dyDescent="0.25">
      <c r="A69" s="32" t="s">
        <v>68</v>
      </c>
      <c r="C69" s="14">
        <f>SUM(C2:C68)</f>
        <v>315683</v>
      </c>
      <c r="D69" s="14">
        <f>SUM(D2:D68)</f>
        <v>657993</v>
      </c>
      <c r="E69" s="14">
        <f t="shared" ref="E69:I69" si="0">SUM(E2:E68)</f>
        <v>646306</v>
      </c>
      <c r="F69" s="14">
        <f t="shared" si="0"/>
        <v>520339</v>
      </c>
      <c r="G69" s="14">
        <f t="shared" si="0"/>
        <v>567374</v>
      </c>
      <c r="H69" s="14">
        <f t="shared" si="0"/>
        <v>623871</v>
      </c>
      <c r="I69" s="14">
        <f t="shared" si="0"/>
        <v>505273</v>
      </c>
    </row>
    <row r="70" spans="1:9" x14ac:dyDescent="0.25">
      <c r="C70" s="17">
        <f>C69/$C$73</f>
        <v>8.2276842994975813E-2</v>
      </c>
      <c r="D70" s="17">
        <f t="shared" ref="D70:I70" si="1">D69/$C$73</f>
        <v>0.17149351328007248</v>
      </c>
      <c r="E70" s="17">
        <f t="shared" si="1"/>
        <v>0.16844751630183075</v>
      </c>
      <c r="F70" s="17">
        <f t="shared" si="1"/>
        <v>0.13561658438104909</v>
      </c>
      <c r="G70" s="17">
        <f t="shared" si="1"/>
        <v>0.14787537345194834</v>
      </c>
      <c r="H70" s="17">
        <f t="shared" si="1"/>
        <v>0.16260025505370437</v>
      </c>
      <c r="I70" s="17">
        <f t="shared" si="1"/>
        <v>0.13168991453641918</v>
      </c>
    </row>
    <row r="73" spans="1:9" x14ac:dyDescent="0.25">
      <c r="A73" s="32" t="s">
        <v>80</v>
      </c>
      <c r="C73" s="16">
        <f>SUM(C69:I69)</f>
        <v>3836839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7" sqref="L7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2806</v>
      </c>
      <c r="D2" s="52">
        <v>5226</v>
      </c>
      <c r="E2" s="52">
        <v>5998</v>
      </c>
      <c r="F2" s="52">
        <v>6011</v>
      </c>
      <c r="G2" s="52">
        <v>9142</v>
      </c>
      <c r="H2" s="52">
        <v>8509</v>
      </c>
      <c r="I2" s="52">
        <v>6285</v>
      </c>
      <c r="J2" s="10"/>
    </row>
    <row r="3" spans="1:10" x14ac:dyDescent="0.25">
      <c r="A3" s="11" t="s">
        <v>2</v>
      </c>
      <c r="B3" s="10" t="s">
        <v>70</v>
      </c>
      <c r="C3" s="52">
        <v>18959</v>
      </c>
      <c r="D3" s="52">
        <v>38809</v>
      </c>
      <c r="E3" s="52">
        <v>39181</v>
      </c>
      <c r="F3" s="52">
        <v>36713</v>
      </c>
      <c r="G3" s="52">
        <v>48133</v>
      </c>
      <c r="H3" s="52">
        <v>46639</v>
      </c>
      <c r="I3" s="52">
        <v>35262</v>
      </c>
    </row>
    <row r="4" spans="1:10" x14ac:dyDescent="0.25">
      <c r="A4" s="11" t="s">
        <v>3</v>
      </c>
      <c r="B4" s="10" t="s">
        <v>70</v>
      </c>
      <c r="C4" s="52">
        <v>1992</v>
      </c>
      <c r="D4" s="52">
        <v>3432</v>
      </c>
      <c r="E4" s="52">
        <v>3904</v>
      </c>
      <c r="F4" s="52">
        <v>4212</v>
      </c>
      <c r="G4" s="52">
        <v>5262</v>
      </c>
      <c r="H4" s="52">
        <v>5054</v>
      </c>
      <c r="I4" s="52">
        <v>3767</v>
      </c>
    </row>
    <row r="5" spans="1:10" x14ac:dyDescent="0.25">
      <c r="A5" s="11" t="s">
        <v>4</v>
      </c>
      <c r="B5" s="10" t="s">
        <v>70</v>
      </c>
      <c r="C5" s="52">
        <v>3465</v>
      </c>
      <c r="D5" s="52">
        <v>6736</v>
      </c>
      <c r="E5" s="52">
        <v>7901</v>
      </c>
      <c r="F5" s="52">
        <v>7712</v>
      </c>
      <c r="G5" s="52">
        <v>10053</v>
      </c>
      <c r="H5" s="52">
        <v>9419</v>
      </c>
      <c r="I5" s="52">
        <v>6641</v>
      </c>
    </row>
    <row r="6" spans="1:10" x14ac:dyDescent="0.25">
      <c r="A6" s="11" t="s">
        <v>5</v>
      </c>
      <c r="B6" s="10" t="s">
        <v>70</v>
      </c>
      <c r="C6" s="52">
        <v>1682</v>
      </c>
      <c r="D6" s="52">
        <v>3078</v>
      </c>
      <c r="E6" s="52">
        <v>3257</v>
      </c>
      <c r="F6" s="52">
        <v>3630</v>
      </c>
      <c r="G6" s="52">
        <v>4738</v>
      </c>
      <c r="H6" s="52">
        <v>4742</v>
      </c>
      <c r="I6" s="52">
        <v>3445</v>
      </c>
    </row>
    <row r="7" spans="1:10" x14ac:dyDescent="0.25">
      <c r="A7" s="11" t="s">
        <v>6</v>
      </c>
      <c r="B7" s="10" t="s">
        <v>70</v>
      </c>
      <c r="C7" s="52">
        <v>8141</v>
      </c>
      <c r="D7" s="52">
        <v>14642</v>
      </c>
      <c r="E7" s="52">
        <v>16824</v>
      </c>
      <c r="F7" s="52">
        <v>17502</v>
      </c>
      <c r="G7" s="52">
        <v>23949</v>
      </c>
      <c r="H7" s="52">
        <v>20746</v>
      </c>
      <c r="I7" s="52">
        <v>16336</v>
      </c>
    </row>
    <row r="8" spans="1:10" x14ac:dyDescent="0.25">
      <c r="A8" s="11" t="s">
        <v>7</v>
      </c>
      <c r="B8" s="10" t="s">
        <v>70</v>
      </c>
      <c r="C8" s="52">
        <v>3563</v>
      </c>
      <c r="D8" s="52">
        <v>5860</v>
      </c>
      <c r="E8" s="52">
        <v>6864</v>
      </c>
      <c r="F8" s="52">
        <v>7735</v>
      </c>
      <c r="G8" s="52">
        <v>9494</v>
      </c>
      <c r="H8" s="52">
        <v>9289</v>
      </c>
      <c r="I8" s="52">
        <v>7832</v>
      </c>
    </row>
    <row r="9" spans="1:10" x14ac:dyDescent="0.25">
      <c r="A9" s="11" t="s">
        <v>8</v>
      </c>
      <c r="B9" s="10" t="s">
        <v>70</v>
      </c>
      <c r="C9" s="52">
        <v>1858</v>
      </c>
      <c r="D9" s="52">
        <v>3152</v>
      </c>
      <c r="E9" s="52">
        <v>3623</v>
      </c>
      <c r="F9" s="52">
        <v>3661</v>
      </c>
      <c r="G9" s="52">
        <v>4968</v>
      </c>
      <c r="H9" s="52">
        <v>4616</v>
      </c>
      <c r="I9" s="52">
        <v>3764</v>
      </c>
    </row>
    <row r="10" spans="1:10" x14ac:dyDescent="0.25">
      <c r="A10" s="11" t="s">
        <v>9</v>
      </c>
      <c r="B10" s="10" t="s">
        <v>70</v>
      </c>
      <c r="C10" s="52">
        <v>14166</v>
      </c>
      <c r="D10" s="52">
        <v>24197</v>
      </c>
      <c r="E10" s="52">
        <v>26474</v>
      </c>
      <c r="F10" s="52">
        <v>28689</v>
      </c>
      <c r="G10" s="52">
        <v>42078</v>
      </c>
      <c r="H10" s="52">
        <v>37502</v>
      </c>
      <c r="I10" s="52">
        <v>29083</v>
      </c>
    </row>
    <row r="11" spans="1:10" x14ac:dyDescent="0.25">
      <c r="A11" s="11" t="s">
        <v>10</v>
      </c>
      <c r="B11" s="10" t="s">
        <v>70</v>
      </c>
      <c r="C11" s="52">
        <v>5917</v>
      </c>
      <c r="D11" s="52">
        <v>10832</v>
      </c>
      <c r="E11" s="52">
        <v>12152</v>
      </c>
      <c r="F11" s="52">
        <v>12321</v>
      </c>
      <c r="G11" s="52">
        <v>16348</v>
      </c>
      <c r="H11" s="52">
        <v>14577</v>
      </c>
      <c r="I11" s="52">
        <v>10628</v>
      </c>
    </row>
    <row r="12" spans="1:10" x14ac:dyDescent="0.25">
      <c r="A12" s="11" t="s">
        <v>11</v>
      </c>
      <c r="B12" s="10" t="s">
        <v>70</v>
      </c>
      <c r="C12" s="52">
        <v>3600</v>
      </c>
      <c r="D12" s="52">
        <v>5782</v>
      </c>
      <c r="E12" s="52">
        <v>6355</v>
      </c>
      <c r="F12" s="52">
        <v>7200</v>
      </c>
      <c r="G12" s="52">
        <v>8592</v>
      </c>
      <c r="H12" s="52">
        <v>8557</v>
      </c>
      <c r="I12" s="52">
        <v>6454</v>
      </c>
    </row>
    <row r="13" spans="1:10" x14ac:dyDescent="0.25">
      <c r="A13" s="11" t="s">
        <v>12</v>
      </c>
      <c r="B13" s="10" t="s">
        <v>70</v>
      </c>
      <c r="C13" s="52">
        <v>88</v>
      </c>
      <c r="D13" s="52">
        <v>161</v>
      </c>
      <c r="E13" s="52">
        <v>210</v>
      </c>
      <c r="F13" s="52">
        <v>235</v>
      </c>
      <c r="G13" s="52">
        <v>380</v>
      </c>
      <c r="H13" s="52">
        <v>415</v>
      </c>
      <c r="I13" s="52">
        <v>346</v>
      </c>
    </row>
    <row r="14" spans="1:10" x14ac:dyDescent="0.25">
      <c r="A14" s="11" t="s">
        <v>13</v>
      </c>
      <c r="B14" s="10" t="s">
        <v>70</v>
      </c>
      <c r="C14" s="52">
        <v>1533</v>
      </c>
      <c r="D14" s="52">
        <v>2837</v>
      </c>
      <c r="E14" s="52">
        <v>3313</v>
      </c>
      <c r="F14" s="52">
        <v>3645</v>
      </c>
      <c r="G14" s="52">
        <v>5007</v>
      </c>
      <c r="H14" s="52">
        <v>4451</v>
      </c>
      <c r="I14" s="52">
        <v>3050</v>
      </c>
    </row>
    <row r="15" spans="1:10" x14ac:dyDescent="0.25">
      <c r="A15" s="11" t="s">
        <v>14</v>
      </c>
      <c r="B15" s="10" t="s">
        <v>70</v>
      </c>
      <c r="C15" s="52">
        <v>5548</v>
      </c>
      <c r="D15" s="52">
        <v>5854</v>
      </c>
      <c r="E15" s="52">
        <v>5230</v>
      </c>
      <c r="F15" s="52">
        <v>5293</v>
      </c>
      <c r="G15" s="52">
        <v>7447</v>
      </c>
      <c r="H15" s="52">
        <v>6854</v>
      </c>
      <c r="I15" s="52">
        <v>5688</v>
      </c>
    </row>
    <row r="16" spans="1:10" x14ac:dyDescent="0.25">
      <c r="A16" s="11" t="s">
        <v>15</v>
      </c>
      <c r="B16" s="10" t="s">
        <v>70</v>
      </c>
      <c r="C16" s="52">
        <v>10969</v>
      </c>
      <c r="D16" s="52">
        <v>19000</v>
      </c>
      <c r="E16" s="52">
        <v>19581</v>
      </c>
      <c r="F16" s="52">
        <v>21819</v>
      </c>
      <c r="G16" s="52">
        <v>31307</v>
      </c>
      <c r="H16" s="52">
        <v>27202</v>
      </c>
      <c r="I16" s="52">
        <v>22282</v>
      </c>
    </row>
    <row r="17" spans="1:9" x14ac:dyDescent="0.25">
      <c r="A17" s="11" t="s">
        <v>16</v>
      </c>
      <c r="B17" s="10" t="s">
        <v>70</v>
      </c>
      <c r="C17" s="52">
        <v>1111</v>
      </c>
      <c r="D17" s="52">
        <v>1891</v>
      </c>
      <c r="E17" s="52">
        <v>2126</v>
      </c>
      <c r="F17" s="52">
        <v>2358</v>
      </c>
      <c r="G17" s="52">
        <v>3105</v>
      </c>
      <c r="H17" s="52">
        <v>2805</v>
      </c>
      <c r="I17" s="52">
        <v>2170</v>
      </c>
    </row>
    <row r="18" spans="1:9" x14ac:dyDescent="0.25">
      <c r="A18" s="11" t="s">
        <v>17</v>
      </c>
      <c r="B18" s="10" t="s">
        <v>70</v>
      </c>
      <c r="C18" s="52">
        <v>2047</v>
      </c>
      <c r="D18" s="52">
        <v>3902</v>
      </c>
      <c r="E18" s="52">
        <v>4381</v>
      </c>
      <c r="F18" s="52">
        <v>4934</v>
      </c>
      <c r="G18" s="52">
        <v>6298</v>
      </c>
      <c r="H18" s="52">
        <v>5726</v>
      </c>
      <c r="I18" s="52">
        <v>4145</v>
      </c>
    </row>
    <row r="19" spans="1:9" x14ac:dyDescent="0.25">
      <c r="A19" s="11" t="s">
        <v>18</v>
      </c>
      <c r="B19" s="10" t="s">
        <v>70</v>
      </c>
      <c r="C19" s="52">
        <v>986</v>
      </c>
      <c r="D19" s="52">
        <v>1737</v>
      </c>
      <c r="E19" s="52">
        <v>1851</v>
      </c>
      <c r="F19" s="52">
        <v>2094</v>
      </c>
      <c r="G19" s="52">
        <v>2529</v>
      </c>
      <c r="H19" s="52">
        <v>2331</v>
      </c>
      <c r="I19" s="52">
        <v>1774</v>
      </c>
    </row>
    <row r="20" spans="1:9" x14ac:dyDescent="0.25">
      <c r="A20" s="11" t="s">
        <v>19</v>
      </c>
      <c r="B20" s="10" t="s">
        <v>70</v>
      </c>
      <c r="C20" s="52">
        <v>1716</v>
      </c>
      <c r="D20" s="52">
        <v>2854</v>
      </c>
      <c r="E20" s="52">
        <v>3019</v>
      </c>
      <c r="F20" s="52">
        <v>3350</v>
      </c>
      <c r="G20" s="52">
        <v>4263</v>
      </c>
      <c r="H20" s="52">
        <v>4072</v>
      </c>
      <c r="I20" s="52">
        <v>3153</v>
      </c>
    </row>
    <row r="21" spans="1:9" x14ac:dyDescent="0.25">
      <c r="A21" s="11" t="s">
        <v>20</v>
      </c>
      <c r="B21" s="10" t="s">
        <v>70</v>
      </c>
      <c r="C21" s="52">
        <v>2163</v>
      </c>
      <c r="D21" s="52">
        <v>3795</v>
      </c>
      <c r="E21" s="52">
        <v>4326</v>
      </c>
      <c r="F21" s="52">
        <v>4630</v>
      </c>
      <c r="G21" s="52">
        <v>6202</v>
      </c>
      <c r="H21" s="52">
        <v>5954</v>
      </c>
      <c r="I21" s="52">
        <v>4789</v>
      </c>
    </row>
    <row r="22" spans="1:9" x14ac:dyDescent="0.25">
      <c r="A22" s="11" t="s">
        <v>21</v>
      </c>
      <c r="B22" s="10" t="s">
        <v>70</v>
      </c>
      <c r="C22" s="52">
        <v>5834</v>
      </c>
      <c r="D22" s="52">
        <v>10920</v>
      </c>
      <c r="E22" s="52">
        <v>12422</v>
      </c>
      <c r="F22" s="52">
        <v>12866</v>
      </c>
      <c r="G22" s="52">
        <v>16839</v>
      </c>
      <c r="H22" s="52">
        <v>15694</v>
      </c>
      <c r="I22" s="52">
        <v>13760</v>
      </c>
    </row>
    <row r="23" spans="1:9" x14ac:dyDescent="0.25">
      <c r="A23" s="11" t="s">
        <v>22</v>
      </c>
      <c r="B23" s="10" t="s">
        <v>70</v>
      </c>
      <c r="C23" s="52">
        <v>4879</v>
      </c>
      <c r="D23" s="52">
        <v>9810</v>
      </c>
      <c r="E23" s="52">
        <v>10879</v>
      </c>
      <c r="F23" s="52">
        <v>11035</v>
      </c>
      <c r="G23" s="52">
        <v>14836</v>
      </c>
      <c r="H23" s="52">
        <v>13965</v>
      </c>
      <c r="I23" s="52">
        <v>10732</v>
      </c>
    </row>
    <row r="24" spans="1:9" x14ac:dyDescent="0.25">
      <c r="A24" s="11" t="s">
        <v>23</v>
      </c>
      <c r="B24" s="10" t="s">
        <v>70</v>
      </c>
      <c r="C24" s="52">
        <v>9629</v>
      </c>
      <c r="D24" s="52">
        <v>17671</v>
      </c>
      <c r="E24" s="52">
        <v>19767</v>
      </c>
      <c r="F24" s="52">
        <v>19697</v>
      </c>
      <c r="G24" s="52">
        <v>28151</v>
      </c>
      <c r="H24" s="52">
        <v>27038</v>
      </c>
      <c r="I24" s="52">
        <v>21204</v>
      </c>
    </row>
    <row r="25" spans="1:9" x14ac:dyDescent="0.25">
      <c r="A25" s="11" t="s">
        <v>24</v>
      </c>
      <c r="B25" s="10" t="s">
        <v>70</v>
      </c>
      <c r="C25" s="52">
        <v>841</v>
      </c>
      <c r="D25" s="52">
        <v>1487</v>
      </c>
      <c r="E25" s="52">
        <v>1645</v>
      </c>
      <c r="F25" s="52">
        <v>1748</v>
      </c>
      <c r="G25" s="52">
        <v>2524</v>
      </c>
      <c r="H25" s="52">
        <v>2295</v>
      </c>
      <c r="I25" s="52">
        <v>1595</v>
      </c>
    </row>
    <row r="26" spans="1:9" x14ac:dyDescent="0.25">
      <c r="A26" s="11" t="s">
        <v>25</v>
      </c>
      <c r="B26" s="10" t="s">
        <v>70</v>
      </c>
      <c r="C26" s="52">
        <v>5461</v>
      </c>
      <c r="D26" s="52">
        <v>9436</v>
      </c>
      <c r="E26" s="52">
        <v>10272</v>
      </c>
      <c r="F26" s="52">
        <v>10800</v>
      </c>
      <c r="G26" s="52">
        <v>13814</v>
      </c>
      <c r="H26" s="52">
        <v>12100</v>
      </c>
      <c r="I26" s="52">
        <v>9088</v>
      </c>
    </row>
    <row r="27" spans="1:9" x14ac:dyDescent="0.25">
      <c r="A27" s="11" t="s">
        <v>26</v>
      </c>
      <c r="B27" s="10" t="s">
        <v>70</v>
      </c>
      <c r="C27" s="52">
        <v>2833</v>
      </c>
      <c r="D27" s="52">
        <v>5852</v>
      </c>
      <c r="E27" s="52">
        <v>6203</v>
      </c>
      <c r="F27" s="52">
        <v>6769</v>
      </c>
      <c r="G27" s="52">
        <v>7931</v>
      </c>
      <c r="H27" s="52">
        <v>6916</v>
      </c>
      <c r="I27" s="52">
        <v>4794</v>
      </c>
    </row>
    <row r="28" spans="1:9" x14ac:dyDescent="0.25">
      <c r="A28" s="11" t="s">
        <v>27</v>
      </c>
      <c r="B28" s="10" t="s">
        <v>70</v>
      </c>
      <c r="C28" s="52">
        <v>103</v>
      </c>
      <c r="D28" s="52">
        <v>141</v>
      </c>
      <c r="E28" s="52">
        <v>195</v>
      </c>
      <c r="F28" s="52">
        <v>277</v>
      </c>
      <c r="G28" s="52">
        <v>437</v>
      </c>
      <c r="H28" s="52">
        <v>500</v>
      </c>
      <c r="I28" s="52">
        <v>387</v>
      </c>
    </row>
    <row r="29" spans="1:9" x14ac:dyDescent="0.25">
      <c r="A29" s="11" t="s">
        <v>28</v>
      </c>
      <c r="B29" s="10" t="s">
        <v>70</v>
      </c>
      <c r="C29" s="52">
        <v>4273</v>
      </c>
      <c r="D29" s="52">
        <v>8096</v>
      </c>
      <c r="E29" s="52">
        <v>9079</v>
      </c>
      <c r="F29" s="52">
        <v>9843</v>
      </c>
      <c r="G29" s="52">
        <v>12482</v>
      </c>
      <c r="H29" s="52">
        <v>11167</v>
      </c>
      <c r="I29" s="52">
        <v>9461</v>
      </c>
    </row>
    <row r="30" spans="1:9" x14ac:dyDescent="0.25">
      <c r="A30" s="11" t="s">
        <v>29</v>
      </c>
      <c r="B30" s="10" t="s">
        <v>70</v>
      </c>
      <c r="C30" s="52">
        <v>536</v>
      </c>
      <c r="D30" s="52">
        <v>997</v>
      </c>
      <c r="E30" s="52">
        <v>1003</v>
      </c>
      <c r="F30" s="52">
        <v>1166</v>
      </c>
      <c r="G30" s="52">
        <v>1474</v>
      </c>
      <c r="H30" s="52">
        <v>1330</v>
      </c>
      <c r="I30" s="52">
        <v>992</v>
      </c>
    </row>
    <row r="31" spans="1:9" x14ac:dyDescent="0.25">
      <c r="A31" s="11" t="s">
        <v>30</v>
      </c>
      <c r="B31" s="10" t="s">
        <v>70</v>
      </c>
      <c r="C31" s="52">
        <v>996</v>
      </c>
      <c r="D31" s="52">
        <v>1762</v>
      </c>
      <c r="E31" s="52">
        <v>1776</v>
      </c>
      <c r="F31" s="52">
        <v>2064</v>
      </c>
      <c r="G31" s="52">
        <v>2240</v>
      </c>
      <c r="H31" s="52">
        <v>1949</v>
      </c>
      <c r="I31" s="52">
        <v>1358</v>
      </c>
    </row>
    <row r="32" spans="1:9" x14ac:dyDescent="0.25">
      <c r="A32" s="11" t="s">
        <v>31</v>
      </c>
      <c r="B32" s="10" t="s">
        <v>70</v>
      </c>
      <c r="C32" s="52">
        <v>1380</v>
      </c>
      <c r="D32" s="52">
        <v>2295</v>
      </c>
      <c r="E32" s="52">
        <v>2476</v>
      </c>
      <c r="F32" s="52">
        <v>2784</v>
      </c>
      <c r="G32" s="52">
        <v>3689</v>
      </c>
      <c r="H32" s="52">
        <v>3491</v>
      </c>
      <c r="I32" s="52">
        <v>2783</v>
      </c>
    </row>
    <row r="33" spans="1:9" x14ac:dyDescent="0.25">
      <c r="A33" s="11" t="s">
        <v>32</v>
      </c>
      <c r="B33" s="10" t="s">
        <v>70</v>
      </c>
      <c r="C33" s="52">
        <v>2455</v>
      </c>
      <c r="D33" s="52">
        <v>3562</v>
      </c>
      <c r="E33" s="52">
        <v>3971</v>
      </c>
      <c r="F33" s="52">
        <v>4416</v>
      </c>
      <c r="G33" s="52">
        <v>5386</v>
      </c>
      <c r="H33" s="52">
        <v>5211</v>
      </c>
      <c r="I33" s="52">
        <v>3899</v>
      </c>
    </row>
    <row r="34" spans="1:9" x14ac:dyDescent="0.25">
      <c r="A34" s="11" t="s">
        <v>33</v>
      </c>
      <c r="B34" s="10" t="s">
        <v>70</v>
      </c>
      <c r="C34" s="52">
        <v>1364</v>
      </c>
      <c r="D34" s="52">
        <v>2359</v>
      </c>
      <c r="E34" s="52">
        <v>2836</v>
      </c>
      <c r="F34" s="52">
        <v>2855</v>
      </c>
      <c r="G34" s="52">
        <v>3697</v>
      </c>
      <c r="H34" s="52">
        <v>3628</v>
      </c>
      <c r="I34" s="52">
        <v>2718</v>
      </c>
    </row>
    <row r="35" spans="1:9" x14ac:dyDescent="0.25">
      <c r="A35" s="11" t="s">
        <v>34</v>
      </c>
      <c r="B35" s="10" t="s">
        <v>70</v>
      </c>
      <c r="C35" s="52">
        <v>680</v>
      </c>
      <c r="D35" s="52">
        <v>1260</v>
      </c>
      <c r="E35" s="52">
        <v>1378</v>
      </c>
      <c r="F35" s="52">
        <v>1503</v>
      </c>
      <c r="G35" s="52">
        <v>1970</v>
      </c>
      <c r="H35" s="52">
        <v>1797</v>
      </c>
      <c r="I35" s="52">
        <v>1433</v>
      </c>
    </row>
    <row r="36" spans="1:9" x14ac:dyDescent="0.25">
      <c r="A36" s="11" t="s">
        <v>35</v>
      </c>
      <c r="B36" s="10" t="s">
        <v>70</v>
      </c>
      <c r="C36" s="52">
        <v>4257</v>
      </c>
      <c r="D36" s="52">
        <v>7261</v>
      </c>
      <c r="E36" s="52">
        <v>7835</v>
      </c>
      <c r="F36" s="52">
        <v>8222</v>
      </c>
      <c r="G36" s="52">
        <v>9994</v>
      </c>
      <c r="H36" s="52">
        <v>8291</v>
      </c>
      <c r="I36" s="52">
        <v>6446</v>
      </c>
    </row>
    <row r="37" spans="1:9" x14ac:dyDescent="0.25">
      <c r="A37" s="11" t="s">
        <v>36</v>
      </c>
      <c r="B37" s="10" t="s">
        <v>70</v>
      </c>
      <c r="C37" s="52">
        <v>13133</v>
      </c>
      <c r="D37" s="52">
        <v>24471</v>
      </c>
      <c r="E37" s="52">
        <v>26213</v>
      </c>
      <c r="F37" s="52">
        <v>25310</v>
      </c>
      <c r="G37" s="52">
        <v>32922</v>
      </c>
      <c r="H37" s="52">
        <v>32732</v>
      </c>
      <c r="I37" s="52">
        <v>29123</v>
      </c>
    </row>
    <row r="38" spans="1:9" x14ac:dyDescent="0.25">
      <c r="A38" s="11" t="s">
        <v>37</v>
      </c>
      <c r="B38" s="10" t="s">
        <v>70</v>
      </c>
      <c r="C38" s="52">
        <v>2391</v>
      </c>
      <c r="D38" s="52">
        <v>3838</v>
      </c>
      <c r="E38" s="52">
        <v>4264</v>
      </c>
      <c r="F38" s="52">
        <v>4598</v>
      </c>
      <c r="G38" s="52">
        <v>5545</v>
      </c>
      <c r="H38" s="52">
        <v>5362</v>
      </c>
      <c r="I38" s="52">
        <v>4149</v>
      </c>
    </row>
    <row r="39" spans="1:9" x14ac:dyDescent="0.25">
      <c r="A39" s="11" t="s">
        <v>38</v>
      </c>
      <c r="B39" s="10" t="s">
        <v>70</v>
      </c>
      <c r="C39" s="52">
        <v>3442</v>
      </c>
      <c r="D39" s="52">
        <v>6200</v>
      </c>
      <c r="E39" s="52">
        <v>7130</v>
      </c>
      <c r="F39" s="52">
        <v>7789</v>
      </c>
      <c r="G39" s="52">
        <v>9871</v>
      </c>
      <c r="H39" s="52">
        <v>9746</v>
      </c>
      <c r="I39" s="52">
        <v>8461</v>
      </c>
    </row>
    <row r="40" spans="1:9" x14ac:dyDescent="0.25">
      <c r="A40" s="11" t="s">
        <v>39</v>
      </c>
      <c r="B40" s="10" t="s">
        <v>70</v>
      </c>
      <c r="C40" s="52">
        <v>5982</v>
      </c>
      <c r="D40" s="52">
        <v>11556</v>
      </c>
      <c r="E40" s="52">
        <v>12623</v>
      </c>
      <c r="F40" s="52">
        <v>13225</v>
      </c>
      <c r="G40" s="52">
        <v>17419</v>
      </c>
      <c r="H40" s="52">
        <v>16013</v>
      </c>
      <c r="I40" s="52">
        <v>12886</v>
      </c>
    </row>
    <row r="41" spans="1:9" x14ac:dyDescent="0.25">
      <c r="A41" s="11" t="s">
        <v>40</v>
      </c>
      <c r="B41" s="10" t="s">
        <v>70</v>
      </c>
      <c r="C41" s="52">
        <v>5972</v>
      </c>
      <c r="D41" s="52">
        <v>11291</v>
      </c>
      <c r="E41" s="52">
        <v>13157</v>
      </c>
      <c r="F41" s="52">
        <v>13951</v>
      </c>
      <c r="G41" s="52">
        <v>18420</v>
      </c>
      <c r="H41" s="52">
        <v>15648</v>
      </c>
      <c r="I41" s="52">
        <v>12774</v>
      </c>
    </row>
    <row r="42" spans="1:9" x14ac:dyDescent="0.25">
      <c r="A42" s="11" t="s">
        <v>41</v>
      </c>
      <c r="B42" s="10" t="s">
        <v>70</v>
      </c>
      <c r="C42" s="52">
        <v>2890</v>
      </c>
      <c r="D42" s="52">
        <v>4942</v>
      </c>
      <c r="E42" s="52">
        <v>6317</v>
      </c>
      <c r="F42" s="52">
        <v>6367</v>
      </c>
      <c r="G42" s="52">
        <v>8247</v>
      </c>
      <c r="H42" s="52">
        <v>8481</v>
      </c>
      <c r="I42" s="52">
        <v>6617</v>
      </c>
    </row>
    <row r="43" spans="1:9" x14ac:dyDescent="0.25">
      <c r="A43" s="11" t="s">
        <v>42</v>
      </c>
      <c r="B43" s="10" t="s">
        <v>70</v>
      </c>
      <c r="C43" s="52">
        <v>1051</v>
      </c>
      <c r="D43" s="52">
        <v>1850</v>
      </c>
      <c r="E43" s="52">
        <v>2194</v>
      </c>
      <c r="F43" s="52">
        <v>2428</v>
      </c>
      <c r="G43" s="52">
        <v>3202</v>
      </c>
      <c r="H43" s="52">
        <v>3095</v>
      </c>
      <c r="I43" s="52">
        <v>2345</v>
      </c>
    </row>
    <row r="44" spans="1:9" x14ac:dyDescent="0.25">
      <c r="A44" s="11" t="s">
        <v>43</v>
      </c>
      <c r="B44" s="10" t="s">
        <v>70</v>
      </c>
      <c r="C44" s="52">
        <v>2976</v>
      </c>
      <c r="D44" s="52">
        <v>4985</v>
      </c>
      <c r="E44" s="52">
        <v>4995</v>
      </c>
      <c r="F44" s="52">
        <v>5507</v>
      </c>
      <c r="G44" s="52">
        <v>7200</v>
      </c>
      <c r="H44" s="52">
        <v>6981</v>
      </c>
      <c r="I44" s="52">
        <v>5656</v>
      </c>
    </row>
    <row r="45" spans="1:9" x14ac:dyDescent="0.25">
      <c r="A45" s="11" t="s">
        <v>44</v>
      </c>
      <c r="B45" s="10" t="s">
        <v>70</v>
      </c>
      <c r="C45" s="52">
        <v>1145</v>
      </c>
      <c r="D45" s="52">
        <v>2340</v>
      </c>
      <c r="E45" s="52">
        <v>2485</v>
      </c>
      <c r="F45" s="52">
        <v>2688</v>
      </c>
      <c r="G45" s="52">
        <v>3728</v>
      </c>
      <c r="H45" s="52">
        <v>3386</v>
      </c>
      <c r="I45" s="52">
        <v>2856</v>
      </c>
    </row>
    <row r="46" spans="1:9" x14ac:dyDescent="0.25">
      <c r="A46" s="11" t="s">
        <v>45</v>
      </c>
      <c r="B46" s="10" t="s">
        <v>70</v>
      </c>
      <c r="C46" s="52">
        <v>2569</v>
      </c>
      <c r="D46" s="52">
        <v>5181</v>
      </c>
      <c r="E46" s="52">
        <v>6130</v>
      </c>
      <c r="F46" s="52">
        <v>6470</v>
      </c>
      <c r="G46" s="52">
        <v>9387</v>
      </c>
      <c r="H46" s="52">
        <v>8319</v>
      </c>
      <c r="I46" s="52">
        <v>5172</v>
      </c>
    </row>
    <row r="47" spans="1:9" x14ac:dyDescent="0.25">
      <c r="A47" s="11" t="s">
        <v>46</v>
      </c>
      <c r="B47" s="10" t="s">
        <v>70</v>
      </c>
      <c r="C47" s="52">
        <v>14264</v>
      </c>
      <c r="D47" s="52">
        <v>26031</v>
      </c>
      <c r="E47" s="52">
        <v>28126</v>
      </c>
      <c r="F47" s="52">
        <v>29251</v>
      </c>
      <c r="G47" s="52">
        <v>41321</v>
      </c>
      <c r="H47" s="52">
        <v>37607</v>
      </c>
      <c r="I47" s="52">
        <v>31411</v>
      </c>
    </row>
    <row r="48" spans="1:9" x14ac:dyDescent="0.25">
      <c r="A48" s="11" t="s">
        <v>47</v>
      </c>
      <c r="B48" s="10" t="s">
        <v>70</v>
      </c>
      <c r="C48" s="52">
        <v>414</v>
      </c>
      <c r="D48" s="52">
        <v>802</v>
      </c>
      <c r="E48" s="52">
        <v>935</v>
      </c>
      <c r="F48" s="52">
        <v>879</v>
      </c>
      <c r="G48" s="52">
        <v>1223</v>
      </c>
      <c r="H48" s="52">
        <v>1234</v>
      </c>
      <c r="I48" s="52">
        <v>1058</v>
      </c>
    </row>
    <row r="49" spans="1:9" x14ac:dyDescent="0.25">
      <c r="A49" s="11" t="s">
        <v>48</v>
      </c>
      <c r="B49" s="10" t="s">
        <v>70</v>
      </c>
      <c r="C49" s="52">
        <v>6216</v>
      </c>
      <c r="D49" s="52">
        <v>11278</v>
      </c>
      <c r="E49" s="52">
        <v>11820</v>
      </c>
      <c r="F49" s="52">
        <v>12522</v>
      </c>
      <c r="G49" s="52">
        <v>17495</v>
      </c>
      <c r="H49" s="52">
        <v>15418</v>
      </c>
      <c r="I49" s="52">
        <v>12202</v>
      </c>
    </row>
    <row r="50" spans="1:9" x14ac:dyDescent="0.25">
      <c r="A50" s="11" t="s">
        <v>49</v>
      </c>
      <c r="B50" s="10" t="s">
        <v>70</v>
      </c>
      <c r="C50" s="52">
        <v>2011</v>
      </c>
      <c r="D50" s="52">
        <v>3656</v>
      </c>
      <c r="E50" s="52">
        <v>4607</v>
      </c>
      <c r="F50" s="52">
        <v>4808</v>
      </c>
      <c r="G50" s="52">
        <v>6206</v>
      </c>
      <c r="H50" s="52">
        <v>5963</v>
      </c>
      <c r="I50" s="52">
        <v>4668</v>
      </c>
    </row>
    <row r="51" spans="1:9" x14ac:dyDescent="0.25">
      <c r="A51" s="11" t="s">
        <v>50</v>
      </c>
      <c r="B51" s="10" t="s">
        <v>70</v>
      </c>
      <c r="C51" s="52">
        <v>1424</v>
      </c>
      <c r="D51" s="52">
        <v>2634</v>
      </c>
      <c r="E51" s="52">
        <v>3048</v>
      </c>
      <c r="F51" s="52">
        <v>3239</v>
      </c>
      <c r="G51" s="52">
        <v>4264</v>
      </c>
      <c r="H51" s="52">
        <v>3793</v>
      </c>
      <c r="I51" s="52">
        <v>2573</v>
      </c>
    </row>
    <row r="52" spans="1:9" x14ac:dyDescent="0.25">
      <c r="A52" s="11" t="s">
        <v>51</v>
      </c>
      <c r="B52" s="10" t="s">
        <v>70</v>
      </c>
      <c r="C52" s="52">
        <v>9984</v>
      </c>
      <c r="D52" s="52">
        <v>25911</v>
      </c>
      <c r="E52" s="52">
        <v>23668</v>
      </c>
      <c r="F52" s="52">
        <v>18669</v>
      </c>
      <c r="G52" s="52">
        <v>20743</v>
      </c>
      <c r="H52" s="52">
        <v>18095</v>
      </c>
      <c r="I52" s="52">
        <v>14353</v>
      </c>
    </row>
    <row r="53" spans="1:9" x14ac:dyDescent="0.25">
      <c r="A53" s="11" t="s">
        <v>52</v>
      </c>
      <c r="B53" s="10" t="s">
        <v>70</v>
      </c>
      <c r="C53" s="52">
        <v>1249</v>
      </c>
      <c r="D53" s="52">
        <v>2410</v>
      </c>
      <c r="E53" s="52">
        <v>2971</v>
      </c>
      <c r="F53" s="52">
        <v>3249</v>
      </c>
      <c r="G53" s="52">
        <v>5214</v>
      </c>
      <c r="H53" s="52">
        <v>4663</v>
      </c>
      <c r="I53" s="52">
        <v>3221</v>
      </c>
    </row>
    <row r="54" spans="1:9" x14ac:dyDescent="0.25">
      <c r="A54" s="11" t="s">
        <v>53</v>
      </c>
      <c r="B54" s="10" t="s">
        <v>70</v>
      </c>
      <c r="C54" s="52">
        <v>508</v>
      </c>
      <c r="D54" s="52">
        <v>920</v>
      </c>
      <c r="E54" s="52">
        <v>1042</v>
      </c>
      <c r="F54" s="52">
        <v>1084</v>
      </c>
      <c r="G54" s="52">
        <v>1558</v>
      </c>
      <c r="H54" s="52">
        <v>1618</v>
      </c>
      <c r="I54" s="52">
        <v>1293</v>
      </c>
    </row>
    <row r="55" spans="1:9" x14ac:dyDescent="0.25">
      <c r="A55" s="11" t="s">
        <v>54</v>
      </c>
      <c r="B55" s="10" t="s">
        <v>70</v>
      </c>
      <c r="C55" s="52">
        <v>3697</v>
      </c>
      <c r="D55" s="52">
        <v>6273</v>
      </c>
      <c r="E55" s="52">
        <v>7358</v>
      </c>
      <c r="F55" s="52">
        <v>8371</v>
      </c>
      <c r="G55" s="52">
        <v>10543</v>
      </c>
      <c r="H55" s="52">
        <v>9608</v>
      </c>
      <c r="I55" s="52">
        <v>7272</v>
      </c>
    </row>
    <row r="56" spans="1:9" x14ac:dyDescent="0.25">
      <c r="A56" s="11" t="s">
        <v>55</v>
      </c>
      <c r="B56" s="10" t="s">
        <v>70</v>
      </c>
      <c r="C56" s="52">
        <v>1243</v>
      </c>
      <c r="D56" s="52">
        <v>1862</v>
      </c>
      <c r="E56" s="52">
        <v>2252</v>
      </c>
      <c r="F56" s="52">
        <v>2368</v>
      </c>
      <c r="G56" s="52">
        <v>3043</v>
      </c>
      <c r="H56" s="52">
        <v>2822</v>
      </c>
      <c r="I56" s="52">
        <v>2371</v>
      </c>
    </row>
    <row r="57" spans="1:9" x14ac:dyDescent="0.25">
      <c r="A57" s="11" t="s">
        <v>56</v>
      </c>
      <c r="B57" s="10" t="s">
        <v>70</v>
      </c>
      <c r="C57" s="52">
        <v>2298</v>
      </c>
      <c r="D57" s="52">
        <v>3935</v>
      </c>
      <c r="E57" s="52">
        <v>4375</v>
      </c>
      <c r="F57" s="52">
        <v>4908</v>
      </c>
      <c r="G57" s="52">
        <v>6273</v>
      </c>
      <c r="H57" s="52">
        <v>6314</v>
      </c>
      <c r="I57" s="52">
        <v>4735</v>
      </c>
    </row>
    <row r="58" spans="1:9" x14ac:dyDescent="0.25">
      <c r="A58" s="11" t="s">
        <v>57</v>
      </c>
      <c r="B58" s="10" t="s">
        <v>70</v>
      </c>
      <c r="C58" s="52">
        <v>158</v>
      </c>
      <c r="D58" s="52">
        <v>270</v>
      </c>
      <c r="E58" s="52">
        <v>356</v>
      </c>
      <c r="F58" s="52">
        <v>377</v>
      </c>
      <c r="G58" s="52">
        <v>566</v>
      </c>
      <c r="H58" s="52">
        <v>661</v>
      </c>
      <c r="I58" s="52">
        <v>468</v>
      </c>
    </row>
    <row r="59" spans="1:9" x14ac:dyDescent="0.25">
      <c r="A59" s="11" t="s">
        <v>58</v>
      </c>
      <c r="B59" s="10" t="s">
        <v>70</v>
      </c>
      <c r="C59" s="52">
        <v>1154</v>
      </c>
      <c r="D59" s="52">
        <v>2170</v>
      </c>
      <c r="E59" s="52">
        <v>2401</v>
      </c>
      <c r="F59" s="52">
        <v>2393</v>
      </c>
      <c r="G59" s="52">
        <v>3473</v>
      </c>
      <c r="H59" s="52">
        <v>3356</v>
      </c>
      <c r="I59" s="52">
        <v>2626</v>
      </c>
    </row>
    <row r="60" spans="1:9" x14ac:dyDescent="0.25">
      <c r="A60" s="11" t="s">
        <v>59</v>
      </c>
      <c r="B60" s="10" t="s">
        <v>70</v>
      </c>
      <c r="C60" s="52">
        <v>1105</v>
      </c>
      <c r="D60" s="52">
        <v>1981</v>
      </c>
      <c r="E60" s="52">
        <v>2460</v>
      </c>
      <c r="F60" s="52">
        <v>2553</v>
      </c>
      <c r="G60" s="52">
        <v>3482</v>
      </c>
      <c r="H60" s="52">
        <v>3597</v>
      </c>
      <c r="I60" s="52">
        <v>2935</v>
      </c>
    </row>
    <row r="61" spans="1:9" x14ac:dyDescent="0.25">
      <c r="A61" s="11" t="s">
        <v>60</v>
      </c>
      <c r="B61" s="10" t="s">
        <v>70</v>
      </c>
      <c r="C61" s="52">
        <v>1364</v>
      </c>
      <c r="D61" s="52">
        <v>1756</v>
      </c>
      <c r="E61" s="52">
        <v>1906</v>
      </c>
      <c r="F61" s="52">
        <v>1975</v>
      </c>
      <c r="G61" s="52">
        <v>2637</v>
      </c>
      <c r="H61" s="52">
        <v>2416</v>
      </c>
      <c r="I61" s="52">
        <v>2352</v>
      </c>
    </row>
    <row r="62" spans="1:9" x14ac:dyDescent="0.25">
      <c r="A62" s="11" t="s">
        <v>61</v>
      </c>
      <c r="B62" s="10" t="s">
        <v>70</v>
      </c>
      <c r="C62" s="52">
        <v>1251</v>
      </c>
      <c r="D62" s="52">
        <v>2233</v>
      </c>
      <c r="E62" s="52">
        <v>2715</v>
      </c>
      <c r="F62" s="52">
        <v>3038</v>
      </c>
      <c r="G62" s="52">
        <v>3895</v>
      </c>
      <c r="H62" s="52">
        <v>4034</v>
      </c>
      <c r="I62" s="52">
        <v>3011</v>
      </c>
    </row>
    <row r="63" spans="1:9" x14ac:dyDescent="0.25">
      <c r="A63" s="11" t="s">
        <v>62</v>
      </c>
      <c r="B63" s="10" t="s">
        <v>70</v>
      </c>
      <c r="C63" s="52">
        <v>996</v>
      </c>
      <c r="D63" s="52">
        <v>1729</v>
      </c>
      <c r="E63" s="52">
        <v>2070</v>
      </c>
      <c r="F63" s="52">
        <v>2175</v>
      </c>
      <c r="G63" s="52">
        <v>3085</v>
      </c>
      <c r="H63" s="52">
        <v>3029</v>
      </c>
      <c r="I63" s="52">
        <v>2185</v>
      </c>
    </row>
    <row r="64" spans="1:9" x14ac:dyDescent="0.25">
      <c r="A64" s="11" t="s">
        <v>63</v>
      </c>
      <c r="B64" s="10" t="s">
        <v>70</v>
      </c>
      <c r="C64" s="52">
        <v>5379</v>
      </c>
      <c r="D64" s="52">
        <v>9736</v>
      </c>
      <c r="E64" s="52">
        <v>11151</v>
      </c>
      <c r="F64" s="52">
        <v>11562</v>
      </c>
      <c r="G64" s="52">
        <v>13896</v>
      </c>
      <c r="H64" s="52">
        <v>12526</v>
      </c>
      <c r="I64" s="52">
        <v>8748</v>
      </c>
    </row>
    <row r="65" spans="1:9" x14ac:dyDescent="0.25">
      <c r="A65" s="11" t="s">
        <v>64</v>
      </c>
      <c r="B65" s="10" t="s">
        <v>70</v>
      </c>
      <c r="C65" s="52">
        <v>1302</v>
      </c>
      <c r="D65" s="52">
        <v>2488</v>
      </c>
      <c r="E65" s="52">
        <v>2771</v>
      </c>
      <c r="F65" s="52">
        <v>2895</v>
      </c>
      <c r="G65" s="52">
        <v>4524</v>
      </c>
      <c r="H65" s="52">
        <v>4396</v>
      </c>
      <c r="I65" s="52">
        <v>3337</v>
      </c>
    </row>
    <row r="66" spans="1:9" x14ac:dyDescent="0.25">
      <c r="A66" s="11" t="s">
        <v>65</v>
      </c>
      <c r="B66" s="10" t="s">
        <v>70</v>
      </c>
      <c r="C66" s="52">
        <v>8954</v>
      </c>
      <c r="D66" s="52">
        <v>16514</v>
      </c>
      <c r="E66" s="52">
        <v>18326</v>
      </c>
      <c r="F66" s="52">
        <v>19268</v>
      </c>
      <c r="G66" s="52">
        <v>25955</v>
      </c>
      <c r="H66" s="52">
        <v>23803</v>
      </c>
      <c r="I66" s="52">
        <v>18190</v>
      </c>
    </row>
    <row r="67" spans="1:9" x14ac:dyDescent="0.25">
      <c r="A67" s="11" t="s">
        <v>66</v>
      </c>
      <c r="B67" s="10" t="s">
        <v>70</v>
      </c>
      <c r="C67" s="52">
        <v>750</v>
      </c>
      <c r="D67" s="52">
        <v>1374</v>
      </c>
      <c r="E67" s="52">
        <v>1540</v>
      </c>
      <c r="F67" s="52">
        <v>1744</v>
      </c>
      <c r="G67" s="52">
        <v>2145</v>
      </c>
      <c r="H67" s="52">
        <v>2070</v>
      </c>
      <c r="I67" s="52">
        <v>1723</v>
      </c>
    </row>
    <row r="68" spans="1:9" ht="13.8" thickBot="1" x14ac:dyDescent="0.3">
      <c r="A68" s="13" t="s">
        <v>67</v>
      </c>
      <c r="B68" s="12" t="s">
        <v>70</v>
      </c>
      <c r="C68" s="52">
        <v>11281</v>
      </c>
      <c r="D68" s="52">
        <v>21521</v>
      </c>
      <c r="E68" s="52">
        <v>25219</v>
      </c>
      <c r="F68" s="52">
        <v>25510</v>
      </c>
      <c r="G68" s="52">
        <v>34412</v>
      </c>
      <c r="H68" s="52">
        <v>28924</v>
      </c>
      <c r="I68" s="52">
        <v>21559</v>
      </c>
    </row>
    <row r="69" spans="1:9" x14ac:dyDescent="0.25">
      <c r="A69" s="32" t="s">
        <v>68</v>
      </c>
      <c r="C69" s="14">
        <f>SUM(C2:C68)</f>
        <v>256384</v>
      </c>
      <c r="D69" s="14">
        <f t="shared" ref="D69:I69" si="0">SUM(D2:D68)</f>
        <v>470824</v>
      </c>
      <c r="E69" s="14">
        <f t="shared" si="0"/>
        <v>514932</v>
      </c>
      <c r="F69" s="14">
        <f t="shared" si="0"/>
        <v>530960</v>
      </c>
      <c r="G69" s="14">
        <f t="shared" si="0"/>
        <v>706653</v>
      </c>
      <c r="H69" s="14">
        <f t="shared" si="0"/>
        <v>650542</v>
      </c>
      <c r="I69" s="14">
        <f t="shared" si="0"/>
        <v>509874</v>
      </c>
    </row>
    <row r="70" spans="1:9" x14ac:dyDescent="0.25">
      <c r="C70" s="17">
        <f>C69/$C$72</f>
        <v>7.0431894782907054E-2</v>
      </c>
      <c r="D70" s="17">
        <f t="shared" ref="D70:I70" si="1">D69/$C$72</f>
        <v>0.12934124761789906</v>
      </c>
      <c r="E70" s="17">
        <f t="shared" si="1"/>
        <v>0.14145826745956025</v>
      </c>
      <c r="F70" s="17">
        <f t="shared" si="1"/>
        <v>0.14586135973357281</v>
      </c>
      <c r="G70" s="17">
        <f t="shared" si="1"/>
        <v>0.19412642654777842</v>
      </c>
      <c r="H70" s="17">
        <f t="shared" si="1"/>
        <v>0.17871203232597169</v>
      </c>
      <c r="I70" s="17">
        <f t="shared" si="1"/>
        <v>0.14006877153231073</v>
      </c>
    </row>
    <row r="72" spans="1:9" x14ac:dyDescent="0.25">
      <c r="A72" s="32" t="s">
        <v>80</v>
      </c>
      <c r="C72" s="16">
        <f>SUM(C69:I69)</f>
        <v>3640169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G80" sqref="G80:G81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9" width="9.109375" style="11"/>
    <col min="10" max="10" width="12" style="11" bestFit="1" customWidth="1"/>
    <col min="11" max="11" width="10" style="11" bestFit="1" customWidth="1"/>
    <col min="12" max="12" width="11.33203125" style="11" bestFit="1" customWidth="1"/>
    <col min="13" max="13" width="9.5546875" style="11" bestFit="1" customWidth="1"/>
    <col min="14" max="14" width="10.88671875" style="11" bestFit="1" customWidth="1"/>
    <col min="15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17736</v>
      </c>
      <c r="C3" s="70">
        <v>1419</v>
      </c>
      <c r="D3" s="69">
        <v>42049</v>
      </c>
      <c r="E3" s="70">
        <v>1928</v>
      </c>
      <c r="F3" s="72">
        <v>12044</v>
      </c>
      <c r="G3" s="74">
        <v>1234</v>
      </c>
    </row>
    <row r="4" spans="1:7" x14ac:dyDescent="0.25">
      <c r="A4" s="11" t="s">
        <v>2</v>
      </c>
      <c r="B4" s="69">
        <v>469642</v>
      </c>
      <c r="C4" s="70">
        <v>33246</v>
      </c>
      <c r="D4" s="69">
        <v>251828</v>
      </c>
      <c r="E4" s="70">
        <v>11868</v>
      </c>
      <c r="F4" s="72">
        <v>135669</v>
      </c>
      <c r="G4" s="75">
        <v>13889</v>
      </c>
    </row>
    <row r="5" spans="1:7" x14ac:dyDescent="0.25">
      <c r="A5" s="11" t="s">
        <v>3</v>
      </c>
      <c r="B5" s="69">
        <v>10245</v>
      </c>
      <c r="C5" s="70">
        <v>410</v>
      </c>
      <c r="D5" s="69">
        <v>27016</v>
      </c>
      <c r="E5" s="70">
        <v>607</v>
      </c>
      <c r="F5" s="72">
        <v>4998</v>
      </c>
      <c r="G5" s="75">
        <v>262</v>
      </c>
    </row>
    <row r="6" spans="1:7" x14ac:dyDescent="0.25">
      <c r="A6" s="11" t="s">
        <v>4</v>
      </c>
      <c r="B6" s="69">
        <v>43601</v>
      </c>
      <c r="C6" s="70">
        <v>2219</v>
      </c>
      <c r="D6" s="69">
        <v>50058</v>
      </c>
      <c r="E6" s="70">
        <v>1869</v>
      </c>
      <c r="F6" s="72">
        <v>15187</v>
      </c>
      <c r="G6" s="75">
        <v>1265</v>
      </c>
    </row>
    <row r="7" spans="1:7" x14ac:dyDescent="0.25">
      <c r="A7" s="11" t="s">
        <v>5</v>
      </c>
      <c r="B7" s="69">
        <v>5092</v>
      </c>
      <c r="C7" s="70">
        <v>191</v>
      </c>
      <c r="D7" s="69">
        <v>24104</v>
      </c>
      <c r="E7" s="70">
        <v>468</v>
      </c>
      <c r="F7" s="72">
        <v>3023</v>
      </c>
      <c r="G7" s="75">
        <v>160</v>
      </c>
    </row>
    <row r="8" spans="1:7" x14ac:dyDescent="0.25">
      <c r="A8" s="11" t="s">
        <v>6</v>
      </c>
      <c r="B8" s="69">
        <v>98413</v>
      </c>
      <c r="C8" s="70">
        <v>5848</v>
      </c>
      <c r="D8" s="69">
        <v>114670</v>
      </c>
      <c r="E8" s="70">
        <v>3470</v>
      </c>
      <c r="F8" s="72">
        <v>47568</v>
      </c>
      <c r="G8" s="75">
        <v>3482</v>
      </c>
    </row>
    <row r="9" spans="1:7" x14ac:dyDescent="0.25">
      <c r="A9" s="11" t="s">
        <v>7</v>
      </c>
      <c r="B9" s="69">
        <v>18375</v>
      </c>
      <c r="C9" s="70">
        <v>1377</v>
      </c>
      <c r="D9" s="69">
        <v>48754</v>
      </c>
      <c r="E9" s="70">
        <v>1883</v>
      </c>
      <c r="F9" s="72">
        <v>10047</v>
      </c>
      <c r="G9" s="75">
        <v>1047</v>
      </c>
    </row>
    <row r="10" spans="1:7" x14ac:dyDescent="0.25">
      <c r="A10" s="11" t="s">
        <v>8</v>
      </c>
      <c r="B10" s="69">
        <v>7087</v>
      </c>
      <c r="C10" s="70">
        <v>721</v>
      </c>
      <c r="D10" s="69">
        <v>24124</v>
      </c>
      <c r="E10" s="70">
        <v>1518</v>
      </c>
      <c r="F10" s="72">
        <v>4738</v>
      </c>
      <c r="G10" s="75">
        <v>626</v>
      </c>
    </row>
    <row r="11" spans="1:7" x14ac:dyDescent="0.25">
      <c r="A11" s="11" t="s">
        <v>9</v>
      </c>
      <c r="B11" s="69">
        <v>180241</v>
      </c>
      <c r="C11" s="70">
        <v>13552</v>
      </c>
      <c r="D11" s="69">
        <v>192163</v>
      </c>
      <c r="E11" s="70">
        <v>10026</v>
      </c>
      <c r="F11" s="72">
        <v>80038</v>
      </c>
      <c r="G11" s="75">
        <v>7842</v>
      </c>
    </row>
    <row r="12" spans="1:7" x14ac:dyDescent="0.25">
      <c r="A12" s="11" t="s">
        <v>10</v>
      </c>
      <c r="B12" s="69">
        <v>37337</v>
      </c>
      <c r="C12" s="70">
        <v>1732</v>
      </c>
      <c r="D12" s="69">
        <v>80248</v>
      </c>
      <c r="E12" s="70">
        <v>2527</v>
      </c>
      <c r="F12" s="72">
        <v>19885</v>
      </c>
      <c r="G12" s="75">
        <v>1418</v>
      </c>
    </row>
    <row r="13" spans="1:7" x14ac:dyDescent="0.25">
      <c r="A13" s="11" t="s">
        <v>11</v>
      </c>
      <c r="B13" s="69">
        <v>28013</v>
      </c>
      <c r="C13" s="70">
        <v>1440</v>
      </c>
      <c r="D13" s="69">
        <v>45140</v>
      </c>
      <c r="E13" s="70">
        <v>1400</v>
      </c>
      <c r="F13" s="72">
        <v>9222</v>
      </c>
      <c r="G13" s="75">
        <v>720</v>
      </c>
    </row>
    <row r="14" spans="1:7" x14ac:dyDescent="0.25">
      <c r="A14" s="11" t="s">
        <v>12</v>
      </c>
      <c r="B14" s="69">
        <v>637</v>
      </c>
      <c r="C14" s="70">
        <v>28</v>
      </c>
      <c r="D14" s="69">
        <v>1783</v>
      </c>
      <c r="E14" s="70">
        <v>52</v>
      </c>
      <c r="F14" s="72">
        <v>355</v>
      </c>
      <c r="G14" s="75">
        <v>21</v>
      </c>
    </row>
    <row r="15" spans="1:7" x14ac:dyDescent="0.25">
      <c r="A15" s="11" t="s">
        <v>13</v>
      </c>
      <c r="B15" s="69">
        <v>13309</v>
      </c>
      <c r="C15" s="70">
        <v>750</v>
      </c>
      <c r="D15" s="69">
        <v>22983</v>
      </c>
      <c r="E15" s="70">
        <v>853</v>
      </c>
      <c r="F15" s="72">
        <v>7064</v>
      </c>
      <c r="G15" s="75">
        <v>574</v>
      </c>
    </row>
    <row r="16" spans="1:7" x14ac:dyDescent="0.25">
      <c r="A16" s="11" t="s">
        <v>14</v>
      </c>
      <c r="B16" s="69">
        <v>35507</v>
      </c>
      <c r="C16" s="70">
        <v>5990</v>
      </c>
      <c r="D16" s="69">
        <v>38509</v>
      </c>
      <c r="E16" s="70">
        <v>3405</v>
      </c>
      <c r="F16" s="72">
        <v>15643</v>
      </c>
      <c r="G16" s="75">
        <v>3116</v>
      </c>
    </row>
    <row r="17" spans="1:7" x14ac:dyDescent="0.25">
      <c r="A17" s="11" t="s">
        <v>15</v>
      </c>
      <c r="B17" s="69">
        <v>152792</v>
      </c>
      <c r="C17" s="70">
        <v>7698</v>
      </c>
      <c r="D17" s="69">
        <v>146873</v>
      </c>
      <c r="E17" s="70">
        <v>5287</v>
      </c>
      <c r="F17" s="72">
        <v>71822</v>
      </c>
      <c r="G17" s="75">
        <v>4315</v>
      </c>
    </row>
    <row r="18" spans="1:7" x14ac:dyDescent="0.25">
      <c r="A18" s="11" t="s">
        <v>16</v>
      </c>
      <c r="B18" s="69">
        <v>4701</v>
      </c>
      <c r="C18" s="70">
        <v>365</v>
      </c>
      <c r="D18" s="69">
        <v>14888</v>
      </c>
      <c r="E18" s="70">
        <v>678</v>
      </c>
      <c r="F18" s="72">
        <v>2445</v>
      </c>
      <c r="G18" s="75">
        <v>273</v>
      </c>
    </row>
    <row r="19" spans="1:7" x14ac:dyDescent="0.25">
      <c r="A19" s="11" t="s">
        <v>17</v>
      </c>
      <c r="B19" s="69">
        <v>11234</v>
      </c>
      <c r="C19" s="70">
        <v>815</v>
      </c>
      <c r="D19" s="69">
        <v>30002</v>
      </c>
      <c r="E19" s="70">
        <v>1431</v>
      </c>
      <c r="F19" s="72">
        <v>5444</v>
      </c>
      <c r="G19" s="75">
        <v>628</v>
      </c>
    </row>
    <row r="20" spans="1:7" x14ac:dyDescent="0.25">
      <c r="A20" s="11" t="s">
        <v>18</v>
      </c>
      <c r="B20" s="69">
        <v>5771</v>
      </c>
      <c r="C20" s="70">
        <v>290</v>
      </c>
      <c r="D20" s="69">
        <v>12875</v>
      </c>
      <c r="E20" s="70">
        <v>427</v>
      </c>
      <c r="F20" s="72">
        <v>2908</v>
      </c>
      <c r="G20" s="75">
        <v>231</v>
      </c>
    </row>
    <row r="21" spans="1:7" x14ac:dyDescent="0.25">
      <c r="A21" s="11" t="s">
        <v>19</v>
      </c>
      <c r="B21" s="69">
        <v>11168</v>
      </c>
      <c r="C21" s="70">
        <v>644</v>
      </c>
      <c r="D21" s="69">
        <v>21816</v>
      </c>
      <c r="E21" s="70">
        <v>611</v>
      </c>
      <c r="F21" s="72">
        <v>5881</v>
      </c>
      <c r="G21" s="75">
        <v>448</v>
      </c>
    </row>
    <row r="22" spans="1:7" x14ac:dyDescent="0.25">
      <c r="A22" s="11" t="s">
        <v>20</v>
      </c>
      <c r="B22" s="69">
        <v>13372</v>
      </c>
      <c r="C22" s="70">
        <v>1082</v>
      </c>
      <c r="D22" s="69">
        <v>30610</v>
      </c>
      <c r="E22" s="70">
        <v>1249</v>
      </c>
      <c r="F22" s="72">
        <v>6140</v>
      </c>
      <c r="G22" s="75">
        <v>635</v>
      </c>
    </row>
    <row r="23" spans="1:7" x14ac:dyDescent="0.25">
      <c r="A23" s="11" t="s">
        <v>21</v>
      </c>
      <c r="B23" s="69">
        <v>57373</v>
      </c>
      <c r="C23" s="70">
        <v>3778</v>
      </c>
      <c r="D23" s="69">
        <v>84820</v>
      </c>
      <c r="E23" s="70">
        <v>3515</v>
      </c>
      <c r="F23" s="72">
        <v>30443</v>
      </c>
      <c r="G23" s="75">
        <v>2663</v>
      </c>
    </row>
    <row r="24" spans="1:7" x14ac:dyDescent="0.25">
      <c r="A24" s="11" t="s">
        <v>22</v>
      </c>
      <c r="B24" s="69">
        <v>77705</v>
      </c>
      <c r="C24" s="70">
        <v>8223</v>
      </c>
      <c r="D24" s="69">
        <v>71517</v>
      </c>
      <c r="E24" s="70">
        <v>4619</v>
      </c>
      <c r="F24" s="72">
        <v>33250</v>
      </c>
      <c r="G24" s="75">
        <v>4646</v>
      </c>
    </row>
    <row r="25" spans="1:7" x14ac:dyDescent="0.25">
      <c r="A25" s="11" t="s">
        <v>23</v>
      </c>
      <c r="B25" s="69">
        <v>181934</v>
      </c>
      <c r="C25" s="70">
        <v>20513</v>
      </c>
      <c r="D25" s="69">
        <v>133454</v>
      </c>
      <c r="E25" s="70">
        <v>9703</v>
      </c>
      <c r="F25" s="72">
        <v>56312</v>
      </c>
      <c r="G25" s="75">
        <v>8033</v>
      </c>
    </row>
    <row r="26" spans="1:7" x14ac:dyDescent="0.25">
      <c r="A26" s="11" t="s">
        <v>24</v>
      </c>
      <c r="B26" s="69">
        <v>5580</v>
      </c>
      <c r="C26" s="70">
        <v>218</v>
      </c>
      <c r="D26" s="69">
        <v>11875</v>
      </c>
      <c r="E26" s="70">
        <v>260</v>
      </c>
      <c r="F26" s="72">
        <v>2389</v>
      </c>
      <c r="G26" s="75">
        <v>160</v>
      </c>
    </row>
    <row r="27" spans="1:7" x14ac:dyDescent="0.25">
      <c r="A27" s="11" t="s">
        <v>25</v>
      </c>
      <c r="B27" s="69">
        <v>71673</v>
      </c>
      <c r="C27" s="70">
        <v>4885</v>
      </c>
      <c r="D27" s="69">
        <v>67745</v>
      </c>
      <c r="E27" s="70">
        <v>3226</v>
      </c>
      <c r="F27" s="72">
        <v>24651</v>
      </c>
      <c r="G27" s="75">
        <v>2762</v>
      </c>
    </row>
    <row r="28" spans="1:7" x14ac:dyDescent="0.25">
      <c r="A28" s="11" t="s">
        <v>26</v>
      </c>
      <c r="B28" s="69">
        <v>28130</v>
      </c>
      <c r="C28" s="70">
        <v>1445</v>
      </c>
      <c r="D28" s="69">
        <v>40154</v>
      </c>
      <c r="E28" s="70">
        <v>1144</v>
      </c>
      <c r="F28" s="72">
        <v>8034</v>
      </c>
      <c r="G28" s="75">
        <v>660</v>
      </c>
    </row>
    <row r="29" spans="1:7" x14ac:dyDescent="0.25">
      <c r="A29" s="11" t="s">
        <v>27</v>
      </c>
      <c r="B29" s="69">
        <v>719</v>
      </c>
      <c r="C29" s="70">
        <v>56</v>
      </c>
      <c r="D29" s="69">
        <v>1946</v>
      </c>
      <c r="E29" s="70">
        <v>94</v>
      </c>
      <c r="F29" s="72">
        <v>350</v>
      </c>
      <c r="G29" s="75">
        <v>42</v>
      </c>
    </row>
    <row r="30" spans="1:7" x14ac:dyDescent="0.25">
      <c r="A30" s="11" t="s">
        <v>28</v>
      </c>
      <c r="B30" s="69">
        <v>21631</v>
      </c>
      <c r="C30" s="70">
        <v>1834</v>
      </c>
      <c r="D30" s="69">
        <v>61597</v>
      </c>
      <c r="E30" s="70">
        <v>2804</v>
      </c>
      <c r="F30" s="72">
        <v>15690</v>
      </c>
      <c r="G30" s="75">
        <v>1598</v>
      </c>
    </row>
    <row r="31" spans="1:7" x14ac:dyDescent="0.25">
      <c r="A31" s="11" t="s">
        <v>29</v>
      </c>
      <c r="B31" s="69">
        <v>1359</v>
      </c>
      <c r="C31" s="70">
        <v>119</v>
      </c>
      <c r="D31" s="69">
        <v>7191</v>
      </c>
      <c r="E31" s="70">
        <v>307</v>
      </c>
      <c r="F31" s="72">
        <v>1020</v>
      </c>
      <c r="G31" s="75">
        <v>146</v>
      </c>
    </row>
    <row r="32" spans="1:7" x14ac:dyDescent="0.25">
      <c r="A32" s="11" t="s">
        <v>30</v>
      </c>
      <c r="B32" s="69">
        <v>6927</v>
      </c>
      <c r="C32" s="70">
        <v>468</v>
      </c>
      <c r="D32" s="69">
        <v>11561</v>
      </c>
      <c r="E32" s="70">
        <v>584</v>
      </c>
      <c r="F32" s="72">
        <v>2007</v>
      </c>
      <c r="G32" s="75">
        <v>235</v>
      </c>
    </row>
    <row r="33" spans="1:7" x14ac:dyDescent="0.25">
      <c r="A33" s="11" t="s">
        <v>31</v>
      </c>
      <c r="B33" s="69">
        <v>5525</v>
      </c>
      <c r="C33" s="70">
        <v>501</v>
      </c>
      <c r="D33" s="69">
        <v>18287</v>
      </c>
      <c r="E33" s="70">
        <v>611</v>
      </c>
      <c r="F33" s="72">
        <v>2693</v>
      </c>
      <c r="G33" s="75">
        <v>265</v>
      </c>
    </row>
    <row r="34" spans="1:7" x14ac:dyDescent="0.25">
      <c r="A34" s="11" t="s">
        <v>32</v>
      </c>
      <c r="B34" s="69">
        <v>13471</v>
      </c>
      <c r="C34" s="70">
        <v>478</v>
      </c>
      <c r="D34" s="69">
        <v>28414</v>
      </c>
      <c r="E34" s="70">
        <v>486</v>
      </c>
      <c r="F34" s="72">
        <v>6094</v>
      </c>
      <c r="G34" s="75">
        <v>227</v>
      </c>
    </row>
    <row r="35" spans="1:7" x14ac:dyDescent="0.25">
      <c r="A35" s="11" t="s">
        <v>33</v>
      </c>
      <c r="B35" s="69">
        <v>5171</v>
      </c>
      <c r="C35" s="70">
        <v>261</v>
      </c>
      <c r="D35" s="69">
        <v>18878</v>
      </c>
      <c r="E35" s="70">
        <v>579</v>
      </c>
      <c r="F35" s="72">
        <v>2999</v>
      </c>
      <c r="G35" s="75">
        <v>209</v>
      </c>
    </row>
    <row r="36" spans="1:7" x14ac:dyDescent="0.25">
      <c r="A36" s="11" t="s">
        <v>34</v>
      </c>
      <c r="B36" s="69">
        <v>2416</v>
      </c>
      <c r="C36" s="70">
        <v>127</v>
      </c>
      <c r="D36" s="69">
        <v>9809</v>
      </c>
      <c r="E36" s="70">
        <v>212</v>
      </c>
      <c r="F36" s="72">
        <v>1406</v>
      </c>
      <c r="G36" s="75">
        <v>90</v>
      </c>
    </row>
    <row r="37" spans="1:7" x14ac:dyDescent="0.25">
      <c r="A37" s="11" t="s">
        <v>35</v>
      </c>
      <c r="B37" s="69">
        <v>70658</v>
      </c>
      <c r="C37" s="70">
        <v>5672</v>
      </c>
      <c r="D37" s="69">
        <v>48688</v>
      </c>
      <c r="E37" s="70">
        <v>3618</v>
      </c>
      <c r="F37" s="72">
        <v>17952</v>
      </c>
      <c r="G37" s="75">
        <v>2640</v>
      </c>
    </row>
    <row r="38" spans="1:7" x14ac:dyDescent="0.25">
      <c r="A38" s="11" t="s">
        <v>36</v>
      </c>
      <c r="B38" s="69">
        <v>103570</v>
      </c>
      <c r="C38" s="70">
        <v>9058</v>
      </c>
      <c r="D38" s="69">
        <v>174272</v>
      </c>
      <c r="E38" s="70">
        <v>9632</v>
      </c>
      <c r="F38" s="72">
        <v>60216</v>
      </c>
      <c r="G38" s="75">
        <v>6804</v>
      </c>
    </row>
    <row r="39" spans="1:7" x14ac:dyDescent="0.25">
      <c r="A39" s="11" t="s">
        <v>37</v>
      </c>
      <c r="B39" s="69">
        <v>18097</v>
      </c>
      <c r="C39" s="70">
        <v>1605</v>
      </c>
      <c r="D39" s="69">
        <v>28633</v>
      </c>
      <c r="E39" s="70">
        <v>1514</v>
      </c>
      <c r="F39" s="72">
        <v>6623</v>
      </c>
      <c r="G39" s="75">
        <v>861</v>
      </c>
    </row>
    <row r="40" spans="1:7" x14ac:dyDescent="0.25">
      <c r="A40" s="11" t="s">
        <v>38</v>
      </c>
      <c r="B40" s="69">
        <v>23624</v>
      </c>
      <c r="C40" s="70">
        <v>1733</v>
      </c>
      <c r="D40" s="69">
        <v>50907</v>
      </c>
      <c r="E40" s="70">
        <v>1732</v>
      </c>
      <c r="F40" s="72">
        <v>14529</v>
      </c>
      <c r="G40" s="75">
        <v>1321</v>
      </c>
    </row>
    <row r="41" spans="1:7" x14ac:dyDescent="0.25">
      <c r="A41" s="11" t="s">
        <v>39</v>
      </c>
      <c r="B41" s="69">
        <v>104321</v>
      </c>
      <c r="C41" s="70">
        <v>6923</v>
      </c>
      <c r="D41" s="69">
        <v>86324</v>
      </c>
      <c r="E41" s="70">
        <v>3380</v>
      </c>
      <c r="F41" s="72">
        <v>48302</v>
      </c>
      <c r="G41" s="75">
        <v>4220</v>
      </c>
    </row>
    <row r="42" spans="1:7" x14ac:dyDescent="0.25">
      <c r="A42" s="11" t="s">
        <v>40</v>
      </c>
      <c r="B42" s="69">
        <v>79301</v>
      </c>
      <c r="C42" s="70">
        <v>5007</v>
      </c>
      <c r="D42" s="69">
        <v>87500</v>
      </c>
      <c r="E42" s="70">
        <v>3714</v>
      </c>
      <c r="F42" s="72">
        <v>28243</v>
      </c>
      <c r="G42" s="75">
        <v>2834</v>
      </c>
    </row>
    <row r="43" spans="1:7" x14ac:dyDescent="0.25">
      <c r="A43" s="11" t="s">
        <v>41</v>
      </c>
      <c r="B43" s="69">
        <v>16640</v>
      </c>
      <c r="C43" s="70">
        <v>1544</v>
      </c>
      <c r="D43" s="69">
        <v>41935</v>
      </c>
      <c r="E43" s="70">
        <v>1926</v>
      </c>
      <c r="F43" s="72">
        <v>9467</v>
      </c>
      <c r="G43" s="75">
        <v>1108</v>
      </c>
    </row>
    <row r="44" spans="1:7" x14ac:dyDescent="0.25">
      <c r="A44" s="11" t="s">
        <v>42</v>
      </c>
      <c r="B44" s="69">
        <v>4984</v>
      </c>
      <c r="C44" s="70">
        <v>300</v>
      </c>
      <c r="D44" s="69">
        <v>15568</v>
      </c>
      <c r="E44" s="70">
        <v>597</v>
      </c>
      <c r="F44" s="72">
        <v>3381</v>
      </c>
      <c r="G44" s="75">
        <v>344</v>
      </c>
    </row>
    <row r="45" spans="1:7" x14ac:dyDescent="0.25">
      <c r="A45" s="11" t="s">
        <v>43</v>
      </c>
      <c r="B45" s="69">
        <v>21059</v>
      </c>
      <c r="C45" s="70">
        <v>2093</v>
      </c>
      <c r="D45" s="69">
        <v>36001</v>
      </c>
      <c r="E45" s="70">
        <v>2299</v>
      </c>
      <c r="F45" s="72">
        <v>9109</v>
      </c>
      <c r="G45" s="75">
        <v>1298</v>
      </c>
    </row>
    <row r="46" spans="1:7" x14ac:dyDescent="0.25">
      <c r="A46" s="11" t="s">
        <v>44</v>
      </c>
      <c r="B46" s="69">
        <v>5069</v>
      </c>
      <c r="C46" s="70">
        <v>289</v>
      </c>
      <c r="D46" s="69">
        <v>18045</v>
      </c>
      <c r="E46" s="70">
        <v>583</v>
      </c>
      <c r="F46" s="72">
        <v>2910</v>
      </c>
      <c r="G46" s="75">
        <v>213</v>
      </c>
    </row>
    <row r="47" spans="1:7" x14ac:dyDescent="0.25">
      <c r="A47" s="11" t="s">
        <v>45</v>
      </c>
      <c r="B47" s="69">
        <v>42553</v>
      </c>
      <c r="C47" s="70">
        <v>5835</v>
      </c>
      <c r="D47" s="69">
        <v>39962</v>
      </c>
      <c r="E47" s="70">
        <v>3266</v>
      </c>
      <c r="F47" s="72">
        <v>22181</v>
      </c>
      <c r="G47" s="75">
        <v>3213</v>
      </c>
    </row>
    <row r="48" spans="1:7" x14ac:dyDescent="0.25">
      <c r="A48" s="11" t="s">
        <v>46</v>
      </c>
      <c r="B48" s="69">
        <v>287194</v>
      </c>
      <c r="C48" s="70">
        <v>17696</v>
      </c>
      <c r="D48" s="69">
        <v>198577</v>
      </c>
      <c r="E48" s="70">
        <v>9434</v>
      </c>
      <c r="F48" s="72">
        <v>100779</v>
      </c>
      <c r="G48" s="75">
        <v>8882</v>
      </c>
    </row>
    <row r="49" spans="1:7" x14ac:dyDescent="0.25">
      <c r="A49" s="11" t="s">
        <v>47</v>
      </c>
      <c r="B49" s="69">
        <v>3461</v>
      </c>
      <c r="C49" s="70">
        <v>291</v>
      </c>
      <c r="D49" s="69">
        <v>6172</v>
      </c>
      <c r="E49" s="70">
        <v>373</v>
      </c>
      <c r="F49" s="72">
        <v>1779</v>
      </c>
      <c r="G49" s="75">
        <v>230</v>
      </c>
    </row>
    <row r="50" spans="1:7" x14ac:dyDescent="0.25">
      <c r="A50" s="11" t="s">
        <v>48</v>
      </c>
      <c r="B50" s="69">
        <v>85695</v>
      </c>
      <c r="C50" s="70">
        <v>10145</v>
      </c>
      <c r="D50" s="69">
        <v>80784</v>
      </c>
      <c r="E50" s="70">
        <v>6167</v>
      </c>
      <c r="F50" s="72">
        <v>42601</v>
      </c>
      <c r="G50" s="75">
        <v>6413</v>
      </c>
    </row>
    <row r="51" spans="1:7" x14ac:dyDescent="0.25">
      <c r="A51" s="11" t="s">
        <v>49</v>
      </c>
      <c r="B51" s="69">
        <v>14175</v>
      </c>
      <c r="C51" s="70">
        <v>1142</v>
      </c>
      <c r="D51" s="69">
        <v>30363</v>
      </c>
      <c r="E51" s="70">
        <v>1558</v>
      </c>
      <c r="F51" s="72">
        <v>7220</v>
      </c>
      <c r="G51" s="75">
        <v>796</v>
      </c>
    </row>
    <row r="52" spans="1:7" x14ac:dyDescent="0.25">
      <c r="A52" s="11" t="s">
        <v>50</v>
      </c>
      <c r="B52" s="69">
        <v>5844</v>
      </c>
      <c r="C52" s="70">
        <v>150</v>
      </c>
      <c r="D52" s="69">
        <v>20572</v>
      </c>
      <c r="E52" s="70">
        <v>403</v>
      </c>
      <c r="F52" s="72">
        <v>4032</v>
      </c>
      <c r="G52" s="75">
        <v>201</v>
      </c>
    </row>
    <row r="53" spans="1:7" x14ac:dyDescent="0.25">
      <c r="A53" s="11" t="s">
        <v>51</v>
      </c>
      <c r="B53" s="69">
        <v>690443</v>
      </c>
      <c r="C53" s="70">
        <v>84068</v>
      </c>
      <c r="D53" s="69">
        <v>118508</v>
      </c>
      <c r="E53" s="70">
        <v>12915</v>
      </c>
      <c r="F53" s="72">
        <v>151684</v>
      </c>
      <c r="G53" s="75">
        <v>23225</v>
      </c>
    </row>
    <row r="54" spans="1:7" x14ac:dyDescent="0.25">
      <c r="A54" s="11" t="s">
        <v>52</v>
      </c>
      <c r="B54" s="69">
        <v>12519</v>
      </c>
      <c r="C54" s="70">
        <v>1036</v>
      </c>
      <c r="D54" s="69">
        <v>21776</v>
      </c>
      <c r="E54" s="70">
        <v>1201</v>
      </c>
      <c r="F54" s="72">
        <v>9625</v>
      </c>
      <c r="G54" s="75">
        <v>935</v>
      </c>
    </row>
    <row r="55" spans="1:7" x14ac:dyDescent="0.25">
      <c r="A55" s="11" t="s">
        <v>53</v>
      </c>
      <c r="B55" s="69">
        <v>1651</v>
      </c>
      <c r="C55" s="70">
        <v>94</v>
      </c>
      <c r="D55" s="69">
        <v>7730</v>
      </c>
      <c r="E55" s="70">
        <v>293</v>
      </c>
      <c r="F55" s="72">
        <v>1159</v>
      </c>
      <c r="G55" s="75">
        <v>106</v>
      </c>
    </row>
    <row r="56" spans="1:7" x14ac:dyDescent="0.25">
      <c r="A56" s="11" t="s">
        <v>54</v>
      </c>
      <c r="B56" s="69">
        <v>23474</v>
      </c>
      <c r="C56" s="70">
        <v>1848</v>
      </c>
      <c r="D56" s="69">
        <v>50801</v>
      </c>
      <c r="E56" s="70">
        <v>2321</v>
      </c>
      <c r="F56" s="72">
        <v>12413</v>
      </c>
      <c r="G56" s="75">
        <v>1341</v>
      </c>
    </row>
    <row r="57" spans="1:7" x14ac:dyDescent="0.25">
      <c r="A57" s="11" t="s">
        <v>55</v>
      </c>
      <c r="B57" s="69">
        <v>4561</v>
      </c>
      <c r="C57" s="70">
        <v>324</v>
      </c>
      <c r="D57" s="69">
        <v>15526</v>
      </c>
      <c r="E57" s="70">
        <v>435</v>
      </c>
      <c r="F57" s="72">
        <v>2756</v>
      </c>
      <c r="G57" s="75">
        <v>257</v>
      </c>
    </row>
    <row r="58" spans="1:7" x14ac:dyDescent="0.25">
      <c r="A58" s="11" t="s">
        <v>56</v>
      </c>
      <c r="B58" s="69">
        <v>10122</v>
      </c>
      <c r="C58" s="70">
        <v>390</v>
      </c>
      <c r="D58" s="69">
        <v>32212</v>
      </c>
      <c r="E58" s="70">
        <v>626</v>
      </c>
      <c r="F58" s="72">
        <v>4872</v>
      </c>
      <c r="G58" s="75">
        <v>255</v>
      </c>
    </row>
    <row r="59" spans="1:7" x14ac:dyDescent="0.25">
      <c r="A59" s="11" t="s">
        <v>57</v>
      </c>
      <c r="B59" s="69">
        <v>1025</v>
      </c>
      <c r="C59" s="70">
        <v>40</v>
      </c>
      <c r="D59" s="69">
        <v>2783</v>
      </c>
      <c r="E59" s="70">
        <v>73</v>
      </c>
      <c r="F59" s="72">
        <v>498</v>
      </c>
      <c r="G59" s="75">
        <v>39</v>
      </c>
    </row>
    <row r="60" spans="1:7" x14ac:dyDescent="0.25">
      <c r="A60" s="11" t="s">
        <v>58</v>
      </c>
      <c r="B60" s="69">
        <v>5713</v>
      </c>
      <c r="C60" s="70">
        <v>553</v>
      </c>
      <c r="D60" s="69">
        <v>16585</v>
      </c>
      <c r="E60" s="70">
        <v>988</v>
      </c>
      <c r="F60" s="72">
        <v>3672</v>
      </c>
      <c r="G60" s="75">
        <v>418</v>
      </c>
    </row>
    <row r="61" spans="1:7" x14ac:dyDescent="0.25">
      <c r="A61" s="11" t="s">
        <v>59</v>
      </c>
      <c r="B61" s="69">
        <v>4564</v>
      </c>
      <c r="C61" s="70">
        <v>376</v>
      </c>
      <c r="D61" s="69">
        <v>17096</v>
      </c>
      <c r="E61" s="70">
        <v>1017</v>
      </c>
      <c r="F61" s="72">
        <v>3313</v>
      </c>
      <c r="G61" s="75">
        <v>428</v>
      </c>
    </row>
    <row r="62" spans="1:7" x14ac:dyDescent="0.25">
      <c r="A62" s="11" t="s">
        <v>60</v>
      </c>
      <c r="B62" s="69">
        <v>7045</v>
      </c>
      <c r="C62" s="70">
        <v>739</v>
      </c>
      <c r="D62" s="69">
        <v>13734</v>
      </c>
      <c r="E62" s="70">
        <v>672</v>
      </c>
      <c r="F62" s="72">
        <v>3731</v>
      </c>
      <c r="G62" s="75">
        <v>478</v>
      </c>
    </row>
    <row r="63" spans="1:7" x14ac:dyDescent="0.25">
      <c r="A63" s="11" t="s">
        <v>61</v>
      </c>
      <c r="B63" s="69">
        <v>7689</v>
      </c>
      <c r="C63" s="70">
        <v>370</v>
      </c>
      <c r="D63" s="69">
        <v>19576</v>
      </c>
      <c r="E63" s="70">
        <v>601</v>
      </c>
      <c r="F63" s="72">
        <v>4299</v>
      </c>
      <c r="G63" s="75">
        <v>307</v>
      </c>
    </row>
    <row r="64" spans="1:7" x14ac:dyDescent="0.25">
      <c r="A64" s="11" t="s">
        <v>62</v>
      </c>
      <c r="B64" s="69">
        <v>6129</v>
      </c>
      <c r="C64" s="70">
        <v>227</v>
      </c>
      <c r="D64" s="69">
        <v>14806</v>
      </c>
      <c r="E64" s="70">
        <v>463</v>
      </c>
      <c r="F64" s="72">
        <v>3650</v>
      </c>
      <c r="G64" s="75">
        <v>182</v>
      </c>
    </row>
    <row r="65" spans="1:7" x14ac:dyDescent="0.25">
      <c r="A65" s="11" t="s">
        <v>63</v>
      </c>
      <c r="B65" s="69">
        <v>48974</v>
      </c>
      <c r="C65" s="70">
        <v>3896</v>
      </c>
      <c r="D65" s="69">
        <v>69313</v>
      </c>
      <c r="E65" s="70">
        <v>3685</v>
      </c>
      <c r="F65" s="72">
        <v>17572</v>
      </c>
      <c r="G65" s="75">
        <v>2132</v>
      </c>
    </row>
    <row r="66" spans="1:7" x14ac:dyDescent="0.25">
      <c r="A66" s="11" t="s">
        <v>64</v>
      </c>
      <c r="B66" s="69">
        <v>7947</v>
      </c>
      <c r="C66" s="70">
        <v>729</v>
      </c>
      <c r="D66" s="69">
        <v>20493</v>
      </c>
      <c r="E66" s="70">
        <v>1220</v>
      </c>
      <c r="F66" s="72">
        <v>5497</v>
      </c>
      <c r="G66" s="75">
        <v>673</v>
      </c>
    </row>
    <row r="67" spans="1:7" x14ac:dyDescent="0.25">
      <c r="A67" s="11" t="s">
        <v>65</v>
      </c>
      <c r="B67" s="69">
        <v>83203</v>
      </c>
      <c r="C67" s="70">
        <v>3789</v>
      </c>
      <c r="D67" s="69">
        <v>126906</v>
      </c>
      <c r="E67" s="70">
        <v>4104</v>
      </c>
      <c r="F67" s="72">
        <v>30742</v>
      </c>
      <c r="G67" s="75">
        <v>2140</v>
      </c>
    </row>
    <row r="68" spans="1:7" x14ac:dyDescent="0.25">
      <c r="A68" s="11" t="s">
        <v>66</v>
      </c>
      <c r="B68" s="69">
        <v>4343</v>
      </c>
      <c r="C68" s="70">
        <v>328</v>
      </c>
      <c r="D68" s="69">
        <v>10792</v>
      </c>
      <c r="E68" s="70">
        <v>554</v>
      </c>
      <c r="F68" s="72">
        <v>2194</v>
      </c>
      <c r="G68" s="75">
        <v>257</v>
      </c>
    </row>
    <row r="69" spans="1:7" x14ac:dyDescent="0.25">
      <c r="A69" s="19" t="s">
        <v>67</v>
      </c>
      <c r="B69" s="68">
        <v>90035</v>
      </c>
      <c r="C69" s="71">
        <v>6257</v>
      </c>
      <c r="D69" s="68">
        <v>161447</v>
      </c>
      <c r="E69" s="71">
        <v>6979</v>
      </c>
      <c r="F69" s="73">
        <v>57135</v>
      </c>
      <c r="G69" s="76">
        <v>4907</v>
      </c>
    </row>
    <row r="70" spans="1:7" x14ac:dyDescent="0.25">
      <c r="A70" s="32" t="s">
        <v>68</v>
      </c>
      <c r="B70" s="14">
        <f>SUM(B3:B69)</f>
        <v>3539569</v>
      </c>
      <c r="C70" s="14">
        <f t="shared" ref="C70:G70" si="0">SUM(C3:C69)</f>
        <v>297270</v>
      </c>
      <c r="D70" s="14">
        <f t="shared" si="0"/>
        <v>3472128</v>
      </c>
      <c r="E70" s="14">
        <f t="shared" si="0"/>
        <v>168044</v>
      </c>
      <c r="F70" s="14">
        <f t="shared" si="0"/>
        <v>1341595</v>
      </c>
      <c r="G70" s="14">
        <f t="shared" si="0"/>
        <v>143380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8961986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2026-06-22T12:51:49Z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