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2B42C711-B799-47F5-BEB9-7D57565BA68F}" xr6:coauthVersionLast="47" xr6:coauthVersionMax="47" xr10:uidLastSave="{00000000-0000-0000-0000-000000000000}"/>
  <bookViews>
    <workbookView xWindow="-28920" yWindow="-6885" windowWidth="29040" windowHeight="1572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0" i="8" l="1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69" i="7"/>
  <c r="C69" i="7"/>
  <c r="D69" i="7"/>
  <c r="E69" i="7"/>
  <c r="F69" i="7"/>
  <c r="G69" i="7"/>
  <c r="H69" i="7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<sst xmlns="http://schemas.openxmlformats.org/spreadsheetml/2006/main" count="1139" uniqueCount="131">
  <si>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</si>
  <si>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</si>
  <si>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</si>
  <si>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</si>
  <si>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</si>
  <si>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</si>
  <si>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</si>
  <si>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</si>
  <si>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</si>
  <si>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</si>
  <si>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</si>
  <si>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</si>
  <si>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</si>
  <si>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</si>
  <si>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</si>
  <si>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</si>
  <si>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</si>
  <si>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</si>
  <si>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</si>
  <si>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</si>
  <si>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</si>
  <si>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</si>
  <si>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</si>
  <si>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</si>
  <si>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</si>
  <si>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</si>
  <si>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</si>
  <si>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</si>
  <si>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</si>
  <si>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</si>
  <si>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</si>
  <si>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</si>
  <si>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</si>
  <si>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</si>
  <si>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</si>
  <si>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</si>
  <si>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</si>
  <si>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</si>
  <si>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</si>
  <si>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</si>
  <si>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</si>
  <si>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</si>
  <si>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</si>
  <si>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</si>
  <si>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</si>
  <si>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</si>
  <si>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</si>
  <si>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</si>
  <si>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</si>
  <si>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</si>
  <si>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</si>
  <si>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</si>
  <si>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</si>
  <si>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</si>
  <si>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</si>
  <si>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</si>
  <si>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</si>
  <si>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</si>
  <si>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</si>
  <si>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</si>
  <si>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</si>
  <si>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</si>
  <si>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</si>
  <si>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</si>
  <si>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</si>
  <si>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</si>
  <si>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</si>
  <si>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</si>
  <si>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</si>
  <si>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</si>
  <si>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</si>
  <si>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</si>
  <si>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</si>
  <si>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</si>
  <si>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</si>
  <si>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</si>
  <si>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</si>
  <si>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</si>
  <si>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</si>
  <si>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</si>
  <si>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</si>
  <si>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</si>
  <si>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</si>
  <si>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</si>
  <si>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</si>
  <si>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</si>
  <si>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</si>
  <si>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</si>
  <si>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</si>
  <si>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</si>
  <si>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</si>
  <si>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</si>
  <si>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</si>
  <si>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</si>
  <si>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</si>
  <si>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</si>
  <si>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</si>
  <si>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</si>
  <si>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</si>
  <si>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</si>
  <si>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</si>
  <si>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</si>
  <si>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</si>
  <si>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</si>
  <si>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</si>
  <si>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</si>
  <si>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</si>
  <si>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</si>
  <si>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</si>
  <si>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</si>
  <si>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</si>
  <si>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</si>
  <si>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</si>
  <si>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</si>
  <si>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</si>
  <si>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</si>
  <si>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</si>
  <si>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</si>
  <si>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</si>
  <si>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</si>
  <si>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</si>
  <si>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</si>
  <si>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</si>
  <si>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</si>
  <si>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</si>
  <si>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</si>
  <si>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</si>
  <si>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</si>
  <si>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</si>
  <si>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06/08/2026</t>
  </si>
  <si>
    <t>Week Of 06-01-2026 to 06-08-2026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</si>
</sst>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L1" sqref="L1"/>
    </sheetView>
  </sheetViews>
  <sheetFormatPr defaultRowHeight="13.2" x14ac:dyDescent="0.25"/>
  <cols>
    <col min="1" max="1" width="22.88671875" customWidth="1"/>
    <col min="2" max="2" width="9.6640625" style="1" customWidth="1"/>
    <col min="3" max="3" width="18.6640625" style="11" customWidth="1"/>
    <col min="4" max="4" width="2.5546875" style="11" customWidth="1"/>
    <col min="5" max="5" width="18.6640625" style="11" customWidth="1"/>
    <col min="6" max="6" width="2" style="11" customWidth="1"/>
    <col min="7" max="7" width="18.6640625" style="11" customWidth="1"/>
    <col min="8" max="8" width="1.5546875" style="11" customWidth="1"/>
    <col min="9" max="9" width="21.5546875" style="10" customWidth="1"/>
    <col min="10" max="10" width="1.6640625" style="11" customWidth="1"/>
    <col min="11" max="11" width="18" style="1" customWidth="1"/>
    <col min="18" max="18" width="7.88671875" bestFit="1" customWidth="1"/>
  </cols>
  <sheetData>
    <row r="1" spans="1:12" s="1" customFormat="1" ht="30" customHeight="1" x14ac:dyDescent="0.25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6.4" x14ac:dyDescent="0.25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5">
      <c r="A3" t="s">
        <v>1</v>
      </c>
      <c r="B3" s="1">
        <v>2290</v>
      </c>
      <c r="C3">
        <v>19150</v>
      </c>
      <c r="D3"/>
      <c r="E3">
        <v>44013</v>
      </c>
      <c r="F3"/>
      <c r="G3">
        <v>10455</v>
      </c>
      <c r="H3"/>
      <c r="I3">
        <v>2802</v>
      </c>
      <c r="K3" s="10">
        <f t="shared" ref="K3:K34" si="0">SUM(C3+E3+G3+I3)</f>
        <v>76420</v>
      </c>
    </row>
    <row r="4" spans="1:12" x14ac:dyDescent="0.25">
      <c r="A4" t="s">
        <v>2</v>
      </c>
      <c r="B4" s="1">
        <v>2291</v>
      </c>
      <c r="C4">
        <v>502318</v>
      </c>
      <c r="D4"/>
      <c r="E4">
        <v>263762</v>
      </c>
      <c r="F4"/>
      <c r="G4">
        <v>112023</v>
      </c>
      <c r="H4"/>
      <c r="I4">
        <v>37033</v>
      </c>
      <c r="K4" s="10">
        <f t="shared" si="0"/>
        <v>915136</v>
      </c>
    </row>
    <row r="5" spans="1:12" x14ac:dyDescent="0.25">
      <c r="A5" t="s">
        <v>3</v>
      </c>
      <c r="B5" s="1">
        <v>2292</v>
      </c>
      <c r="C5">
        <v>10680</v>
      </c>
      <c r="D5"/>
      <c r="E5">
        <v>27636</v>
      </c>
      <c r="F5"/>
      <c r="G5">
        <v>3681</v>
      </c>
      <c r="H5"/>
      <c r="I5">
        <v>1578</v>
      </c>
      <c r="K5" s="10">
        <f t="shared" si="0"/>
        <v>43575</v>
      </c>
    </row>
    <row r="6" spans="1:12" x14ac:dyDescent="0.25">
      <c r="A6" t="s">
        <v>4</v>
      </c>
      <c r="B6" s="1">
        <v>2293</v>
      </c>
      <c r="C6">
        <v>45843</v>
      </c>
      <c r="D6"/>
      <c r="E6">
        <v>51951</v>
      </c>
      <c r="F6"/>
      <c r="G6">
        <v>11701</v>
      </c>
      <c r="H6"/>
      <c r="I6">
        <v>4733</v>
      </c>
      <c r="K6" s="10">
        <f t="shared" si="0"/>
        <v>114228</v>
      </c>
    </row>
    <row r="7" spans="1:12" x14ac:dyDescent="0.25">
      <c r="A7" t="s">
        <v>5</v>
      </c>
      <c r="B7" s="1">
        <v>2294</v>
      </c>
      <c r="C7">
        <v>5282</v>
      </c>
      <c r="D7"/>
      <c r="E7">
        <v>24567</v>
      </c>
      <c r="F7"/>
      <c r="G7">
        <v>2283</v>
      </c>
      <c r="H7"/>
      <c r="I7">
        <v>889</v>
      </c>
      <c r="K7" s="10">
        <f t="shared" si="0"/>
        <v>33021</v>
      </c>
    </row>
    <row r="8" spans="1:12" x14ac:dyDescent="0.25">
      <c r="A8" t="s">
        <v>6</v>
      </c>
      <c r="B8" s="1">
        <v>2295</v>
      </c>
      <c r="C8">
        <v>104182</v>
      </c>
      <c r="D8"/>
      <c r="E8">
        <v>118142</v>
      </c>
      <c r="F8"/>
      <c r="G8">
        <v>40642</v>
      </c>
      <c r="H8"/>
      <c r="I8">
        <v>10407</v>
      </c>
      <c r="K8" s="10">
        <f t="shared" si="0"/>
        <v>273373</v>
      </c>
    </row>
    <row r="9" spans="1:12" x14ac:dyDescent="0.25">
      <c r="A9" t="s">
        <v>7</v>
      </c>
      <c r="B9" s="1">
        <v>2296</v>
      </c>
      <c r="C9">
        <v>19769</v>
      </c>
      <c r="D9"/>
      <c r="E9">
        <v>50711</v>
      </c>
      <c r="F9"/>
      <c r="G9">
        <v>8375</v>
      </c>
      <c r="H9"/>
      <c r="I9">
        <v>2716</v>
      </c>
      <c r="K9" s="10">
        <f t="shared" si="0"/>
        <v>81571</v>
      </c>
    </row>
    <row r="10" spans="1:12" x14ac:dyDescent="0.25">
      <c r="A10" t="s">
        <v>8</v>
      </c>
      <c r="B10" s="1">
        <v>2297</v>
      </c>
      <c r="C10">
        <v>7813</v>
      </c>
      <c r="D10"/>
      <c r="E10">
        <v>25646</v>
      </c>
      <c r="F10"/>
      <c r="G10">
        <v>3827</v>
      </c>
      <c r="H10"/>
      <c r="I10">
        <v>1531</v>
      </c>
      <c r="K10" s="10">
        <f t="shared" si="0"/>
        <v>38817</v>
      </c>
    </row>
    <row r="11" spans="1:12" x14ac:dyDescent="0.25">
      <c r="A11" t="s">
        <v>9</v>
      </c>
      <c r="B11" s="1">
        <v>2298</v>
      </c>
      <c r="C11">
        <v>193804</v>
      </c>
      <c r="D11"/>
      <c r="E11">
        <v>202396</v>
      </c>
      <c r="F11"/>
      <c r="G11">
        <v>69187</v>
      </c>
      <c r="H11"/>
      <c r="I11">
        <v>18489</v>
      </c>
      <c r="K11" s="10">
        <f t="shared" si="0"/>
        <v>483876</v>
      </c>
    </row>
    <row r="12" spans="1:12" x14ac:dyDescent="0.25">
      <c r="A12" t="s">
        <v>10</v>
      </c>
      <c r="B12" s="1">
        <v>2299</v>
      </c>
      <c r="C12">
        <v>39101</v>
      </c>
      <c r="D12"/>
      <c r="E12">
        <v>82872</v>
      </c>
      <c r="F12"/>
      <c r="G12">
        <v>16140</v>
      </c>
      <c r="H12"/>
      <c r="I12">
        <v>5168</v>
      </c>
      <c r="K12" s="10">
        <f t="shared" si="0"/>
        <v>143281</v>
      </c>
    </row>
    <row r="13" spans="1:12" x14ac:dyDescent="0.25">
      <c r="A13" t="s">
        <v>11</v>
      </c>
      <c r="B13" s="1">
        <v>2300</v>
      </c>
      <c r="C13">
        <v>29492</v>
      </c>
      <c r="D13"/>
      <c r="E13">
        <v>46526</v>
      </c>
      <c r="F13"/>
      <c r="G13">
        <v>7777</v>
      </c>
      <c r="H13"/>
      <c r="I13">
        <v>2118</v>
      </c>
      <c r="K13" s="10">
        <f t="shared" si="0"/>
        <v>85913</v>
      </c>
    </row>
    <row r="14" spans="1:12" x14ac:dyDescent="0.25">
      <c r="A14" t="s">
        <v>12</v>
      </c>
      <c r="B14" s="1">
        <v>2301</v>
      </c>
      <c r="C14">
        <v>665</v>
      </c>
      <c r="D14"/>
      <c r="E14">
        <v>1838</v>
      </c>
      <c r="F14"/>
      <c r="G14">
        <v>251</v>
      </c>
      <c r="H14"/>
      <c r="I14">
        <v>123</v>
      </c>
      <c r="K14" s="10">
        <f t="shared" si="0"/>
        <v>2877</v>
      </c>
    </row>
    <row r="15" spans="1:12" x14ac:dyDescent="0.25">
      <c r="A15" t="s">
        <v>13</v>
      </c>
      <c r="B15" s="1">
        <v>2302</v>
      </c>
      <c r="C15">
        <v>14064</v>
      </c>
      <c r="D15"/>
      <c r="E15">
        <v>23851</v>
      </c>
      <c r="F15"/>
      <c r="G15">
        <v>5716</v>
      </c>
      <c r="H15"/>
      <c r="I15">
        <v>1922</v>
      </c>
      <c r="K15" s="10">
        <f t="shared" si="0"/>
        <v>45553</v>
      </c>
    </row>
    <row r="16" spans="1:12" x14ac:dyDescent="0.25">
      <c r="A16" t="s">
        <v>14</v>
      </c>
      <c r="B16" s="1">
        <v>2303</v>
      </c>
      <c r="C16">
        <v>41479</v>
      </c>
      <c r="D16"/>
      <c r="E16">
        <v>41907</v>
      </c>
      <c r="F16"/>
      <c r="G16">
        <v>15994</v>
      </c>
      <c r="H16"/>
      <c r="I16">
        <v>2699</v>
      </c>
      <c r="K16" s="10">
        <f t="shared" si="0"/>
        <v>102079</v>
      </c>
    </row>
    <row r="17" spans="1:11" x14ac:dyDescent="0.25">
      <c r="A17" t="s">
        <v>15</v>
      </c>
      <c r="B17" s="1">
        <v>2304</v>
      </c>
      <c r="C17">
        <v>160419</v>
      </c>
      <c r="D17"/>
      <c r="E17">
        <v>152138</v>
      </c>
      <c r="F17"/>
      <c r="G17">
        <v>58109</v>
      </c>
      <c r="H17"/>
      <c r="I17">
        <v>18011</v>
      </c>
      <c r="K17" s="10">
        <f t="shared" si="0"/>
        <v>388677</v>
      </c>
    </row>
    <row r="18" spans="1:11" x14ac:dyDescent="0.25">
      <c r="A18" t="s">
        <v>16</v>
      </c>
      <c r="B18" s="1">
        <v>2305</v>
      </c>
      <c r="C18">
        <v>5066</v>
      </c>
      <c r="D18"/>
      <c r="E18">
        <v>15566</v>
      </c>
      <c r="F18"/>
      <c r="G18">
        <v>2072</v>
      </c>
      <c r="H18"/>
      <c r="I18">
        <v>646</v>
      </c>
      <c r="K18" s="10">
        <f t="shared" si="0"/>
        <v>23350</v>
      </c>
    </row>
    <row r="19" spans="1:11" x14ac:dyDescent="0.25">
      <c r="A19" t="s">
        <v>17</v>
      </c>
      <c r="B19" s="1">
        <v>2306</v>
      </c>
      <c r="C19">
        <v>12053</v>
      </c>
      <c r="D19"/>
      <c r="E19">
        <v>31432</v>
      </c>
      <c r="F19"/>
      <c r="G19">
        <v>4281</v>
      </c>
      <c r="H19"/>
      <c r="I19">
        <v>1785</v>
      </c>
      <c r="K19" s="10">
        <f t="shared" si="0"/>
        <v>49551</v>
      </c>
    </row>
    <row r="20" spans="1:11" x14ac:dyDescent="0.25">
      <c r="A20" t="s">
        <v>18</v>
      </c>
      <c r="B20" s="1">
        <v>2307</v>
      </c>
      <c r="C20">
        <v>6064</v>
      </c>
      <c r="D20"/>
      <c r="E20">
        <v>13319</v>
      </c>
      <c r="F20"/>
      <c r="G20">
        <v>2397</v>
      </c>
      <c r="H20"/>
      <c r="I20">
        <v>744</v>
      </c>
      <c r="K20" s="10">
        <f t="shared" si="0"/>
        <v>22524</v>
      </c>
    </row>
    <row r="21" spans="1:11" x14ac:dyDescent="0.25">
      <c r="A21" t="s">
        <v>19</v>
      </c>
      <c r="B21" s="1">
        <v>2308</v>
      </c>
      <c r="C21">
        <v>11818</v>
      </c>
      <c r="D21"/>
      <c r="E21">
        <v>22444</v>
      </c>
      <c r="F21"/>
      <c r="G21">
        <v>4829</v>
      </c>
      <c r="H21"/>
      <c r="I21">
        <v>1494</v>
      </c>
      <c r="K21" s="10">
        <f t="shared" si="0"/>
        <v>40585</v>
      </c>
    </row>
    <row r="22" spans="1:11" x14ac:dyDescent="0.25">
      <c r="A22" t="s">
        <v>20</v>
      </c>
      <c r="B22" s="1">
        <v>2309</v>
      </c>
      <c r="C22">
        <v>14461</v>
      </c>
      <c r="D22"/>
      <c r="E22">
        <v>31855</v>
      </c>
      <c r="F22"/>
      <c r="G22">
        <v>4906</v>
      </c>
      <c r="H22"/>
      <c r="I22">
        <v>1842</v>
      </c>
      <c r="K22" s="10">
        <f t="shared" si="0"/>
        <v>53064</v>
      </c>
    </row>
    <row r="23" spans="1:11" x14ac:dyDescent="0.25">
      <c r="A23" t="s">
        <v>21</v>
      </c>
      <c r="B23" s="1">
        <v>2310</v>
      </c>
      <c r="C23">
        <v>61214</v>
      </c>
      <c r="D23"/>
      <c r="E23">
        <v>88446</v>
      </c>
      <c r="F23"/>
      <c r="G23">
        <v>26607</v>
      </c>
      <c r="H23"/>
      <c r="I23">
        <v>6502</v>
      </c>
      <c r="K23" s="10">
        <f t="shared" si="0"/>
        <v>182769</v>
      </c>
    </row>
    <row r="24" spans="1:11" x14ac:dyDescent="0.25">
      <c r="A24" t="s">
        <v>22</v>
      </c>
      <c r="B24" s="1">
        <v>2311</v>
      </c>
      <c r="C24">
        <v>85697</v>
      </c>
      <c r="D24"/>
      <c r="E24">
        <v>76241</v>
      </c>
      <c r="F24"/>
      <c r="G24">
        <v>30484</v>
      </c>
      <c r="H24"/>
      <c r="I24">
        <v>7267</v>
      </c>
      <c r="K24" s="10">
        <f t="shared" si="0"/>
        <v>199689</v>
      </c>
    </row>
    <row r="25" spans="1:11" x14ac:dyDescent="0.25">
      <c r="A25" t="s">
        <v>23</v>
      </c>
      <c r="B25" s="1">
        <v>2312</v>
      </c>
      <c r="C25">
        <v>202343</v>
      </c>
      <c r="D25"/>
      <c r="E25">
        <v>143382</v>
      </c>
      <c r="F25"/>
      <c r="G25">
        <v>48451</v>
      </c>
      <c r="H25"/>
      <c r="I25">
        <v>15772</v>
      </c>
      <c r="K25" s="10">
        <f t="shared" si="0"/>
        <v>409948</v>
      </c>
    </row>
    <row r="26" spans="1:11" x14ac:dyDescent="0.25">
      <c r="A26" t="s">
        <v>24</v>
      </c>
      <c r="B26" s="1">
        <v>2313</v>
      </c>
      <c r="C26">
        <v>5810</v>
      </c>
      <c r="D26"/>
      <c r="E26">
        <v>12137</v>
      </c>
      <c r="F26"/>
      <c r="G26">
        <v>1764</v>
      </c>
      <c r="H26"/>
      <c r="I26">
        <v>786</v>
      </c>
      <c r="K26" s="10">
        <f t="shared" si="0"/>
        <v>20497</v>
      </c>
    </row>
    <row r="27" spans="1:11" x14ac:dyDescent="0.25">
      <c r="A27" t="s">
        <v>25</v>
      </c>
      <c r="B27" s="1">
        <v>2314</v>
      </c>
      <c r="C27">
        <v>76489</v>
      </c>
      <c r="D27"/>
      <c r="E27">
        <v>70944</v>
      </c>
      <c r="F27"/>
      <c r="G27">
        <v>20640</v>
      </c>
      <c r="H27"/>
      <c r="I27">
        <v>6670</v>
      </c>
      <c r="K27" s="10">
        <f t="shared" si="0"/>
        <v>174743</v>
      </c>
    </row>
    <row r="28" spans="1:11" x14ac:dyDescent="0.25">
      <c r="A28" t="s">
        <v>26</v>
      </c>
      <c r="B28" s="1">
        <v>2315</v>
      </c>
      <c r="C28">
        <v>29616</v>
      </c>
      <c r="D28"/>
      <c r="E28">
        <v>41286</v>
      </c>
      <c r="F28"/>
      <c r="G28">
        <v>6601</v>
      </c>
      <c r="H28"/>
      <c r="I28">
        <v>2070</v>
      </c>
      <c r="K28" s="10">
        <f t="shared" si="0"/>
        <v>79573</v>
      </c>
    </row>
    <row r="29" spans="1:11" x14ac:dyDescent="0.25">
      <c r="A29" t="s">
        <v>27</v>
      </c>
      <c r="B29" s="1">
        <v>2316</v>
      </c>
      <c r="C29">
        <v>773</v>
      </c>
      <c r="D29"/>
      <c r="E29">
        <v>2032</v>
      </c>
      <c r="F29"/>
      <c r="G29">
        <v>267</v>
      </c>
      <c r="H29"/>
      <c r="I29">
        <v>123</v>
      </c>
      <c r="K29" s="10">
        <f t="shared" si="0"/>
        <v>3195</v>
      </c>
    </row>
    <row r="30" spans="1:11" x14ac:dyDescent="0.25">
      <c r="A30" t="s">
        <v>28</v>
      </c>
      <c r="B30" s="1">
        <v>2317</v>
      </c>
      <c r="C30">
        <v>23465</v>
      </c>
      <c r="D30"/>
      <c r="E30">
        <v>64415</v>
      </c>
      <c r="F30"/>
      <c r="G30">
        <v>13786</v>
      </c>
      <c r="H30"/>
      <c r="I30">
        <v>3418</v>
      </c>
      <c r="K30" s="10">
        <f t="shared" si="0"/>
        <v>105084</v>
      </c>
    </row>
    <row r="31" spans="1:11" x14ac:dyDescent="0.25">
      <c r="A31" t="s">
        <v>29</v>
      </c>
      <c r="B31" s="1">
        <v>2318</v>
      </c>
      <c r="C31">
        <v>1475</v>
      </c>
      <c r="D31"/>
      <c r="E31">
        <v>7478</v>
      </c>
      <c r="F31"/>
      <c r="G31">
        <v>888</v>
      </c>
      <c r="H31"/>
      <c r="I31">
        <v>266</v>
      </c>
      <c r="K31" s="10">
        <f t="shared" si="0"/>
        <v>10107</v>
      </c>
    </row>
    <row r="32" spans="1:11" x14ac:dyDescent="0.25">
      <c r="A32" t="s">
        <v>30</v>
      </c>
      <c r="B32" s="1">
        <v>2319</v>
      </c>
      <c r="C32">
        <v>7411</v>
      </c>
      <c r="D32"/>
      <c r="E32">
        <v>12116</v>
      </c>
      <c r="F32"/>
      <c r="G32">
        <v>1626</v>
      </c>
      <c r="H32"/>
      <c r="I32">
        <v>599</v>
      </c>
      <c r="K32" s="10">
        <f t="shared" si="0"/>
        <v>21752</v>
      </c>
    </row>
    <row r="33" spans="1:11" x14ac:dyDescent="0.25">
      <c r="A33" t="s">
        <v>31</v>
      </c>
      <c r="B33" s="1">
        <v>2320</v>
      </c>
      <c r="C33">
        <v>6038</v>
      </c>
      <c r="D33"/>
      <c r="E33">
        <v>18935</v>
      </c>
      <c r="F33"/>
      <c r="G33">
        <v>2359</v>
      </c>
      <c r="H33"/>
      <c r="I33">
        <v>592</v>
      </c>
      <c r="K33" s="10">
        <f t="shared" si="0"/>
        <v>27924</v>
      </c>
    </row>
    <row r="34" spans="1:11" x14ac:dyDescent="0.25">
      <c r="A34" t="s">
        <v>32</v>
      </c>
      <c r="B34" s="1">
        <v>2321</v>
      </c>
      <c r="C34">
        <v>13968</v>
      </c>
      <c r="D34"/>
      <c r="E34">
        <v>28897</v>
      </c>
      <c r="F34"/>
      <c r="G34">
        <v>4629</v>
      </c>
      <c r="H34"/>
      <c r="I34">
        <v>1683</v>
      </c>
      <c r="K34" s="10">
        <f t="shared" si="0"/>
        <v>49177</v>
      </c>
    </row>
    <row r="35" spans="1:11" x14ac:dyDescent="0.25">
      <c r="A35" t="s">
        <v>33</v>
      </c>
      <c r="B35" s="1">
        <v>2322</v>
      </c>
      <c r="C35">
        <v>5432</v>
      </c>
      <c r="D35"/>
      <c r="E35">
        <v>19457</v>
      </c>
      <c r="F35"/>
      <c r="G35">
        <v>2279</v>
      </c>
      <c r="H35"/>
      <c r="I35">
        <v>928</v>
      </c>
      <c r="K35" s="10">
        <f t="shared" ref="K35:K69" si="1">SUM(C35+E35+G35+I35)</f>
        <v>28096</v>
      </c>
    </row>
    <row r="36" spans="1:11" x14ac:dyDescent="0.25">
      <c r="A36" t="s">
        <v>34</v>
      </c>
      <c r="B36" s="1">
        <v>2323</v>
      </c>
      <c r="C36">
        <v>2544</v>
      </c>
      <c r="D36"/>
      <c r="E36">
        <v>10041</v>
      </c>
      <c r="F36"/>
      <c r="G36">
        <v>1167</v>
      </c>
      <c r="H36"/>
      <c r="I36">
        <v>330</v>
      </c>
      <c r="K36" s="10">
        <f t="shared" si="1"/>
        <v>14082</v>
      </c>
    </row>
    <row r="37" spans="1:11" x14ac:dyDescent="0.25">
      <c r="A37" t="s">
        <v>35</v>
      </c>
      <c r="B37" s="1">
        <v>2324</v>
      </c>
      <c r="C37">
        <v>76272</v>
      </c>
      <c r="D37"/>
      <c r="E37">
        <v>52281</v>
      </c>
      <c r="F37"/>
      <c r="G37">
        <v>16985</v>
      </c>
      <c r="H37"/>
      <c r="I37">
        <v>3450</v>
      </c>
      <c r="K37" s="10">
        <f t="shared" si="1"/>
        <v>148988</v>
      </c>
    </row>
    <row r="38" spans="1:11" x14ac:dyDescent="0.25">
      <c r="A38" t="s">
        <v>36</v>
      </c>
      <c r="B38" s="1">
        <v>2325</v>
      </c>
      <c r="C38">
        <v>112533</v>
      </c>
      <c r="D38"/>
      <c r="E38">
        <v>183988</v>
      </c>
      <c r="F38"/>
      <c r="G38">
        <v>50882</v>
      </c>
      <c r="H38"/>
      <c r="I38">
        <v>15996</v>
      </c>
      <c r="K38" s="10">
        <f t="shared" si="1"/>
        <v>363399</v>
      </c>
    </row>
    <row r="39" spans="1:11" x14ac:dyDescent="0.25">
      <c r="A39" t="s">
        <v>37</v>
      </c>
      <c r="B39" s="1">
        <v>2326</v>
      </c>
      <c r="C39">
        <v>19734</v>
      </c>
      <c r="D39"/>
      <c r="E39">
        <v>30195</v>
      </c>
      <c r="F39"/>
      <c r="G39">
        <v>5590</v>
      </c>
      <c r="H39"/>
      <c r="I39">
        <v>1901</v>
      </c>
      <c r="K39" s="10">
        <f t="shared" si="1"/>
        <v>57420</v>
      </c>
    </row>
    <row r="40" spans="1:11" x14ac:dyDescent="0.25">
      <c r="A40" t="s">
        <v>38</v>
      </c>
      <c r="B40" s="1">
        <v>2327</v>
      </c>
      <c r="C40">
        <v>25308</v>
      </c>
      <c r="D40"/>
      <c r="E40">
        <v>52604</v>
      </c>
      <c r="F40"/>
      <c r="G40">
        <v>12053</v>
      </c>
      <c r="H40"/>
      <c r="I40">
        <v>3696</v>
      </c>
      <c r="K40" s="10">
        <f t="shared" si="1"/>
        <v>93661</v>
      </c>
    </row>
    <row r="41" spans="1:11" x14ac:dyDescent="0.25">
      <c r="A41" t="s">
        <v>39</v>
      </c>
      <c r="B41" s="1">
        <v>2328</v>
      </c>
      <c r="C41">
        <v>110930</v>
      </c>
      <c r="D41"/>
      <c r="E41">
        <v>89728</v>
      </c>
      <c r="F41"/>
      <c r="G41">
        <v>45007</v>
      </c>
      <c r="H41"/>
      <c r="I41">
        <v>7330</v>
      </c>
      <c r="K41" s="10">
        <f t="shared" si="1"/>
        <v>252995</v>
      </c>
    </row>
    <row r="42" spans="1:11" x14ac:dyDescent="0.25">
      <c r="A42" t="s">
        <v>40</v>
      </c>
      <c r="B42" s="1">
        <v>2329</v>
      </c>
      <c r="C42">
        <v>84110</v>
      </c>
      <c r="D42"/>
      <c r="E42">
        <v>91204</v>
      </c>
      <c r="F42"/>
      <c r="G42">
        <v>25244</v>
      </c>
      <c r="H42"/>
      <c r="I42">
        <v>5670</v>
      </c>
      <c r="K42" s="10">
        <f t="shared" si="1"/>
        <v>206228</v>
      </c>
    </row>
    <row r="43" spans="1:11" x14ac:dyDescent="0.25">
      <c r="A43" t="s">
        <v>41</v>
      </c>
      <c r="B43" s="1">
        <v>2330</v>
      </c>
      <c r="C43">
        <v>18170</v>
      </c>
      <c r="D43"/>
      <c r="E43">
        <v>43862</v>
      </c>
      <c r="F43"/>
      <c r="G43">
        <v>7820</v>
      </c>
      <c r="H43"/>
      <c r="I43">
        <v>2726</v>
      </c>
      <c r="K43" s="10">
        <f t="shared" si="1"/>
        <v>72578</v>
      </c>
    </row>
    <row r="44" spans="1:11" x14ac:dyDescent="0.25">
      <c r="A44" t="s">
        <v>91</v>
      </c>
      <c r="B44" s="1">
        <v>2331</v>
      </c>
      <c r="C44">
        <v>5284</v>
      </c>
      <c r="D44"/>
      <c r="E44">
        <v>16165</v>
      </c>
      <c r="F44"/>
      <c r="G44">
        <v>2699</v>
      </c>
      <c r="H44"/>
      <c r="I44">
        <v>1026</v>
      </c>
      <c r="K44" s="10">
        <f t="shared" si="1"/>
        <v>25174</v>
      </c>
    </row>
    <row r="45" spans="1:11" x14ac:dyDescent="0.25">
      <c r="A45" t="s">
        <v>43</v>
      </c>
      <c r="B45" s="1">
        <v>2332</v>
      </c>
      <c r="C45">
        <v>23151</v>
      </c>
      <c r="D45"/>
      <c r="E45">
        <v>38308</v>
      </c>
      <c r="F45"/>
      <c r="G45">
        <v>8356</v>
      </c>
      <c r="H45"/>
      <c r="I45">
        <v>2032</v>
      </c>
      <c r="K45" s="10">
        <f t="shared" si="1"/>
        <v>71847</v>
      </c>
    </row>
    <row r="46" spans="1:11" x14ac:dyDescent="0.25">
      <c r="A46" t="s">
        <v>44</v>
      </c>
      <c r="B46" s="1">
        <v>2333</v>
      </c>
      <c r="C46">
        <v>5365</v>
      </c>
      <c r="D46"/>
      <c r="E46">
        <v>18641</v>
      </c>
      <c r="F46"/>
      <c r="G46">
        <v>2499</v>
      </c>
      <c r="H46"/>
      <c r="I46">
        <v>620</v>
      </c>
      <c r="K46" s="10">
        <f t="shared" si="1"/>
        <v>27125</v>
      </c>
    </row>
    <row r="47" spans="1:11" x14ac:dyDescent="0.25">
      <c r="A47" t="s">
        <v>45</v>
      </c>
      <c r="B47" s="1">
        <v>2334</v>
      </c>
      <c r="C47">
        <v>48428</v>
      </c>
      <c r="D47"/>
      <c r="E47">
        <v>43258</v>
      </c>
      <c r="F47"/>
      <c r="G47">
        <v>20374</v>
      </c>
      <c r="H47"/>
      <c r="I47">
        <v>5006</v>
      </c>
      <c r="K47" s="10">
        <f t="shared" si="1"/>
        <v>117066</v>
      </c>
    </row>
    <row r="48" spans="1:11" x14ac:dyDescent="0.25">
      <c r="A48" t="s">
        <v>46</v>
      </c>
      <c r="B48" s="1">
        <v>2335</v>
      </c>
      <c r="C48">
        <v>304603</v>
      </c>
      <c r="D48"/>
      <c r="E48">
        <v>208099</v>
      </c>
      <c r="F48"/>
      <c r="G48">
        <v>83123</v>
      </c>
      <c r="H48"/>
      <c r="I48">
        <v>26206</v>
      </c>
      <c r="K48" s="10">
        <f t="shared" si="1"/>
        <v>622031</v>
      </c>
    </row>
    <row r="49" spans="1:11" x14ac:dyDescent="0.25">
      <c r="A49" t="s">
        <v>47</v>
      </c>
      <c r="B49" s="1">
        <v>2336</v>
      </c>
      <c r="C49">
        <v>3759</v>
      </c>
      <c r="D49"/>
      <c r="E49">
        <v>6565</v>
      </c>
      <c r="F49"/>
      <c r="G49">
        <v>1599</v>
      </c>
      <c r="H49"/>
      <c r="I49">
        <v>403</v>
      </c>
      <c r="K49" s="10">
        <f t="shared" si="1"/>
        <v>12326</v>
      </c>
    </row>
    <row r="50" spans="1:11" x14ac:dyDescent="0.25">
      <c r="A50" t="s">
        <v>48</v>
      </c>
      <c r="B50" s="1">
        <v>2337</v>
      </c>
      <c r="C50">
        <v>95601</v>
      </c>
      <c r="D50"/>
      <c r="E50">
        <v>86925</v>
      </c>
      <c r="F50"/>
      <c r="G50">
        <v>39092</v>
      </c>
      <c r="H50"/>
      <c r="I50">
        <v>9608</v>
      </c>
      <c r="K50" s="10">
        <f t="shared" si="1"/>
        <v>231226</v>
      </c>
    </row>
    <row r="51" spans="1:11" x14ac:dyDescent="0.25">
      <c r="A51" t="s">
        <v>49</v>
      </c>
      <c r="B51" s="1">
        <v>2338</v>
      </c>
      <c r="C51">
        <v>15318</v>
      </c>
      <c r="D51"/>
      <c r="E51">
        <v>31950</v>
      </c>
      <c r="F51"/>
      <c r="G51">
        <v>5775</v>
      </c>
      <c r="H51"/>
      <c r="I51">
        <v>2244</v>
      </c>
      <c r="K51" s="10">
        <f t="shared" si="1"/>
        <v>55287</v>
      </c>
    </row>
    <row r="52" spans="1:11" x14ac:dyDescent="0.25">
      <c r="A52" t="s">
        <v>50</v>
      </c>
      <c r="B52" s="1">
        <v>2339</v>
      </c>
      <c r="C52">
        <v>5991</v>
      </c>
      <c r="D52"/>
      <c r="E52">
        <v>20995</v>
      </c>
      <c r="F52"/>
      <c r="G52">
        <v>3364</v>
      </c>
      <c r="H52"/>
      <c r="I52">
        <v>851</v>
      </c>
      <c r="K52" s="10">
        <f t="shared" si="1"/>
        <v>31201</v>
      </c>
    </row>
    <row r="53" spans="1:11" x14ac:dyDescent="0.25">
      <c r="A53" t="s">
        <v>51</v>
      </c>
      <c r="B53" s="1">
        <v>2340</v>
      </c>
      <c r="C53">
        <v>774360</v>
      </c>
      <c r="D53"/>
      <c r="E53">
        <v>131427</v>
      </c>
      <c r="F53"/>
      <c r="G53">
        <v>148494</v>
      </c>
      <c r="H53"/>
      <c r="I53">
        <v>26374</v>
      </c>
      <c r="K53" s="10">
        <f t="shared" si="1"/>
        <v>1080655</v>
      </c>
    </row>
    <row r="54" spans="1:11" x14ac:dyDescent="0.25">
      <c r="A54" t="s">
        <v>52</v>
      </c>
      <c r="B54" s="1">
        <v>2341</v>
      </c>
      <c r="C54">
        <v>13575</v>
      </c>
      <c r="D54"/>
      <c r="E54">
        <v>22989</v>
      </c>
      <c r="F54"/>
      <c r="G54">
        <v>8401</v>
      </c>
      <c r="H54"/>
      <c r="I54">
        <v>2153</v>
      </c>
      <c r="K54" s="10">
        <f t="shared" si="1"/>
        <v>47118</v>
      </c>
    </row>
    <row r="55" spans="1:11" x14ac:dyDescent="0.25">
      <c r="A55" t="s">
        <v>53</v>
      </c>
      <c r="B55" s="1">
        <v>2342</v>
      </c>
      <c r="C55">
        <v>1743</v>
      </c>
      <c r="D55"/>
      <c r="E55">
        <v>8029</v>
      </c>
      <c r="F55"/>
      <c r="G55">
        <v>989</v>
      </c>
      <c r="H55"/>
      <c r="I55">
        <v>275</v>
      </c>
      <c r="K55" s="10">
        <f t="shared" si="1"/>
        <v>11036</v>
      </c>
    </row>
    <row r="56" spans="1:11" x14ac:dyDescent="0.25">
      <c r="A56" t="s">
        <v>54</v>
      </c>
      <c r="B56" s="1">
        <v>2343</v>
      </c>
      <c r="C56">
        <v>25334</v>
      </c>
      <c r="D56"/>
      <c r="E56">
        <v>53144</v>
      </c>
      <c r="F56"/>
      <c r="G56">
        <v>9934</v>
      </c>
      <c r="H56"/>
      <c r="I56">
        <v>3782</v>
      </c>
      <c r="K56" s="10">
        <f t="shared" si="1"/>
        <v>92194</v>
      </c>
    </row>
    <row r="57" spans="1:11" x14ac:dyDescent="0.25">
      <c r="A57" t="s">
        <v>55</v>
      </c>
      <c r="B57" s="1">
        <v>2344</v>
      </c>
      <c r="C57">
        <v>4886</v>
      </c>
      <c r="D57"/>
      <c r="E57">
        <v>15956</v>
      </c>
      <c r="F57"/>
      <c r="G57">
        <v>2340</v>
      </c>
      <c r="H57"/>
      <c r="I57">
        <v>665</v>
      </c>
      <c r="K57" s="10">
        <f t="shared" si="1"/>
        <v>23847</v>
      </c>
    </row>
    <row r="58" spans="1:11" x14ac:dyDescent="0.25">
      <c r="A58" t="s">
        <v>56</v>
      </c>
      <c r="B58" s="1">
        <v>2345</v>
      </c>
      <c r="C58">
        <v>10500</v>
      </c>
      <c r="D58"/>
      <c r="E58">
        <v>32819</v>
      </c>
      <c r="F58"/>
      <c r="G58">
        <v>4349</v>
      </c>
      <c r="H58"/>
      <c r="I58">
        <v>764</v>
      </c>
      <c r="K58" s="10">
        <f t="shared" si="1"/>
        <v>48432</v>
      </c>
    </row>
    <row r="59" spans="1:11" x14ac:dyDescent="0.25">
      <c r="A59" t="s">
        <v>57</v>
      </c>
      <c r="B59" s="1">
        <v>2346</v>
      </c>
      <c r="C59">
        <v>1063</v>
      </c>
      <c r="D59"/>
      <c r="E59">
        <v>2845</v>
      </c>
      <c r="F59"/>
      <c r="G59">
        <v>371</v>
      </c>
      <c r="H59"/>
      <c r="I59">
        <v>161</v>
      </c>
      <c r="K59" s="10">
        <f t="shared" si="1"/>
        <v>4440</v>
      </c>
    </row>
    <row r="60" spans="1:11" x14ac:dyDescent="0.25">
      <c r="A60" t="s">
        <v>58</v>
      </c>
      <c r="B60" s="1">
        <v>2347</v>
      </c>
      <c r="C60">
        <v>6257</v>
      </c>
      <c r="D60"/>
      <c r="E60">
        <v>17568</v>
      </c>
      <c r="F60"/>
      <c r="G60">
        <v>2916</v>
      </c>
      <c r="H60"/>
      <c r="I60">
        <v>1156</v>
      </c>
      <c r="K60" s="10">
        <f t="shared" si="1"/>
        <v>27897</v>
      </c>
    </row>
    <row r="61" spans="1:11" x14ac:dyDescent="0.25">
      <c r="A61" t="s">
        <v>59</v>
      </c>
      <c r="B61" s="1">
        <v>2348</v>
      </c>
      <c r="C61">
        <v>4925</v>
      </c>
      <c r="D61"/>
      <c r="E61">
        <v>18113</v>
      </c>
      <c r="F61"/>
      <c r="G61">
        <v>2918</v>
      </c>
      <c r="H61"/>
      <c r="I61">
        <v>794</v>
      </c>
      <c r="K61" s="10">
        <f t="shared" si="1"/>
        <v>26750</v>
      </c>
    </row>
    <row r="62" spans="1:11" x14ac:dyDescent="0.25">
      <c r="A62" t="s">
        <v>60</v>
      </c>
      <c r="B62" s="1">
        <v>2349</v>
      </c>
      <c r="C62">
        <v>7760</v>
      </c>
      <c r="D62"/>
      <c r="E62">
        <v>14407</v>
      </c>
      <c r="F62"/>
      <c r="G62">
        <v>3202</v>
      </c>
      <c r="H62"/>
      <c r="I62">
        <v>980</v>
      </c>
      <c r="K62" s="10">
        <f t="shared" si="1"/>
        <v>26349</v>
      </c>
    </row>
    <row r="63" spans="1:11" x14ac:dyDescent="0.25">
      <c r="A63" t="s">
        <v>61</v>
      </c>
      <c r="B63" s="1">
        <v>2350</v>
      </c>
      <c r="C63">
        <v>8052</v>
      </c>
      <c r="D63"/>
      <c r="E63">
        <v>20174</v>
      </c>
      <c r="F63"/>
      <c r="G63">
        <v>3367</v>
      </c>
      <c r="H63"/>
      <c r="I63">
        <v>1217</v>
      </c>
      <c r="K63" s="10">
        <f t="shared" si="1"/>
        <v>32810</v>
      </c>
    </row>
    <row r="64" spans="1:11" x14ac:dyDescent="0.25">
      <c r="A64" t="s">
        <v>62</v>
      </c>
      <c r="B64" s="1">
        <v>2351</v>
      </c>
      <c r="C64">
        <v>6360</v>
      </c>
      <c r="D64"/>
      <c r="E64">
        <v>15263</v>
      </c>
      <c r="F64"/>
      <c r="G64">
        <v>2550</v>
      </c>
      <c r="H64"/>
      <c r="I64">
        <v>1259</v>
      </c>
      <c r="K64" s="10">
        <f t="shared" si="1"/>
        <v>25432</v>
      </c>
    </row>
    <row r="65" spans="1:11" x14ac:dyDescent="0.25">
      <c r="A65" t="s">
        <v>63</v>
      </c>
      <c r="B65" s="1">
        <v>2352</v>
      </c>
      <c r="C65">
        <v>52883</v>
      </c>
      <c r="D65"/>
      <c r="E65">
        <v>72956</v>
      </c>
      <c r="F65"/>
      <c r="G65">
        <v>15832</v>
      </c>
      <c r="H65"/>
      <c r="I65">
        <v>3801</v>
      </c>
      <c r="K65" s="10">
        <f t="shared" si="1"/>
        <v>145472</v>
      </c>
    </row>
    <row r="66" spans="1:11" x14ac:dyDescent="0.25">
      <c r="A66" t="s">
        <v>64</v>
      </c>
      <c r="B66" s="1">
        <v>2353</v>
      </c>
      <c r="C66">
        <v>8676</v>
      </c>
      <c r="D66"/>
      <c r="E66">
        <v>21717</v>
      </c>
      <c r="F66"/>
      <c r="G66">
        <v>5105</v>
      </c>
      <c r="H66"/>
      <c r="I66">
        <v>1056</v>
      </c>
      <c r="K66" s="10">
        <f t="shared" si="1"/>
        <v>36554</v>
      </c>
    </row>
    <row r="67" spans="1:11" x14ac:dyDescent="0.25">
      <c r="A67" t="s">
        <v>65</v>
      </c>
      <c r="B67" s="1">
        <v>2354</v>
      </c>
      <c r="C67">
        <v>86901</v>
      </c>
      <c r="D67"/>
      <c r="E67">
        <v>130919</v>
      </c>
      <c r="F67"/>
      <c r="G67">
        <v>23589</v>
      </c>
      <c r="H67"/>
      <c r="I67">
        <v>9230</v>
      </c>
      <c r="K67" s="10">
        <f t="shared" si="1"/>
        <v>250639</v>
      </c>
    </row>
    <row r="68" spans="1:11" x14ac:dyDescent="0.25">
      <c r="A68" t="s">
        <v>66</v>
      </c>
      <c r="B68" s="1">
        <v>2355</v>
      </c>
      <c r="C68">
        <v>4683</v>
      </c>
      <c r="D68"/>
      <c r="E68">
        <v>11340</v>
      </c>
      <c r="F68"/>
      <c r="G68">
        <v>1785</v>
      </c>
      <c r="H68"/>
      <c r="I68">
        <v>662</v>
      </c>
      <c r="K68" s="10">
        <f t="shared" si="1"/>
        <v>18470</v>
      </c>
    </row>
    <row r="69" spans="1:11" ht="13.8" thickBot="1" x14ac:dyDescent="0.3">
      <c r="A69" s="2" t="s">
        <v>67</v>
      </c>
      <c r="B69" s="5">
        <v>2356</v>
      </c>
      <c r="C69">
        <v>95967</v>
      </c>
      <c r="D69"/>
      <c r="E69">
        <v>168331</v>
      </c>
      <c r="F69"/>
      <c r="G69">
        <v>52757</v>
      </c>
      <c r="H69"/>
      <c r="I69">
        <v>8789</v>
      </c>
      <c r="J69" s="13"/>
      <c r="K69" s="10">
        <f t="shared" si="1"/>
        <v>325844</v>
      </c>
    </row>
    <row r="70" spans="1:11" ht="21.75" customHeight="1" x14ac:dyDescent="0.25">
      <c r="A70" s="6" t="s">
        <v>68</v>
      </c>
      <c r="C70" s="14">
        <f>SUM(C3:C69)</f>
        <v>3834280</v>
      </c>
      <c r="D70" s="14"/>
      <c r="E70" s="14">
        <f>SUM(E3:E69)</f>
        <v>3641144</v>
      </c>
      <c r="F70" s="14"/>
      <c r="G70" s="14">
        <f>SUM(G3:G69)</f>
        <v>1165555</v>
      </c>
      <c r="H70" s="14"/>
      <c r="I70" s="14">
        <f>SUM(I3:I69)</f>
        <v>315619</v>
      </c>
      <c r="J70" s="14"/>
      <c r="K70" s="44">
        <f>SUM(K3:K69)</f>
        <v>8956598</v>
      </c>
    </row>
    <row r="71" spans="1:11" x14ac:dyDescent="0.25">
      <c r="I71" s="31"/>
    </row>
    <row r="73" spans="1:11" x14ac:dyDescent="0.25">
      <c r="I73" s="11"/>
      <c r="K73" s="11"/>
    </row>
    <row r="75" spans="1:11" x14ac:dyDescent="0.25">
      <c r="E75" s="40"/>
      <c r="K75" s="10"/>
    </row>
    <row r="76" spans="1:11" x14ac:dyDescent="0.25">
      <c r="E76" s="40"/>
    </row>
    <row r="77" spans="1:11" x14ac:dyDescent="0.25">
      <c r="E77" s="40"/>
    </row>
    <row r="78" spans="1:11" x14ac:dyDescent="0.25">
      <c r="E78" s="40"/>
    </row>
    <row r="79" spans="1:11" x14ac:dyDescent="0.25">
      <c r="E79" s="40"/>
    </row>
    <row r="80" spans="1:11" x14ac:dyDescent="0.25">
      <c r="C80" s="40"/>
      <c r="E80" s="40"/>
    </row>
    <row r="81" spans="3:11" x14ac:dyDescent="0.25">
      <c r="E81" s="41"/>
    </row>
    <row r="82" spans="3:11" x14ac:dyDescent="0.25">
      <c r="E82" s="41"/>
      <c r="K82"/>
    </row>
    <row r="83" spans="3:11" x14ac:dyDescent="0.25">
      <c r="E83" s="41"/>
      <c r="K83"/>
    </row>
    <row r="84" spans="3:11" x14ac:dyDescent="0.25">
      <c r="C84" s="10"/>
      <c r="K84"/>
    </row>
    <row r="85" spans="3:11" x14ac:dyDescent="0.25">
      <c r="K85"/>
    </row>
    <row r="86" spans="3:11" x14ac:dyDescent="0.25">
      <c r="C86" s="1"/>
      <c r="K86"/>
    </row>
    <row r="87" spans="3:11" x14ac:dyDescent="0.25">
      <c r="K87"/>
    </row>
    <row r="88" spans="3:11" x14ac:dyDescent="0.25">
      <c r="K88"/>
    </row>
    <row r="89" spans="3:11" x14ac:dyDescent="0.25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L80" sqref="L80"/>
    </sheetView>
  </sheetViews>
  <sheetFormatPr defaultColWidth="9.109375" defaultRowHeight="13.2" x14ac:dyDescent="0.25"/>
  <cols>
    <col min="1" max="1" width="19.109375" style="11" bestFit="1" customWidth="1"/>
    <col min="2" max="2" width="10.44140625" customWidth="1"/>
    <col min="3" max="3" width="12.5546875" customWidth="1"/>
    <col min="4" max="4" width="11" customWidth="1"/>
    <col min="5" max="5" width="12.44140625" customWidth="1"/>
    <col min="6" max="6" width="11.88671875" customWidth="1"/>
    <col min="7" max="7" width="11.109375" customWidth="1"/>
    <col min="8" max="8" width="15.109375" customWidth="1"/>
    <col min="9" max="9" width="13.5546875" customWidth="1"/>
    <col min="10" max="10" width="8" style="1" customWidth="1"/>
    <col min="12" max="12" width="11.33203125" bestFit="1" customWidth="1"/>
    <col min="13" max="13" width="10.5546875" bestFit="1" customWidth="1"/>
    <col min="14" max="14" width="11.33203125" bestFit="1" customWidth="1"/>
    <col min="15" max="15" width="10" bestFit="1" customWidth="1"/>
  </cols>
  <sheetData>
    <row r="1" spans="1:15" x14ac:dyDescent="0.25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5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5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5">
      <c r="A4" s="64" t="s">
        <v>1</v>
      </c>
      <c r="B4" s="42">
        <v>15</v>
      </c>
      <c r="C4" s="42">
        <v>28</v>
      </c>
      <c r="D4" s="42">
        <v>16</v>
      </c>
      <c r="E4" s="42">
        <v>19</v>
      </c>
      <c r="F4" s="42">
        <v>86</v>
      </c>
      <c r="G4" s="42">
        <v>121</v>
      </c>
      <c r="H4" s="42">
        <v>90</v>
      </c>
      <c r="I4" s="42">
        <v>121</v>
      </c>
      <c r="J4"/>
      <c r="K4" s="11"/>
      <c r="L4" s="11"/>
      <c r="M4" s="11"/>
      <c r="N4" s="11"/>
      <c r="O4" s="11"/>
    </row>
    <row r="5" spans="1:15" x14ac:dyDescent="0.25">
      <c r="A5" s="64" t="s">
        <v>2</v>
      </c>
      <c r="B5" s="42">
        <v>0</v>
      </c>
      <c r="C5" s="42">
        <v>0</v>
      </c>
      <c r="D5" s="42">
        <v>0</v>
      </c>
      <c r="E5" s="42">
        <v>0</v>
      </c>
      <c r="F5" s="42">
        <v>787</v>
      </c>
      <c r="G5" s="42">
        <v>1329</v>
      </c>
      <c r="H5" s="42">
        <v>810</v>
      </c>
      <c r="I5" s="42">
        <v>391</v>
      </c>
      <c r="J5"/>
      <c r="K5" s="11"/>
      <c r="L5" s="11"/>
      <c r="M5" s="11"/>
      <c r="N5" s="11"/>
      <c r="O5" s="11"/>
    </row>
    <row r="6" spans="1:15" x14ac:dyDescent="0.25">
      <c r="A6" s="64" t="s">
        <v>3</v>
      </c>
      <c r="B6" s="42">
        <v>5</v>
      </c>
      <c r="C6" s="42">
        <v>3</v>
      </c>
      <c r="D6" s="42">
        <v>8</v>
      </c>
      <c r="E6" s="42">
        <v>4</v>
      </c>
      <c r="F6" s="42">
        <v>28</v>
      </c>
      <c r="G6" s="42">
        <v>31</v>
      </c>
      <c r="H6" s="42">
        <v>73</v>
      </c>
      <c r="I6" s="42">
        <v>30</v>
      </c>
      <c r="J6"/>
      <c r="K6" s="11"/>
      <c r="L6" s="11"/>
      <c r="M6" s="11"/>
      <c r="N6" s="11"/>
      <c r="O6" s="11"/>
    </row>
    <row r="7" spans="1:15" x14ac:dyDescent="0.25">
      <c r="A7" s="64" t="s">
        <v>4</v>
      </c>
      <c r="B7" s="42">
        <v>20</v>
      </c>
      <c r="C7" s="42">
        <v>15</v>
      </c>
      <c r="D7" s="42">
        <v>26</v>
      </c>
      <c r="E7" s="42">
        <v>11</v>
      </c>
      <c r="F7" s="42">
        <v>97</v>
      </c>
      <c r="G7" s="42">
        <v>143</v>
      </c>
      <c r="H7" s="42">
        <v>177</v>
      </c>
      <c r="I7" s="42">
        <v>67</v>
      </c>
      <c r="J7"/>
      <c r="K7" s="11"/>
      <c r="L7" s="11"/>
      <c r="M7" s="11"/>
      <c r="N7" s="11"/>
      <c r="O7" s="11"/>
    </row>
    <row r="8" spans="1:15" x14ac:dyDescent="0.25">
      <c r="A8" s="64" t="s">
        <v>5</v>
      </c>
      <c r="B8" s="42">
        <v>0</v>
      </c>
      <c r="C8" s="42">
        <v>0</v>
      </c>
      <c r="D8" s="42">
        <v>0</v>
      </c>
      <c r="E8" s="42">
        <v>0</v>
      </c>
      <c r="F8" s="42">
        <v>13</v>
      </c>
      <c r="G8" s="42">
        <v>14</v>
      </c>
      <c r="H8" s="42">
        <v>21</v>
      </c>
      <c r="I8" s="42">
        <v>16</v>
      </c>
      <c r="J8"/>
      <c r="K8" s="11"/>
      <c r="L8" s="11"/>
      <c r="M8" s="11"/>
      <c r="N8" s="11"/>
      <c r="O8" s="11"/>
    </row>
    <row r="9" spans="1:15" x14ac:dyDescent="0.25">
      <c r="A9" s="64" t="s">
        <v>6</v>
      </c>
      <c r="B9" s="42">
        <v>0</v>
      </c>
      <c r="C9" s="42">
        <v>0</v>
      </c>
      <c r="D9" s="42">
        <v>0</v>
      </c>
      <c r="E9" s="42">
        <v>0</v>
      </c>
      <c r="F9" s="42">
        <v>337</v>
      </c>
      <c r="G9" s="42">
        <v>495</v>
      </c>
      <c r="H9" s="42">
        <v>423</v>
      </c>
      <c r="I9" s="42">
        <v>335</v>
      </c>
      <c r="J9"/>
      <c r="K9" s="11"/>
      <c r="L9" s="11"/>
      <c r="M9" s="11"/>
      <c r="N9" s="11"/>
      <c r="O9" s="11"/>
    </row>
    <row r="10" spans="1:15" x14ac:dyDescent="0.25">
      <c r="A10" s="64" t="s">
        <v>7</v>
      </c>
      <c r="B10" s="42">
        <v>17</v>
      </c>
      <c r="C10" s="42">
        <v>20</v>
      </c>
      <c r="D10" s="42">
        <v>12</v>
      </c>
      <c r="E10" s="42">
        <v>19</v>
      </c>
      <c r="F10" s="42">
        <v>77</v>
      </c>
      <c r="G10" s="42">
        <v>103</v>
      </c>
      <c r="H10" s="42">
        <v>75</v>
      </c>
      <c r="I10" s="42">
        <v>73</v>
      </c>
      <c r="J10"/>
      <c r="K10" s="11"/>
      <c r="L10" s="11"/>
      <c r="M10" s="11"/>
      <c r="N10" s="11"/>
      <c r="O10" s="11"/>
    </row>
    <row r="11" spans="1:15" x14ac:dyDescent="0.25">
      <c r="A11" s="64" t="s">
        <v>8</v>
      </c>
      <c r="B11" s="42">
        <v>2</v>
      </c>
      <c r="C11" s="42">
        <v>10</v>
      </c>
      <c r="D11" s="42">
        <v>6</v>
      </c>
      <c r="E11" s="42">
        <v>14</v>
      </c>
      <c r="F11" s="42">
        <v>34</v>
      </c>
      <c r="G11" s="42">
        <v>38</v>
      </c>
      <c r="H11" s="42">
        <v>46</v>
      </c>
      <c r="I11" s="42">
        <v>62</v>
      </c>
      <c r="J11"/>
      <c r="K11" s="11"/>
      <c r="L11" s="11"/>
      <c r="M11" s="11"/>
      <c r="N11" s="11"/>
      <c r="O11" s="11"/>
    </row>
    <row r="12" spans="1:15" s="21" customFormat="1" x14ac:dyDescent="0.25">
      <c r="A12" s="65" t="s">
        <v>9</v>
      </c>
      <c r="B12" s="42">
        <v>46</v>
      </c>
      <c r="C12" s="42">
        <v>106</v>
      </c>
      <c r="D12" s="42">
        <v>37</v>
      </c>
      <c r="E12" s="42">
        <v>55</v>
      </c>
      <c r="F12" s="42">
        <v>672</v>
      </c>
      <c r="G12" s="42">
        <v>1160</v>
      </c>
      <c r="H12" s="42">
        <v>587</v>
      </c>
      <c r="I12" s="42">
        <v>613</v>
      </c>
      <c r="J12"/>
      <c r="K12" s="11"/>
      <c r="L12" s="11"/>
      <c r="M12" s="11"/>
      <c r="N12" s="11"/>
      <c r="O12" s="11"/>
    </row>
    <row r="13" spans="1:15" x14ac:dyDescent="0.25">
      <c r="A13" s="64" t="s">
        <v>10</v>
      </c>
      <c r="B13" s="42">
        <v>32</v>
      </c>
      <c r="C13" s="42">
        <v>36</v>
      </c>
      <c r="D13" s="42">
        <v>23</v>
      </c>
      <c r="E13" s="42">
        <v>26</v>
      </c>
      <c r="F13" s="42">
        <v>163</v>
      </c>
      <c r="G13" s="42">
        <v>206</v>
      </c>
      <c r="H13" s="42">
        <v>124</v>
      </c>
      <c r="I13" s="42">
        <v>137</v>
      </c>
      <c r="J13"/>
      <c r="K13" s="11"/>
      <c r="L13" s="11"/>
      <c r="M13" s="11"/>
      <c r="N13" s="11"/>
      <c r="O13" s="11"/>
    </row>
    <row r="14" spans="1:15" x14ac:dyDescent="0.25">
      <c r="A14" s="64" t="s">
        <v>11</v>
      </c>
      <c r="B14" s="42">
        <v>0</v>
      </c>
      <c r="C14" s="42">
        <v>0</v>
      </c>
      <c r="D14" s="42">
        <v>0</v>
      </c>
      <c r="E14" s="42">
        <v>0</v>
      </c>
      <c r="F14" s="42">
        <v>83</v>
      </c>
      <c r="G14" s="42">
        <v>71</v>
      </c>
      <c r="H14" s="42">
        <v>174</v>
      </c>
      <c r="I14" s="42">
        <v>64</v>
      </c>
      <c r="J14"/>
      <c r="K14" s="11"/>
      <c r="L14" s="11"/>
      <c r="M14" s="11"/>
      <c r="N14" s="11"/>
      <c r="O14" s="11"/>
    </row>
    <row r="15" spans="1:15" s="21" customFormat="1" x14ac:dyDescent="0.25">
      <c r="A15" s="65" t="s">
        <v>12</v>
      </c>
      <c r="B15" s="42">
        <v>0</v>
      </c>
      <c r="C15" s="42">
        <v>0</v>
      </c>
      <c r="D15" s="42">
        <v>0</v>
      </c>
      <c r="E15" s="42">
        <v>0</v>
      </c>
      <c r="F15" s="42">
        <v>1</v>
      </c>
      <c r="G15" s="42">
        <v>1</v>
      </c>
      <c r="H15" s="42">
        <v>7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5">
      <c r="A16" s="64" t="s">
        <v>13</v>
      </c>
      <c r="B16" s="42">
        <v>0</v>
      </c>
      <c r="C16" s="42">
        <v>0</v>
      </c>
      <c r="D16" s="42">
        <v>0</v>
      </c>
      <c r="E16" s="42">
        <v>0</v>
      </c>
      <c r="F16" s="42">
        <v>34</v>
      </c>
      <c r="G16" s="42">
        <v>70</v>
      </c>
      <c r="H16" s="42">
        <v>54</v>
      </c>
      <c r="I16" s="42">
        <v>43</v>
      </c>
      <c r="J16"/>
      <c r="K16" s="11"/>
      <c r="L16" s="11"/>
      <c r="M16" s="11"/>
      <c r="N16" s="11"/>
      <c r="O16" s="11"/>
    </row>
    <row r="17" spans="1:15" x14ac:dyDescent="0.25">
      <c r="A17" s="64" t="s">
        <v>14</v>
      </c>
      <c r="B17" s="42">
        <v>6</v>
      </c>
      <c r="C17" s="42">
        <v>2</v>
      </c>
      <c r="D17" s="42">
        <v>3</v>
      </c>
      <c r="E17" s="42">
        <v>3</v>
      </c>
      <c r="F17" s="42">
        <v>95</v>
      </c>
      <c r="G17" s="42">
        <v>132</v>
      </c>
      <c r="H17" s="42">
        <v>51</v>
      </c>
      <c r="I17" s="42">
        <v>78</v>
      </c>
      <c r="J17"/>
      <c r="K17" s="11"/>
      <c r="L17" s="11"/>
      <c r="M17" s="11"/>
      <c r="N17" s="11"/>
      <c r="O17" s="11"/>
    </row>
    <row r="18" spans="1:15" s="21" customFormat="1" x14ac:dyDescent="0.25">
      <c r="A18" s="65" t="s">
        <v>15</v>
      </c>
      <c r="B18" s="42">
        <v>0</v>
      </c>
      <c r="C18" s="42">
        <v>0</v>
      </c>
      <c r="D18" s="42">
        <v>0</v>
      </c>
      <c r="E18" s="42">
        <v>0</v>
      </c>
      <c r="F18" s="42">
        <v>577</v>
      </c>
      <c r="G18" s="42">
        <v>981</v>
      </c>
      <c r="H18" s="42">
        <v>316</v>
      </c>
      <c r="I18" s="42">
        <v>497</v>
      </c>
      <c r="J18"/>
      <c r="K18" s="11"/>
      <c r="L18" s="11"/>
      <c r="M18" s="11"/>
      <c r="N18" s="11"/>
      <c r="O18" s="11"/>
    </row>
    <row r="19" spans="1:15" x14ac:dyDescent="0.25">
      <c r="A19" s="64" t="s">
        <v>16</v>
      </c>
      <c r="B19" s="42">
        <v>0</v>
      </c>
      <c r="C19" s="42">
        <v>0</v>
      </c>
      <c r="D19" s="42">
        <v>0</v>
      </c>
      <c r="E19" s="42">
        <v>0</v>
      </c>
      <c r="F19" s="42">
        <v>11</v>
      </c>
      <c r="G19" s="42">
        <v>14</v>
      </c>
      <c r="H19" s="42">
        <v>18</v>
      </c>
      <c r="I19" s="42">
        <v>10</v>
      </c>
      <c r="J19"/>
      <c r="K19" s="11"/>
      <c r="L19" s="11"/>
      <c r="M19" s="11"/>
      <c r="N19" s="11"/>
      <c r="O19" s="11"/>
    </row>
    <row r="20" spans="1:15" x14ac:dyDescent="0.25">
      <c r="A20" s="64" t="s">
        <v>17</v>
      </c>
      <c r="B20" s="42">
        <v>1</v>
      </c>
      <c r="C20" s="42">
        <v>1</v>
      </c>
      <c r="D20" s="42">
        <v>2</v>
      </c>
      <c r="E20" s="42">
        <v>3</v>
      </c>
      <c r="F20" s="42">
        <v>27</v>
      </c>
      <c r="G20" s="42">
        <v>38</v>
      </c>
      <c r="H20" s="42">
        <v>82</v>
      </c>
      <c r="I20" s="42">
        <v>51</v>
      </c>
      <c r="J20"/>
      <c r="K20" s="11"/>
      <c r="L20" s="11"/>
      <c r="M20" s="11"/>
      <c r="N20" s="11"/>
      <c r="O20" s="11"/>
    </row>
    <row r="21" spans="1:15" x14ac:dyDescent="0.25">
      <c r="A21" s="64" t="s">
        <v>18</v>
      </c>
      <c r="B21" s="42">
        <v>5</v>
      </c>
      <c r="C21" s="42">
        <v>3</v>
      </c>
      <c r="D21" s="42">
        <v>4</v>
      </c>
      <c r="E21" s="42">
        <v>7</v>
      </c>
      <c r="F21" s="42">
        <v>19</v>
      </c>
      <c r="G21" s="42">
        <v>31</v>
      </c>
      <c r="H21" s="42">
        <v>27</v>
      </c>
      <c r="I21" s="42">
        <v>31</v>
      </c>
      <c r="J21"/>
      <c r="K21" s="11"/>
      <c r="L21" s="11"/>
      <c r="M21" s="11"/>
      <c r="N21" s="11"/>
      <c r="O21" s="11"/>
    </row>
    <row r="22" spans="1:15" x14ac:dyDescent="0.25">
      <c r="A22" s="64" t="s">
        <v>19</v>
      </c>
      <c r="B22" s="42">
        <v>3</v>
      </c>
      <c r="C22" s="42">
        <v>7</v>
      </c>
      <c r="D22" s="42">
        <v>0</v>
      </c>
      <c r="E22" s="42">
        <v>1</v>
      </c>
      <c r="F22" s="42">
        <v>33</v>
      </c>
      <c r="G22" s="42">
        <v>43</v>
      </c>
      <c r="H22" s="42">
        <v>34</v>
      </c>
      <c r="I22" s="42">
        <v>27</v>
      </c>
      <c r="J22"/>
      <c r="K22" s="11"/>
      <c r="L22" s="11"/>
      <c r="M22" s="11"/>
      <c r="N22" s="11"/>
      <c r="O22" s="11"/>
    </row>
    <row r="23" spans="1:15" x14ac:dyDescent="0.25">
      <c r="A23" s="64" t="s">
        <v>20</v>
      </c>
      <c r="B23" s="42">
        <v>0</v>
      </c>
      <c r="C23" s="42">
        <v>0</v>
      </c>
      <c r="D23" s="42">
        <v>0</v>
      </c>
      <c r="E23" s="42">
        <v>0</v>
      </c>
      <c r="F23" s="42">
        <v>44</v>
      </c>
      <c r="G23" s="42">
        <v>29</v>
      </c>
      <c r="H23" s="42">
        <v>47</v>
      </c>
      <c r="I23" s="42">
        <v>26</v>
      </c>
      <c r="J23"/>
      <c r="K23" s="11"/>
      <c r="L23" s="11"/>
      <c r="M23" s="11"/>
      <c r="N23" s="11"/>
      <c r="O23" s="11"/>
    </row>
    <row r="24" spans="1:15" x14ac:dyDescent="0.25">
      <c r="A24" s="64" t="s">
        <v>21</v>
      </c>
      <c r="B24" s="42">
        <v>0</v>
      </c>
      <c r="C24" s="42">
        <v>0</v>
      </c>
      <c r="D24" s="42">
        <v>0</v>
      </c>
      <c r="E24" s="42">
        <v>0</v>
      </c>
      <c r="F24" s="42">
        <v>267</v>
      </c>
      <c r="G24" s="42">
        <v>392</v>
      </c>
      <c r="H24" s="42">
        <v>172</v>
      </c>
      <c r="I24" s="42">
        <v>271</v>
      </c>
      <c r="J24"/>
      <c r="K24" s="11"/>
      <c r="L24" s="11"/>
      <c r="M24" s="11"/>
      <c r="N24" s="11"/>
      <c r="O24" s="11"/>
    </row>
    <row r="25" spans="1:15" x14ac:dyDescent="0.25">
      <c r="A25" s="64" t="s">
        <v>22</v>
      </c>
      <c r="B25" s="42">
        <v>32</v>
      </c>
      <c r="C25" s="42">
        <v>53</v>
      </c>
      <c r="D25" s="42">
        <v>19</v>
      </c>
      <c r="E25" s="42">
        <v>17</v>
      </c>
      <c r="F25" s="42">
        <v>435</v>
      </c>
      <c r="G25" s="42">
        <v>789</v>
      </c>
      <c r="H25" s="42">
        <v>254</v>
      </c>
      <c r="I25" s="42">
        <v>220</v>
      </c>
      <c r="J25"/>
      <c r="K25" s="11"/>
      <c r="L25" s="11"/>
      <c r="M25" s="11"/>
      <c r="N25" s="11"/>
      <c r="O25" s="11"/>
    </row>
    <row r="26" spans="1:15" x14ac:dyDescent="0.25">
      <c r="A26" s="64" t="s">
        <v>23</v>
      </c>
      <c r="B26" s="42">
        <v>0</v>
      </c>
      <c r="C26" s="42">
        <v>0</v>
      </c>
      <c r="D26" s="42">
        <v>0</v>
      </c>
      <c r="E26" s="42">
        <v>0</v>
      </c>
      <c r="F26" s="42">
        <v>477</v>
      </c>
      <c r="G26" s="42">
        <v>570</v>
      </c>
      <c r="H26" s="42">
        <v>302</v>
      </c>
      <c r="I26" s="42">
        <v>160</v>
      </c>
      <c r="J26"/>
      <c r="K26" s="11"/>
      <c r="L26" s="11"/>
      <c r="M26" s="11"/>
      <c r="N26" s="11"/>
      <c r="O26" s="11"/>
    </row>
    <row r="27" spans="1:15" x14ac:dyDescent="0.25">
      <c r="A27" s="64" t="s">
        <v>24</v>
      </c>
      <c r="B27" s="42">
        <v>0</v>
      </c>
      <c r="C27" s="42">
        <v>1</v>
      </c>
      <c r="D27" s="42">
        <v>3</v>
      </c>
      <c r="E27" s="42">
        <v>3</v>
      </c>
      <c r="F27" s="42">
        <v>18</v>
      </c>
      <c r="G27" s="42">
        <v>14</v>
      </c>
      <c r="H27" s="42">
        <v>35</v>
      </c>
      <c r="I27" s="42">
        <v>11</v>
      </c>
      <c r="J27"/>
      <c r="K27" s="11"/>
      <c r="L27" s="11"/>
      <c r="M27" s="11"/>
      <c r="N27" s="11"/>
      <c r="O27" s="11"/>
    </row>
    <row r="28" spans="1:15" x14ac:dyDescent="0.25">
      <c r="A28" s="64" t="s">
        <v>25</v>
      </c>
      <c r="B28" s="42">
        <v>0</v>
      </c>
      <c r="C28" s="42">
        <v>0</v>
      </c>
      <c r="D28" s="42">
        <v>0</v>
      </c>
      <c r="E28" s="42">
        <v>0</v>
      </c>
      <c r="F28" s="42">
        <v>198</v>
      </c>
      <c r="G28" s="42">
        <v>214</v>
      </c>
      <c r="H28" s="42">
        <v>209</v>
      </c>
      <c r="I28" s="42">
        <v>93</v>
      </c>
      <c r="J28"/>
      <c r="K28" s="11"/>
      <c r="L28" s="11"/>
      <c r="M28" s="11"/>
      <c r="N28" s="11"/>
      <c r="O28" s="11"/>
    </row>
    <row r="29" spans="1:15" x14ac:dyDescent="0.25">
      <c r="A29" s="64" t="s">
        <v>26</v>
      </c>
      <c r="B29" s="42">
        <v>0</v>
      </c>
      <c r="C29" s="42">
        <v>0</v>
      </c>
      <c r="D29" s="42">
        <v>0</v>
      </c>
      <c r="E29" s="42">
        <v>0</v>
      </c>
      <c r="F29" s="42">
        <v>80</v>
      </c>
      <c r="G29" s="42">
        <v>53</v>
      </c>
      <c r="H29" s="42">
        <v>190</v>
      </c>
      <c r="I29" s="42">
        <v>59</v>
      </c>
      <c r="J29"/>
      <c r="K29" s="11"/>
      <c r="L29" s="11"/>
      <c r="M29" s="11"/>
      <c r="N29" s="11"/>
      <c r="O29" s="11"/>
    </row>
    <row r="30" spans="1:15" x14ac:dyDescent="0.25">
      <c r="A30" s="64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2</v>
      </c>
      <c r="G30" s="42">
        <v>0</v>
      </c>
      <c r="H30" s="42">
        <v>3</v>
      </c>
      <c r="I30" s="42">
        <v>1</v>
      </c>
      <c r="J30"/>
      <c r="K30" s="11"/>
      <c r="L30" s="11"/>
      <c r="M30" s="11"/>
      <c r="N30" s="11"/>
      <c r="O30" s="11"/>
    </row>
    <row r="31" spans="1:15" x14ac:dyDescent="0.25">
      <c r="A31" s="64" t="s">
        <v>28</v>
      </c>
      <c r="B31" s="42">
        <v>23</v>
      </c>
      <c r="C31" s="42">
        <v>21</v>
      </c>
      <c r="D31" s="42">
        <v>8</v>
      </c>
      <c r="E31" s="42">
        <v>17</v>
      </c>
      <c r="F31" s="42">
        <v>139</v>
      </c>
      <c r="G31" s="42">
        <v>148</v>
      </c>
      <c r="H31" s="42">
        <v>100</v>
      </c>
      <c r="I31" s="42">
        <v>154</v>
      </c>
      <c r="J31"/>
      <c r="K31" s="11"/>
      <c r="L31" s="11"/>
      <c r="M31" s="11"/>
      <c r="N31" s="11"/>
      <c r="O31" s="11"/>
    </row>
    <row r="32" spans="1:15" x14ac:dyDescent="0.25">
      <c r="A32" s="64" t="s">
        <v>29</v>
      </c>
      <c r="B32" s="42">
        <v>0</v>
      </c>
      <c r="C32" s="42">
        <v>0</v>
      </c>
      <c r="D32" s="42">
        <v>0</v>
      </c>
      <c r="E32" s="42">
        <v>0</v>
      </c>
      <c r="F32" s="42">
        <v>4</v>
      </c>
      <c r="G32" s="42">
        <v>2</v>
      </c>
      <c r="H32" s="42">
        <v>15</v>
      </c>
      <c r="I32" s="42">
        <v>9</v>
      </c>
      <c r="J32"/>
      <c r="K32" s="11"/>
      <c r="L32" s="11"/>
      <c r="M32" s="11"/>
      <c r="N32" s="11"/>
      <c r="O32" s="11"/>
    </row>
    <row r="33" spans="1:15" x14ac:dyDescent="0.25">
      <c r="A33" s="64" t="s">
        <v>30</v>
      </c>
      <c r="B33" s="42">
        <v>0</v>
      </c>
      <c r="C33" s="42">
        <v>0</v>
      </c>
      <c r="D33" s="42">
        <v>0</v>
      </c>
      <c r="E33" s="42">
        <v>0</v>
      </c>
      <c r="F33" s="42">
        <v>12</v>
      </c>
      <c r="G33" s="42">
        <v>9</v>
      </c>
      <c r="H33" s="42">
        <v>76</v>
      </c>
      <c r="I33" s="42">
        <v>34</v>
      </c>
      <c r="J33"/>
      <c r="K33" s="11"/>
      <c r="L33" s="11"/>
      <c r="M33" s="11"/>
      <c r="N33" s="11"/>
      <c r="O33" s="11"/>
    </row>
    <row r="34" spans="1:15" x14ac:dyDescent="0.25">
      <c r="A34" s="64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15</v>
      </c>
      <c r="G34" s="42">
        <v>23</v>
      </c>
      <c r="H34" s="42">
        <v>32</v>
      </c>
      <c r="I34" s="42">
        <v>17</v>
      </c>
      <c r="J34"/>
      <c r="K34" s="11"/>
      <c r="L34" s="11"/>
      <c r="M34" s="11"/>
      <c r="N34" s="11"/>
      <c r="O34" s="11"/>
    </row>
    <row r="35" spans="1:15" x14ac:dyDescent="0.25">
      <c r="A35" s="64" t="s">
        <v>32</v>
      </c>
      <c r="B35" s="42">
        <v>1</v>
      </c>
      <c r="C35" s="42">
        <v>0</v>
      </c>
      <c r="D35" s="42">
        <v>2</v>
      </c>
      <c r="E35" s="42">
        <v>1</v>
      </c>
      <c r="F35" s="42">
        <v>29</v>
      </c>
      <c r="G35" s="42">
        <v>39</v>
      </c>
      <c r="H35" s="42">
        <v>70</v>
      </c>
      <c r="I35" s="42">
        <v>54</v>
      </c>
      <c r="J35"/>
      <c r="K35" s="11"/>
      <c r="L35" s="11"/>
      <c r="M35" s="11"/>
      <c r="N35" s="11"/>
      <c r="O35" s="11"/>
    </row>
    <row r="36" spans="1:15" x14ac:dyDescent="0.25">
      <c r="A36" s="64" t="s">
        <v>33</v>
      </c>
      <c r="B36" s="42">
        <v>0</v>
      </c>
      <c r="C36" s="42">
        <v>0</v>
      </c>
      <c r="D36" s="42">
        <v>0</v>
      </c>
      <c r="E36" s="42">
        <v>1</v>
      </c>
      <c r="F36" s="42">
        <v>15</v>
      </c>
      <c r="G36" s="42">
        <v>22</v>
      </c>
      <c r="H36" s="42">
        <v>11</v>
      </c>
      <c r="I36" s="42">
        <v>15</v>
      </c>
      <c r="J36"/>
      <c r="K36" s="11"/>
      <c r="L36" s="11"/>
      <c r="M36" s="11"/>
      <c r="N36" s="11"/>
      <c r="O36" s="11"/>
    </row>
    <row r="37" spans="1:15" x14ac:dyDescent="0.25">
      <c r="A37" s="64" t="s">
        <v>34</v>
      </c>
      <c r="B37" s="42">
        <v>0</v>
      </c>
      <c r="C37" s="42">
        <v>0</v>
      </c>
      <c r="D37" s="42">
        <v>1</v>
      </c>
      <c r="E37" s="42">
        <v>0</v>
      </c>
      <c r="F37" s="42">
        <v>11</v>
      </c>
      <c r="G37" s="42">
        <v>8</v>
      </c>
      <c r="H37" s="42">
        <v>9</v>
      </c>
      <c r="I37" s="42">
        <v>11</v>
      </c>
      <c r="J37"/>
      <c r="K37" s="11"/>
      <c r="L37" s="11"/>
      <c r="M37" s="11"/>
      <c r="N37" s="11"/>
      <c r="O37" s="11"/>
    </row>
    <row r="38" spans="1:15" x14ac:dyDescent="0.25">
      <c r="A38" s="64" t="s">
        <v>35</v>
      </c>
      <c r="B38" s="42">
        <v>0</v>
      </c>
      <c r="C38" s="42">
        <v>0</v>
      </c>
      <c r="D38" s="42">
        <v>0</v>
      </c>
      <c r="E38" s="42">
        <v>0</v>
      </c>
      <c r="F38" s="42">
        <v>220</v>
      </c>
      <c r="G38" s="42">
        <v>215</v>
      </c>
      <c r="H38" s="42">
        <v>246</v>
      </c>
      <c r="I38" s="42">
        <v>94</v>
      </c>
      <c r="J38"/>
      <c r="K38" s="11"/>
      <c r="L38" s="11"/>
      <c r="M38" s="11"/>
      <c r="N38" s="11"/>
      <c r="O38" s="11"/>
    </row>
    <row r="39" spans="1:15" x14ac:dyDescent="0.25">
      <c r="A39" s="64" t="s">
        <v>36</v>
      </c>
      <c r="B39" s="42">
        <v>104</v>
      </c>
      <c r="C39" s="42">
        <v>194</v>
      </c>
      <c r="D39" s="42">
        <v>76</v>
      </c>
      <c r="E39" s="42">
        <v>129</v>
      </c>
      <c r="F39" s="42">
        <v>598</v>
      </c>
      <c r="G39" s="42">
        <v>877</v>
      </c>
      <c r="H39" s="42">
        <v>429</v>
      </c>
      <c r="I39" s="42">
        <v>589</v>
      </c>
      <c r="J39"/>
      <c r="K39" s="11"/>
      <c r="L39" s="11"/>
      <c r="M39" s="11"/>
      <c r="N39" s="11"/>
      <c r="O39" s="11"/>
    </row>
    <row r="40" spans="1:15" x14ac:dyDescent="0.25">
      <c r="A40" s="64" t="s">
        <v>37</v>
      </c>
      <c r="B40" s="42">
        <v>10</v>
      </c>
      <c r="C40" s="42">
        <v>10</v>
      </c>
      <c r="D40" s="42">
        <v>8</v>
      </c>
      <c r="E40" s="42">
        <v>13</v>
      </c>
      <c r="F40" s="42">
        <v>45</v>
      </c>
      <c r="G40" s="42">
        <v>47</v>
      </c>
      <c r="H40" s="42">
        <v>81</v>
      </c>
      <c r="I40" s="42">
        <v>53</v>
      </c>
      <c r="J40"/>
      <c r="K40" s="11"/>
      <c r="L40" s="11"/>
      <c r="M40" s="11"/>
      <c r="N40" s="11"/>
      <c r="O40" s="11"/>
    </row>
    <row r="41" spans="1:15" x14ac:dyDescent="0.25">
      <c r="A41" s="64" t="s">
        <v>38</v>
      </c>
      <c r="B41" s="42">
        <v>0</v>
      </c>
      <c r="C41" s="42">
        <v>0</v>
      </c>
      <c r="D41" s="42">
        <v>0</v>
      </c>
      <c r="E41" s="42">
        <v>0</v>
      </c>
      <c r="F41" s="42">
        <v>117</v>
      </c>
      <c r="G41" s="42">
        <v>118</v>
      </c>
      <c r="H41" s="42">
        <v>102</v>
      </c>
      <c r="I41" s="42">
        <v>106</v>
      </c>
      <c r="J41"/>
      <c r="K41" s="11"/>
      <c r="L41" s="11"/>
      <c r="M41" s="11"/>
      <c r="N41" s="11"/>
      <c r="O41" s="11"/>
    </row>
    <row r="42" spans="1:15" x14ac:dyDescent="0.25">
      <c r="A42" s="64" t="s">
        <v>39</v>
      </c>
      <c r="B42" s="42">
        <v>0</v>
      </c>
      <c r="C42" s="42">
        <v>0</v>
      </c>
      <c r="D42" s="42">
        <v>0</v>
      </c>
      <c r="E42" s="42">
        <v>0</v>
      </c>
      <c r="F42" s="42">
        <v>412</v>
      </c>
      <c r="G42" s="42">
        <v>580</v>
      </c>
      <c r="H42" s="42">
        <v>244</v>
      </c>
      <c r="I42" s="42">
        <v>192</v>
      </c>
      <c r="J42"/>
      <c r="K42" s="11"/>
      <c r="L42" s="11"/>
      <c r="M42" s="11"/>
      <c r="N42" s="11"/>
      <c r="O42" s="11"/>
    </row>
    <row r="43" spans="1:15" x14ac:dyDescent="0.25">
      <c r="A43" s="64" t="s">
        <v>40</v>
      </c>
      <c r="B43" s="42">
        <v>0</v>
      </c>
      <c r="C43" s="42">
        <v>0</v>
      </c>
      <c r="D43" s="42">
        <v>0</v>
      </c>
      <c r="E43" s="42">
        <v>0</v>
      </c>
      <c r="F43" s="42">
        <v>228</v>
      </c>
      <c r="G43" s="42">
        <v>219</v>
      </c>
      <c r="H43" s="42">
        <v>366</v>
      </c>
      <c r="I43" s="42">
        <v>165</v>
      </c>
      <c r="J43"/>
      <c r="K43" s="11"/>
      <c r="L43" s="11"/>
      <c r="M43" s="11"/>
      <c r="N43" s="11"/>
      <c r="O43" s="11"/>
    </row>
    <row r="44" spans="1:15" x14ac:dyDescent="0.25">
      <c r="A44" s="64" t="s">
        <v>41</v>
      </c>
      <c r="B44" s="42">
        <v>5</v>
      </c>
      <c r="C44" s="42">
        <v>4</v>
      </c>
      <c r="D44" s="42">
        <v>3</v>
      </c>
      <c r="E44" s="42">
        <v>3</v>
      </c>
      <c r="F44" s="42">
        <v>91</v>
      </c>
      <c r="G44" s="42">
        <v>102</v>
      </c>
      <c r="H44" s="42">
        <v>95</v>
      </c>
      <c r="I44" s="42">
        <v>109</v>
      </c>
      <c r="J44"/>
      <c r="K44" s="11"/>
      <c r="L44" s="11"/>
      <c r="M44" s="11"/>
      <c r="N44" s="11"/>
      <c r="O44" s="11"/>
    </row>
    <row r="45" spans="1:15" x14ac:dyDescent="0.25">
      <c r="A45" s="64" t="s">
        <v>91</v>
      </c>
      <c r="B45" s="42">
        <v>0</v>
      </c>
      <c r="C45" s="42">
        <v>0</v>
      </c>
      <c r="D45" s="42">
        <v>0</v>
      </c>
      <c r="E45" s="42">
        <v>0</v>
      </c>
      <c r="F45" s="42">
        <v>16</v>
      </c>
      <c r="G45" s="42">
        <v>10</v>
      </c>
      <c r="H45" s="42">
        <v>7</v>
      </c>
      <c r="I45" s="42">
        <v>7</v>
      </c>
      <c r="J45"/>
      <c r="K45" s="11"/>
      <c r="L45" s="11"/>
      <c r="M45" s="11"/>
      <c r="N45" s="11"/>
      <c r="O45" s="11"/>
    </row>
    <row r="46" spans="1:15" x14ac:dyDescent="0.25">
      <c r="A46" s="64" t="s">
        <v>43</v>
      </c>
      <c r="B46" s="42">
        <v>5</v>
      </c>
      <c r="C46" s="42">
        <v>5</v>
      </c>
      <c r="D46" s="42">
        <v>6</v>
      </c>
      <c r="E46" s="42">
        <v>4</v>
      </c>
      <c r="F46" s="42">
        <v>63</v>
      </c>
      <c r="G46" s="42">
        <v>78</v>
      </c>
      <c r="H46" s="42">
        <v>79</v>
      </c>
      <c r="I46" s="42">
        <v>47</v>
      </c>
      <c r="J46"/>
      <c r="K46" s="11"/>
      <c r="L46" s="11"/>
      <c r="M46" s="11"/>
      <c r="N46" s="11"/>
      <c r="O46" s="11"/>
    </row>
    <row r="47" spans="1:15" x14ac:dyDescent="0.25">
      <c r="A47" s="64" t="s">
        <v>44</v>
      </c>
      <c r="B47" s="42">
        <v>1</v>
      </c>
      <c r="C47" s="42">
        <v>3</v>
      </c>
      <c r="D47" s="42">
        <v>5</v>
      </c>
      <c r="E47" s="42">
        <v>2</v>
      </c>
      <c r="F47" s="42">
        <v>23</v>
      </c>
      <c r="G47" s="42">
        <v>29</v>
      </c>
      <c r="H47" s="42">
        <v>24</v>
      </c>
      <c r="I47" s="42">
        <v>18</v>
      </c>
      <c r="J47"/>
      <c r="K47" s="11"/>
      <c r="L47" s="11"/>
      <c r="M47" s="11"/>
      <c r="N47" s="11"/>
      <c r="O47" s="11"/>
    </row>
    <row r="48" spans="1:15" x14ac:dyDescent="0.25">
      <c r="A48" s="64" t="s">
        <v>45</v>
      </c>
      <c r="B48" s="42">
        <v>12</v>
      </c>
      <c r="C48" s="42">
        <v>19</v>
      </c>
      <c r="D48" s="42">
        <v>9</v>
      </c>
      <c r="E48" s="42">
        <v>11</v>
      </c>
      <c r="F48" s="42">
        <v>114</v>
      </c>
      <c r="G48" s="42">
        <v>234</v>
      </c>
      <c r="H48" s="42">
        <v>152</v>
      </c>
      <c r="I48" s="42">
        <v>169</v>
      </c>
      <c r="J48"/>
      <c r="K48" s="11"/>
      <c r="L48" s="11"/>
      <c r="M48" s="11"/>
      <c r="N48" s="11"/>
      <c r="O48" s="11"/>
    </row>
    <row r="49" spans="1:15" x14ac:dyDescent="0.25">
      <c r="A49" s="64" t="s">
        <v>46</v>
      </c>
      <c r="B49" s="42">
        <v>68</v>
      </c>
      <c r="C49" s="42">
        <v>122</v>
      </c>
      <c r="D49" s="42">
        <v>58</v>
      </c>
      <c r="E49" s="42">
        <v>45</v>
      </c>
      <c r="F49" s="42">
        <v>921</v>
      </c>
      <c r="G49" s="42">
        <v>1324</v>
      </c>
      <c r="H49" s="42">
        <v>664</v>
      </c>
      <c r="I49" s="42">
        <v>545</v>
      </c>
      <c r="J49"/>
      <c r="K49" s="11"/>
      <c r="L49" s="11"/>
      <c r="M49" s="11"/>
      <c r="N49" s="11"/>
      <c r="O49" s="11"/>
    </row>
    <row r="50" spans="1:15" x14ac:dyDescent="0.25">
      <c r="A50" s="64" t="s">
        <v>47</v>
      </c>
      <c r="B50" s="42">
        <v>3</v>
      </c>
      <c r="C50" s="42">
        <v>4</v>
      </c>
      <c r="D50" s="42">
        <v>0</v>
      </c>
      <c r="E50" s="42">
        <v>1</v>
      </c>
      <c r="F50" s="42">
        <v>12</v>
      </c>
      <c r="G50" s="42">
        <v>9</v>
      </c>
      <c r="H50" s="42">
        <v>8</v>
      </c>
      <c r="I50" s="42">
        <v>5</v>
      </c>
      <c r="J50"/>
      <c r="K50" s="11"/>
      <c r="L50" s="11"/>
      <c r="M50" s="11"/>
      <c r="N50" s="11"/>
      <c r="O50" s="11"/>
    </row>
    <row r="51" spans="1:15" x14ac:dyDescent="0.25">
      <c r="A51" s="64" t="s">
        <v>48</v>
      </c>
      <c r="B51" s="42">
        <v>0</v>
      </c>
      <c r="C51" s="42">
        <v>0</v>
      </c>
      <c r="D51" s="42">
        <v>0</v>
      </c>
      <c r="E51" s="42">
        <v>0</v>
      </c>
      <c r="F51" s="42">
        <v>285</v>
      </c>
      <c r="G51" s="42">
        <v>517</v>
      </c>
      <c r="H51" s="42">
        <v>298</v>
      </c>
      <c r="I51" s="42">
        <v>269</v>
      </c>
      <c r="J51"/>
      <c r="K51" s="11"/>
      <c r="L51" s="11"/>
      <c r="M51" s="11"/>
      <c r="N51" s="11"/>
      <c r="O51" s="11"/>
    </row>
    <row r="52" spans="1:15" x14ac:dyDescent="0.25">
      <c r="A52" s="64" t="s">
        <v>49</v>
      </c>
      <c r="B52" s="42">
        <v>2</v>
      </c>
      <c r="C52" s="42">
        <v>2</v>
      </c>
      <c r="D52" s="42">
        <v>5</v>
      </c>
      <c r="E52" s="42">
        <v>4</v>
      </c>
      <c r="F52" s="42">
        <v>55</v>
      </c>
      <c r="G52" s="42">
        <v>52</v>
      </c>
      <c r="H52" s="42">
        <v>62</v>
      </c>
      <c r="I52" s="42">
        <v>37</v>
      </c>
      <c r="J52"/>
      <c r="K52" s="11"/>
      <c r="L52" s="11"/>
      <c r="M52" s="11"/>
      <c r="N52" s="11"/>
      <c r="O52" s="11"/>
    </row>
    <row r="53" spans="1:15" x14ac:dyDescent="0.25">
      <c r="A53" s="64" t="s">
        <v>50</v>
      </c>
      <c r="B53" s="42">
        <v>0</v>
      </c>
      <c r="C53" s="42">
        <v>0</v>
      </c>
      <c r="D53" s="42">
        <v>0</v>
      </c>
      <c r="E53" s="42">
        <v>0</v>
      </c>
      <c r="F53" s="42">
        <v>25</v>
      </c>
      <c r="G53" s="42">
        <v>39</v>
      </c>
      <c r="H53" s="42">
        <v>28</v>
      </c>
      <c r="I53" s="42">
        <v>36</v>
      </c>
      <c r="J53"/>
      <c r="K53" s="11"/>
      <c r="L53" s="11"/>
      <c r="M53" s="11"/>
      <c r="N53" s="11"/>
      <c r="O53" s="11"/>
    </row>
    <row r="54" spans="1:15" x14ac:dyDescent="0.25">
      <c r="A54" s="64" t="s">
        <v>51</v>
      </c>
      <c r="B54" s="42">
        <v>0</v>
      </c>
      <c r="C54" s="42">
        <v>0</v>
      </c>
      <c r="D54" s="42">
        <v>0</v>
      </c>
      <c r="E54" s="42">
        <v>0</v>
      </c>
      <c r="F54" s="42">
        <v>1085</v>
      </c>
      <c r="G54" s="42">
        <v>3177</v>
      </c>
      <c r="H54" s="42">
        <v>1181</v>
      </c>
      <c r="I54" s="42">
        <v>490</v>
      </c>
      <c r="J54"/>
      <c r="K54" s="11"/>
      <c r="L54" s="11"/>
      <c r="M54" s="11"/>
      <c r="N54" s="11"/>
      <c r="O54" s="11"/>
    </row>
    <row r="55" spans="1:15" x14ac:dyDescent="0.25">
      <c r="A55" s="64" t="s">
        <v>52</v>
      </c>
      <c r="B55" s="42">
        <v>6</v>
      </c>
      <c r="C55" s="42">
        <v>12</v>
      </c>
      <c r="D55" s="42">
        <v>10</v>
      </c>
      <c r="E55" s="42">
        <v>19</v>
      </c>
      <c r="F55" s="42">
        <v>41</v>
      </c>
      <c r="G55" s="42">
        <v>71</v>
      </c>
      <c r="H55" s="42">
        <v>52</v>
      </c>
      <c r="I55" s="42">
        <v>85</v>
      </c>
      <c r="J55"/>
      <c r="K55" s="11"/>
      <c r="L55" s="11"/>
      <c r="M55" s="11"/>
      <c r="N55" s="11"/>
      <c r="O55" s="11"/>
    </row>
    <row r="56" spans="1:15" x14ac:dyDescent="0.25">
      <c r="A56" s="64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5</v>
      </c>
      <c r="G56" s="42">
        <v>3</v>
      </c>
      <c r="H56" s="42">
        <v>9</v>
      </c>
      <c r="I56" s="42">
        <v>8</v>
      </c>
      <c r="J56"/>
      <c r="K56" s="11"/>
      <c r="L56" s="11"/>
      <c r="M56" s="11"/>
      <c r="N56" s="11"/>
      <c r="O56" s="11"/>
    </row>
    <row r="57" spans="1:15" x14ac:dyDescent="0.25">
      <c r="A57" s="64" t="s">
        <v>54</v>
      </c>
      <c r="B57" s="42">
        <v>4</v>
      </c>
      <c r="C57" s="42">
        <v>3</v>
      </c>
      <c r="D57" s="42">
        <v>6</v>
      </c>
      <c r="E57" s="42">
        <v>2</v>
      </c>
      <c r="F57" s="42">
        <v>92</v>
      </c>
      <c r="G57" s="42">
        <v>89</v>
      </c>
      <c r="H57" s="42">
        <v>140</v>
      </c>
      <c r="I57" s="42">
        <v>80</v>
      </c>
      <c r="J57"/>
      <c r="K57" s="11"/>
      <c r="L57" s="11"/>
      <c r="M57" s="11"/>
      <c r="N57" s="11"/>
      <c r="O57" s="11"/>
    </row>
    <row r="58" spans="1:15" x14ac:dyDescent="0.25">
      <c r="A58" s="64" t="s">
        <v>55</v>
      </c>
      <c r="B58" s="42">
        <v>0</v>
      </c>
      <c r="C58" s="42">
        <v>0</v>
      </c>
      <c r="D58" s="42">
        <v>0</v>
      </c>
      <c r="E58" s="42">
        <v>1</v>
      </c>
      <c r="F58" s="42">
        <v>14</v>
      </c>
      <c r="G58" s="42">
        <v>18</v>
      </c>
      <c r="H58" s="42">
        <v>6</v>
      </c>
      <c r="I58" s="42">
        <v>22</v>
      </c>
      <c r="J58"/>
      <c r="K58" s="11"/>
      <c r="L58" s="11"/>
      <c r="M58" s="11"/>
      <c r="N58" s="11"/>
      <c r="O58" s="11"/>
    </row>
    <row r="59" spans="1:15" x14ac:dyDescent="0.25">
      <c r="A59" s="64" t="s">
        <v>56</v>
      </c>
      <c r="B59" s="42">
        <v>0</v>
      </c>
      <c r="C59" s="42">
        <v>0</v>
      </c>
      <c r="D59" s="42">
        <v>0</v>
      </c>
      <c r="E59" s="42">
        <v>0</v>
      </c>
      <c r="F59" s="42">
        <v>39</v>
      </c>
      <c r="G59" s="42">
        <v>37</v>
      </c>
      <c r="H59" s="42">
        <v>97</v>
      </c>
      <c r="I59" s="42">
        <v>70</v>
      </c>
      <c r="J59"/>
      <c r="K59" s="11"/>
      <c r="L59" s="11"/>
      <c r="M59" s="11"/>
      <c r="N59" s="11"/>
      <c r="O59" s="11"/>
    </row>
    <row r="60" spans="1:15" x14ac:dyDescent="0.25">
      <c r="A60" s="64" t="s">
        <v>57</v>
      </c>
      <c r="B60" s="42">
        <v>0</v>
      </c>
      <c r="C60" s="42">
        <v>0</v>
      </c>
      <c r="D60" s="42">
        <v>0</v>
      </c>
      <c r="E60" s="42">
        <v>0</v>
      </c>
      <c r="F60" s="42">
        <v>6</v>
      </c>
      <c r="G60" s="42">
        <v>2</v>
      </c>
      <c r="H60" s="42">
        <v>4</v>
      </c>
      <c r="I60" s="42">
        <v>5</v>
      </c>
      <c r="J60"/>
      <c r="K60" s="11"/>
      <c r="L60" s="11"/>
      <c r="M60" s="11"/>
      <c r="N60" s="11"/>
      <c r="O60" s="11"/>
    </row>
    <row r="61" spans="1:15" x14ac:dyDescent="0.25">
      <c r="A61" s="64" t="s">
        <v>58</v>
      </c>
      <c r="B61" s="42">
        <v>0</v>
      </c>
      <c r="C61" s="42">
        <v>0</v>
      </c>
      <c r="D61" s="42">
        <v>0</v>
      </c>
      <c r="E61" s="42">
        <v>0</v>
      </c>
      <c r="F61" s="42">
        <v>23</v>
      </c>
      <c r="G61" s="42">
        <v>21</v>
      </c>
      <c r="H61" s="42">
        <v>21</v>
      </c>
      <c r="I61" s="42">
        <v>20</v>
      </c>
      <c r="J61"/>
      <c r="K61" s="11"/>
      <c r="L61" s="11"/>
      <c r="M61" s="11"/>
      <c r="N61" s="11"/>
      <c r="O61" s="11"/>
    </row>
    <row r="62" spans="1:15" x14ac:dyDescent="0.25">
      <c r="A62" s="64" t="s">
        <v>59</v>
      </c>
      <c r="B62" s="42">
        <v>0</v>
      </c>
      <c r="C62" s="42">
        <v>0</v>
      </c>
      <c r="D62" s="42">
        <v>0</v>
      </c>
      <c r="E62" s="42">
        <v>0</v>
      </c>
      <c r="F62" s="42">
        <v>24</v>
      </c>
      <c r="G62" s="42">
        <v>29</v>
      </c>
      <c r="H62" s="42">
        <v>28</v>
      </c>
      <c r="I62" s="42">
        <v>33</v>
      </c>
      <c r="J62"/>
      <c r="K62" s="11"/>
      <c r="L62" s="11"/>
      <c r="M62" s="11"/>
      <c r="N62" s="11"/>
      <c r="O62" s="11"/>
    </row>
    <row r="63" spans="1:15" x14ac:dyDescent="0.25">
      <c r="A63" s="64" t="s">
        <v>60</v>
      </c>
      <c r="B63" s="42">
        <v>0</v>
      </c>
      <c r="C63" s="42">
        <v>0</v>
      </c>
      <c r="D63" s="42">
        <v>0</v>
      </c>
      <c r="E63" s="42">
        <v>0</v>
      </c>
      <c r="F63" s="42">
        <v>10</v>
      </c>
      <c r="G63" s="42">
        <v>29</v>
      </c>
      <c r="H63" s="42">
        <v>17</v>
      </c>
      <c r="I63" s="42">
        <v>15</v>
      </c>
      <c r="J63"/>
      <c r="K63" s="11"/>
      <c r="L63" s="11"/>
      <c r="M63" s="11"/>
      <c r="N63" s="11"/>
      <c r="O63" s="11"/>
    </row>
    <row r="64" spans="1:15" x14ac:dyDescent="0.25">
      <c r="A64" s="64" t="s">
        <v>61</v>
      </c>
      <c r="B64" s="42">
        <v>0</v>
      </c>
      <c r="C64" s="42">
        <v>0</v>
      </c>
      <c r="D64" s="42">
        <v>0</v>
      </c>
      <c r="E64" s="42">
        <v>0</v>
      </c>
      <c r="F64" s="42">
        <v>28</v>
      </c>
      <c r="G64" s="42">
        <v>35</v>
      </c>
      <c r="H64" s="42">
        <v>30</v>
      </c>
      <c r="I64" s="42">
        <v>27</v>
      </c>
      <c r="J64"/>
      <c r="K64" s="11"/>
      <c r="L64" s="11"/>
      <c r="M64" s="11"/>
      <c r="N64" s="11"/>
      <c r="O64" s="11"/>
    </row>
    <row r="65" spans="1:15" x14ac:dyDescent="0.25">
      <c r="A65" s="64" t="s">
        <v>62</v>
      </c>
      <c r="B65" s="42">
        <v>0</v>
      </c>
      <c r="C65" s="42">
        <v>0</v>
      </c>
      <c r="D65" s="42">
        <v>0</v>
      </c>
      <c r="E65" s="42">
        <v>0</v>
      </c>
      <c r="F65" s="42">
        <v>24</v>
      </c>
      <c r="G65" s="42">
        <v>32</v>
      </c>
      <c r="H65" s="42">
        <v>15</v>
      </c>
      <c r="I65" s="42">
        <v>24</v>
      </c>
      <c r="J65"/>
      <c r="K65" s="11"/>
      <c r="L65" s="11"/>
      <c r="M65" s="11"/>
      <c r="N65" s="11"/>
      <c r="O65" s="11"/>
    </row>
    <row r="66" spans="1:15" x14ac:dyDescent="0.25">
      <c r="A66" s="64" t="s">
        <v>63</v>
      </c>
      <c r="B66" s="42">
        <v>0</v>
      </c>
      <c r="C66" s="42">
        <v>0</v>
      </c>
      <c r="D66" s="42">
        <v>0</v>
      </c>
      <c r="E66" s="42">
        <v>0</v>
      </c>
      <c r="F66" s="42">
        <v>112</v>
      </c>
      <c r="G66" s="42">
        <v>143</v>
      </c>
      <c r="H66" s="42">
        <v>189</v>
      </c>
      <c r="I66" s="42">
        <v>111</v>
      </c>
      <c r="J66"/>
      <c r="K66" s="11"/>
      <c r="L66" s="11"/>
      <c r="M66" s="11"/>
      <c r="N66" s="11"/>
      <c r="O66" s="11"/>
    </row>
    <row r="67" spans="1:15" x14ac:dyDescent="0.25">
      <c r="A67" s="64" t="s">
        <v>64</v>
      </c>
      <c r="B67" s="42">
        <v>1</v>
      </c>
      <c r="C67" s="42">
        <v>4</v>
      </c>
      <c r="D67" s="42">
        <v>4</v>
      </c>
      <c r="E67" s="42">
        <v>6</v>
      </c>
      <c r="F67" s="42">
        <v>25</v>
      </c>
      <c r="G67" s="42">
        <v>43</v>
      </c>
      <c r="H67" s="42">
        <v>48</v>
      </c>
      <c r="I67" s="42">
        <v>48</v>
      </c>
      <c r="J67"/>
      <c r="K67" s="11"/>
      <c r="L67" s="11"/>
      <c r="M67" s="11"/>
      <c r="N67" s="11"/>
      <c r="O67" s="11"/>
    </row>
    <row r="68" spans="1:15" x14ac:dyDescent="0.25">
      <c r="A68" s="64" t="s">
        <v>65</v>
      </c>
      <c r="B68" s="42">
        <v>0</v>
      </c>
      <c r="C68" s="42">
        <v>0</v>
      </c>
      <c r="D68" s="42">
        <v>0</v>
      </c>
      <c r="E68" s="42">
        <v>0</v>
      </c>
      <c r="F68" s="42">
        <v>211</v>
      </c>
      <c r="G68" s="42">
        <v>238</v>
      </c>
      <c r="H68" s="42">
        <v>303</v>
      </c>
      <c r="I68" s="42">
        <v>168</v>
      </c>
      <c r="J68"/>
      <c r="K68" s="11"/>
      <c r="L68" s="11"/>
      <c r="M68" s="11"/>
      <c r="N68" s="11"/>
      <c r="O68" s="11"/>
    </row>
    <row r="69" spans="1:15" x14ac:dyDescent="0.25">
      <c r="A69" s="64" t="s">
        <v>66</v>
      </c>
      <c r="B69" s="42">
        <v>5</v>
      </c>
      <c r="C69" s="42">
        <v>0</v>
      </c>
      <c r="D69" s="42">
        <v>8</v>
      </c>
      <c r="E69" s="42">
        <v>6</v>
      </c>
      <c r="F69" s="42">
        <v>27</v>
      </c>
      <c r="G69" s="42">
        <v>22</v>
      </c>
      <c r="H69" s="42">
        <v>35</v>
      </c>
      <c r="I69" s="42">
        <v>23</v>
      </c>
      <c r="J69"/>
      <c r="K69" s="11"/>
      <c r="L69" s="11"/>
      <c r="M69" s="11"/>
      <c r="N69" s="11"/>
      <c r="O69" s="11"/>
    </row>
    <row r="70" spans="1:15" x14ac:dyDescent="0.25">
      <c r="A70" s="64" t="s">
        <v>67</v>
      </c>
      <c r="B70" s="42">
        <v>0</v>
      </c>
      <c r="C70" s="42">
        <v>0</v>
      </c>
      <c r="D70" s="42">
        <v>0</v>
      </c>
      <c r="E70" s="42">
        <v>0</v>
      </c>
      <c r="F70" s="42">
        <v>418</v>
      </c>
      <c r="G70" s="42">
        <v>659</v>
      </c>
      <c r="H70" s="42">
        <v>325</v>
      </c>
      <c r="I70" s="42">
        <v>393</v>
      </c>
      <c r="J70"/>
      <c r="K70" s="11"/>
      <c r="L70" s="11"/>
      <c r="M70" s="11"/>
      <c r="N70" s="11"/>
      <c r="O70" s="11"/>
    </row>
    <row r="71" spans="1:15" x14ac:dyDescent="0.25">
      <c r="A71" s="39" t="s">
        <v>68</v>
      </c>
      <c r="B71" s="67">
        <f>SUM(B4:B70)</f>
        <v>434</v>
      </c>
      <c r="C71" s="67">
        <f>SUM(C4:C70)</f>
        <v>688</v>
      </c>
      <c r="D71" s="67">
        <f>SUM(D4:D70)</f>
        <v>368</v>
      </c>
      <c r="E71" s="67">
        <f>SUM(E4:E70)</f>
        <v>447</v>
      </c>
      <c r="F71" s="67">
        <f t="shared" ref="F71:I71" si="0">SUM(F4:F70)</f>
        <v>10329</v>
      </c>
      <c r="G71" s="67">
        <f t="shared" si="0"/>
        <v>16431</v>
      </c>
      <c r="H71" s="67">
        <f t="shared" si="0"/>
        <v>10099</v>
      </c>
      <c r="I71" s="67">
        <f t="shared" si="0"/>
        <v>7844</v>
      </c>
      <c r="J71"/>
    </row>
    <row r="73" spans="1:15" x14ac:dyDescent="0.25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5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CD23" sqref="CD23"/>
    </sheetView>
  </sheetViews>
  <sheetFormatPr defaultColWidth="9.109375" defaultRowHeight="13.2" x14ac:dyDescent="0.25"/>
  <cols>
    <col min="1" max="1" width="19.109375" style="11" bestFit="1" customWidth="1"/>
    <col min="2" max="5" width="8.33203125" style="10" customWidth="1"/>
    <col min="6" max="14" width="7.6640625" style="11" customWidth="1"/>
    <col min="15" max="15" width="7.33203125" style="10" customWidth="1"/>
    <col min="16" max="16" width="6.109375" style="10" customWidth="1"/>
    <col min="17" max="17" width="6.6640625" style="10" bestFit="1" customWidth="1"/>
    <col min="18" max="18" width="7.109375" style="10" customWidth="1"/>
    <col min="19" max="19" width="6.109375" style="10" customWidth="1"/>
    <col min="20" max="20" width="8" style="10" customWidth="1"/>
    <col min="21" max="23" width="6.33203125" style="11" customWidth="1"/>
    <col min="24" max="27" width="6.6640625" style="35" bestFit="1" customWidth="1"/>
    <col min="28" max="29" width="6.6640625" style="35" customWidth="1"/>
    <col min="30" max="30" width="7.6640625" style="35" bestFit="1" customWidth="1"/>
    <col min="31" max="31" width="6.6640625" style="35" customWidth="1"/>
    <col min="32" max="35" width="6.6640625" style="35" bestFit="1" customWidth="1"/>
    <col min="36" max="59" width="6.6640625" style="35" customWidth="1"/>
    <col min="60" max="60" width="8.44140625" style="10" customWidth="1"/>
    <col min="61" max="61" width="6.6640625" style="10" bestFit="1" customWidth="1"/>
    <col min="62" max="62" width="7.6640625" style="10" bestFit="1" customWidth="1"/>
    <col min="63" max="63" width="8.33203125" style="10" customWidth="1"/>
    <col min="64" max="16384" width="9.109375" style="11"/>
  </cols>
  <sheetData>
    <row r="1" spans="1:76" x14ac:dyDescent="0.25">
      <c r="A1" s="42"/>
      <c r="B1" s="83" t="s">
        <v>97</v>
      </c>
      <c r="C1" s="80"/>
      <c r="D1" s="80"/>
      <c r="E1" s="80"/>
      <c r="F1" s="81" t="s">
        <v>99</v>
      </c>
      <c r="G1" s="81"/>
      <c r="H1" s="81"/>
      <c r="I1" s="81"/>
      <c r="J1" s="81"/>
      <c r="K1" s="81"/>
      <c r="L1" s="84" t="s">
        <v>94</v>
      </c>
      <c r="M1" s="84"/>
      <c r="N1" s="84"/>
      <c r="O1" s="83" t="s">
        <v>100</v>
      </c>
      <c r="P1" s="83"/>
      <c r="Q1" s="83"/>
      <c r="R1" s="83"/>
      <c r="S1" s="83"/>
      <c r="T1" s="83"/>
      <c r="U1" s="83"/>
      <c r="V1" s="83"/>
      <c r="W1" s="83"/>
      <c r="X1" s="81" t="s">
        <v>101</v>
      </c>
      <c r="Y1" s="81"/>
      <c r="Z1" s="81"/>
      <c r="AA1" s="81"/>
      <c r="AB1" s="42"/>
      <c r="AC1" s="42" t="s">
        <v>105</v>
      </c>
      <c r="AD1" s="42"/>
      <c r="AE1" s="42"/>
      <c r="AF1" s="81" t="s">
        <v>106</v>
      </c>
      <c r="AG1" s="81"/>
      <c r="AH1" s="81"/>
      <c r="AI1" s="81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7" t="s">
        <v>117</v>
      </c>
      <c r="BA1" s="87"/>
      <c r="BB1" s="87"/>
      <c r="BC1" s="87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5" t="s">
        <v>127</v>
      </c>
      <c r="BQ1" s="85"/>
      <c r="BR1" s="85"/>
      <c r="BS1" s="85"/>
      <c r="BT1" s="85"/>
      <c r="BU1" s="85"/>
      <c r="BV1" s="85"/>
      <c r="BW1" s="85"/>
      <c r="BX1" s="85"/>
    </row>
    <row r="2" spans="1:76" x14ac:dyDescent="0.25">
      <c r="A2" s="42"/>
      <c r="B2" s="80" t="s">
        <v>86</v>
      </c>
      <c r="C2" s="80"/>
      <c r="D2" s="80" t="s">
        <v>87</v>
      </c>
      <c r="E2" s="80"/>
      <c r="F2" s="82" t="s">
        <v>86</v>
      </c>
      <c r="G2" s="82"/>
      <c r="H2" s="82"/>
      <c r="I2" s="82" t="s">
        <v>87</v>
      </c>
      <c r="J2" s="82"/>
      <c r="K2" s="82"/>
      <c r="L2" s="82" t="s">
        <v>93</v>
      </c>
      <c r="M2" s="82"/>
      <c r="N2" s="82"/>
      <c r="O2" s="80" t="s">
        <v>86</v>
      </c>
      <c r="P2" s="80"/>
      <c r="Q2" s="80"/>
      <c r="R2" s="80" t="s">
        <v>87</v>
      </c>
      <c r="S2" s="80"/>
      <c r="T2" s="80"/>
      <c r="U2" s="80" t="s">
        <v>93</v>
      </c>
      <c r="V2" s="80"/>
      <c r="W2" s="80"/>
      <c r="X2" s="81" t="s">
        <v>86</v>
      </c>
      <c r="Y2" s="82"/>
      <c r="Z2" s="82" t="s">
        <v>87</v>
      </c>
      <c r="AA2" s="82"/>
      <c r="AB2" s="80" t="s">
        <v>86</v>
      </c>
      <c r="AC2" s="80"/>
      <c r="AD2" s="80" t="s">
        <v>87</v>
      </c>
      <c r="AE2" s="80"/>
      <c r="AF2" s="81" t="s">
        <v>86</v>
      </c>
      <c r="AG2" s="82"/>
      <c r="AH2" s="82" t="s">
        <v>87</v>
      </c>
      <c r="AI2" s="82"/>
      <c r="AJ2" s="80" t="s">
        <v>86</v>
      </c>
      <c r="AK2" s="80"/>
      <c r="AL2" s="80" t="s">
        <v>87</v>
      </c>
      <c r="AM2" s="80"/>
      <c r="AN2" s="80" t="s">
        <v>86</v>
      </c>
      <c r="AO2" s="80"/>
      <c r="AP2" s="80" t="s">
        <v>87</v>
      </c>
      <c r="AQ2" s="80"/>
      <c r="AR2" s="80" t="s">
        <v>86</v>
      </c>
      <c r="AS2" s="80"/>
      <c r="AT2" s="80" t="s">
        <v>87</v>
      </c>
      <c r="AU2" s="80"/>
      <c r="AV2" s="80" t="s">
        <v>86</v>
      </c>
      <c r="AW2" s="80"/>
      <c r="AX2" s="80" t="s">
        <v>87</v>
      </c>
      <c r="AY2" s="80"/>
      <c r="AZ2" s="88" t="s">
        <v>86</v>
      </c>
      <c r="BA2" s="88"/>
      <c r="BB2" s="88" t="s">
        <v>87</v>
      </c>
      <c r="BC2" s="88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5" t="s">
        <v>86</v>
      </c>
      <c r="BQ2" s="86"/>
      <c r="BR2" s="86"/>
      <c r="BS2" s="85" t="s">
        <v>87</v>
      </c>
      <c r="BT2" s="86"/>
      <c r="BU2" s="86"/>
      <c r="BV2" s="86" t="s">
        <v>93</v>
      </c>
      <c r="BW2" s="86"/>
      <c r="BX2" s="86"/>
    </row>
    <row r="3" spans="1:76" x14ac:dyDescent="0.25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5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5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5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5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5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5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5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5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5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5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5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5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5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5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5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5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5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5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5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5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5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5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5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5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5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5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5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5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5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5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5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5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5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5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5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5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5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5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5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5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5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5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5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5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5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5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5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5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5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5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5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5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5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5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5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5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5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5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5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5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5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5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5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5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5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5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5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5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5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5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5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5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5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5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5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5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5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5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5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5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5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5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5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5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5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5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5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5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5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5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5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5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5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5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5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5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5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5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5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5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5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5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5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5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5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5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5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5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5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5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5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5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5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5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5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5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5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5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5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5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5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5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5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5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5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5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5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5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5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5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5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5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5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5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5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5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5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5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5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5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5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5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5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5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5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5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5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5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5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5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5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K12" sqref="K12"/>
    </sheetView>
  </sheetViews>
  <sheetFormatPr defaultColWidth="9.109375" defaultRowHeight="13.2" x14ac:dyDescent="0.25"/>
  <cols>
    <col min="1" max="1" width="19.109375" style="11" bestFit="1" customWidth="1"/>
    <col min="2" max="2" width="22.109375" style="21" customWidth="1"/>
    <col min="3" max="3" width="20" style="21" customWidth="1"/>
    <col min="4" max="4" width="18.5546875" style="30" customWidth="1"/>
    <col min="5" max="5" width="18" style="22" customWidth="1"/>
    <col min="6" max="6" width="5.5546875" style="21" bestFit="1" customWidth="1"/>
    <col min="7" max="16384" width="9.109375" style="21"/>
  </cols>
  <sheetData>
    <row r="1" spans="1:5" x14ac:dyDescent="0.25">
      <c r="A1" s="42"/>
      <c r="B1" s="90" t="s">
        <v>130</v>
      </c>
      <c r="C1" s="91"/>
      <c r="D1" s="92" t="s">
        <v>126</v>
      </c>
      <c r="E1" s="93"/>
    </row>
    <row r="2" spans="1:5" x14ac:dyDescent="0.25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5">
      <c r="A3" s="42" t="s">
        <v>1</v>
      </c>
      <c r="B3" s="53">
        <v>15</v>
      </c>
      <c r="C3" s="53">
        <v>27</v>
      </c>
      <c r="D3" s="53">
        <v>82</v>
      </c>
      <c r="E3" s="53">
        <v>145</v>
      </c>
    </row>
    <row r="4" spans="1:5" x14ac:dyDescent="0.25">
      <c r="A4" s="42" t="s">
        <v>2</v>
      </c>
      <c r="B4" s="53">
        <v>0</v>
      </c>
      <c r="C4" s="53">
        <v>0</v>
      </c>
      <c r="D4" s="53">
        <v>821</v>
      </c>
      <c r="E4" s="53">
        <v>591</v>
      </c>
    </row>
    <row r="5" spans="1:5" x14ac:dyDescent="0.25">
      <c r="A5" s="42" t="s">
        <v>3</v>
      </c>
      <c r="B5" s="53">
        <v>2</v>
      </c>
      <c r="C5" s="53">
        <v>9</v>
      </c>
      <c r="D5" s="53">
        <v>17</v>
      </c>
      <c r="E5" s="53">
        <v>37</v>
      </c>
    </row>
    <row r="6" spans="1:5" x14ac:dyDescent="0.25">
      <c r="A6" s="42" t="s">
        <v>4</v>
      </c>
      <c r="B6" s="53">
        <v>10</v>
      </c>
      <c r="C6" s="53">
        <v>8</v>
      </c>
      <c r="D6" s="53">
        <v>52</v>
      </c>
      <c r="E6" s="53">
        <v>74</v>
      </c>
    </row>
    <row r="7" spans="1:5" x14ac:dyDescent="0.25">
      <c r="A7" s="42" t="s">
        <v>5</v>
      </c>
      <c r="B7" s="53">
        <v>0</v>
      </c>
      <c r="C7" s="53">
        <v>0</v>
      </c>
      <c r="D7" s="53">
        <v>5</v>
      </c>
      <c r="E7" s="53">
        <v>8</v>
      </c>
    </row>
    <row r="8" spans="1:5" x14ac:dyDescent="0.25">
      <c r="A8" s="42" t="s">
        <v>6</v>
      </c>
      <c r="B8" s="53">
        <v>0</v>
      </c>
      <c r="C8" s="53">
        <v>0</v>
      </c>
      <c r="D8" s="53">
        <v>558</v>
      </c>
      <c r="E8" s="53">
        <v>446</v>
      </c>
    </row>
    <row r="9" spans="1:5" x14ac:dyDescent="0.25">
      <c r="A9" s="42" t="s">
        <v>7</v>
      </c>
      <c r="B9" s="53">
        <v>16</v>
      </c>
      <c r="C9" s="53">
        <v>15</v>
      </c>
      <c r="D9" s="53">
        <v>57</v>
      </c>
      <c r="E9" s="53">
        <v>77</v>
      </c>
    </row>
    <row r="10" spans="1:5" x14ac:dyDescent="0.25">
      <c r="A10" s="42" t="s">
        <v>8</v>
      </c>
      <c r="B10" s="53">
        <v>1</v>
      </c>
      <c r="C10" s="53">
        <v>10</v>
      </c>
      <c r="D10" s="53">
        <v>27</v>
      </c>
      <c r="E10" s="53">
        <v>44</v>
      </c>
    </row>
    <row r="11" spans="1:5" x14ac:dyDescent="0.25">
      <c r="A11" s="42" t="s">
        <v>9</v>
      </c>
      <c r="B11" s="53">
        <v>54</v>
      </c>
      <c r="C11" s="53">
        <v>59</v>
      </c>
      <c r="D11" s="53">
        <v>673</v>
      </c>
      <c r="E11" s="53">
        <v>766</v>
      </c>
    </row>
    <row r="12" spans="1:5" x14ac:dyDescent="0.25">
      <c r="A12" s="42" t="s">
        <v>10</v>
      </c>
      <c r="B12" s="53">
        <v>11</v>
      </c>
      <c r="C12" s="53">
        <v>35</v>
      </c>
      <c r="D12" s="53">
        <v>82</v>
      </c>
      <c r="E12" s="53">
        <v>165</v>
      </c>
    </row>
    <row r="13" spans="1:5" x14ac:dyDescent="0.25">
      <c r="A13" s="42" t="s">
        <v>11</v>
      </c>
      <c r="B13" s="53">
        <v>0</v>
      </c>
      <c r="C13" s="53">
        <v>0</v>
      </c>
      <c r="D13" s="53">
        <v>63</v>
      </c>
      <c r="E13" s="53">
        <v>62</v>
      </c>
    </row>
    <row r="14" spans="1:5" x14ac:dyDescent="0.25">
      <c r="A14" s="42" t="s">
        <v>12</v>
      </c>
      <c r="B14" s="53">
        <v>0</v>
      </c>
      <c r="C14" s="53">
        <v>0</v>
      </c>
      <c r="D14" s="53">
        <v>1</v>
      </c>
      <c r="E14" s="53">
        <v>3</v>
      </c>
    </row>
    <row r="15" spans="1:5" x14ac:dyDescent="0.25">
      <c r="A15" s="42" t="s">
        <v>13</v>
      </c>
      <c r="B15" s="53">
        <v>0</v>
      </c>
      <c r="C15" s="53">
        <v>0</v>
      </c>
      <c r="D15" s="53">
        <v>31</v>
      </c>
      <c r="E15" s="53">
        <v>38</v>
      </c>
    </row>
    <row r="16" spans="1:5" x14ac:dyDescent="0.25">
      <c r="A16" s="42" t="s">
        <v>14</v>
      </c>
      <c r="B16" s="53">
        <v>1</v>
      </c>
      <c r="C16" s="53">
        <v>1</v>
      </c>
      <c r="D16" s="53">
        <v>81</v>
      </c>
      <c r="E16" s="53">
        <v>75</v>
      </c>
    </row>
    <row r="17" spans="1:5" x14ac:dyDescent="0.25">
      <c r="A17" s="42" t="s">
        <v>15</v>
      </c>
      <c r="B17" s="53">
        <v>0</v>
      </c>
      <c r="C17" s="53">
        <v>0</v>
      </c>
      <c r="D17" s="53">
        <v>592</v>
      </c>
      <c r="E17" s="53">
        <v>610</v>
      </c>
    </row>
    <row r="18" spans="1:5" x14ac:dyDescent="0.25">
      <c r="A18" s="42" t="s">
        <v>16</v>
      </c>
      <c r="B18" s="53">
        <v>0</v>
      </c>
      <c r="C18" s="53">
        <v>0</v>
      </c>
      <c r="D18" s="53">
        <v>11</v>
      </c>
      <c r="E18" s="53">
        <v>14</v>
      </c>
    </row>
    <row r="19" spans="1:5" x14ac:dyDescent="0.25">
      <c r="A19" s="42" t="s">
        <v>17</v>
      </c>
      <c r="B19" s="53">
        <v>2</v>
      </c>
      <c r="C19" s="53">
        <v>4</v>
      </c>
      <c r="D19" s="53">
        <v>26</v>
      </c>
      <c r="E19" s="53">
        <v>39</v>
      </c>
    </row>
    <row r="20" spans="1:5" x14ac:dyDescent="0.25">
      <c r="A20" s="42" t="s">
        <v>18</v>
      </c>
      <c r="B20" s="53">
        <v>0</v>
      </c>
      <c r="C20" s="53">
        <v>8</v>
      </c>
      <c r="D20" s="53">
        <v>23</v>
      </c>
      <c r="E20" s="53">
        <v>32</v>
      </c>
    </row>
    <row r="21" spans="1:5" x14ac:dyDescent="0.25">
      <c r="A21" s="42" t="s">
        <v>19</v>
      </c>
      <c r="B21" s="53">
        <v>0</v>
      </c>
      <c r="C21" s="53">
        <v>3</v>
      </c>
      <c r="D21" s="53">
        <v>18</v>
      </c>
      <c r="E21" s="53">
        <v>38</v>
      </c>
    </row>
    <row r="22" spans="1:5" x14ac:dyDescent="0.25">
      <c r="A22" s="42" t="s">
        <v>20</v>
      </c>
      <c r="B22" s="53">
        <v>0</v>
      </c>
      <c r="C22" s="53">
        <v>0</v>
      </c>
      <c r="D22" s="53">
        <v>30</v>
      </c>
      <c r="E22" s="53">
        <v>41</v>
      </c>
    </row>
    <row r="23" spans="1:5" x14ac:dyDescent="0.25">
      <c r="A23" s="42" t="s">
        <v>21</v>
      </c>
      <c r="B23" s="53">
        <v>0</v>
      </c>
      <c r="C23" s="53">
        <v>0</v>
      </c>
      <c r="D23" s="53">
        <v>251</v>
      </c>
      <c r="E23" s="53">
        <v>293</v>
      </c>
    </row>
    <row r="24" spans="1:5" x14ac:dyDescent="0.25">
      <c r="A24" s="42" t="s">
        <v>22</v>
      </c>
      <c r="B24" s="53">
        <v>37</v>
      </c>
      <c r="C24" s="53">
        <v>17</v>
      </c>
      <c r="D24" s="53">
        <v>515</v>
      </c>
      <c r="E24" s="53">
        <v>330</v>
      </c>
    </row>
    <row r="25" spans="1:5" x14ac:dyDescent="0.25">
      <c r="A25" s="42" t="s">
        <v>23</v>
      </c>
      <c r="B25" s="53">
        <v>1</v>
      </c>
      <c r="C25" s="53">
        <v>0</v>
      </c>
      <c r="D25" s="53">
        <v>410</v>
      </c>
      <c r="E25" s="53">
        <v>294</v>
      </c>
    </row>
    <row r="26" spans="1:5" x14ac:dyDescent="0.25">
      <c r="A26" s="42" t="s">
        <v>24</v>
      </c>
      <c r="B26" s="53">
        <v>0</v>
      </c>
      <c r="C26" s="53">
        <v>1</v>
      </c>
      <c r="D26" s="53">
        <v>4</v>
      </c>
      <c r="E26" s="53">
        <v>16</v>
      </c>
    </row>
    <row r="27" spans="1:5" x14ac:dyDescent="0.25">
      <c r="A27" s="42" t="s">
        <v>25</v>
      </c>
      <c r="B27" s="53">
        <v>0</v>
      </c>
      <c r="C27" s="53">
        <v>0</v>
      </c>
      <c r="D27" s="53">
        <v>141</v>
      </c>
      <c r="E27" s="53">
        <v>126</v>
      </c>
    </row>
    <row r="28" spans="1:5" x14ac:dyDescent="0.25">
      <c r="A28" s="42" t="s">
        <v>26</v>
      </c>
      <c r="B28" s="53">
        <v>0</v>
      </c>
      <c r="C28" s="53">
        <v>0</v>
      </c>
      <c r="D28" s="53">
        <v>49</v>
      </c>
      <c r="E28" s="53">
        <v>60</v>
      </c>
    </row>
    <row r="29" spans="1:5" x14ac:dyDescent="0.25">
      <c r="A29" s="42" t="s">
        <v>27</v>
      </c>
      <c r="B29" s="53">
        <v>0</v>
      </c>
      <c r="C29" s="53">
        <v>0</v>
      </c>
      <c r="D29" s="53">
        <v>0</v>
      </c>
      <c r="E29" s="53">
        <v>1</v>
      </c>
    </row>
    <row r="30" spans="1:5" x14ac:dyDescent="0.25">
      <c r="A30" s="42" t="s">
        <v>28</v>
      </c>
      <c r="B30" s="53">
        <v>16</v>
      </c>
      <c r="C30" s="53">
        <v>21</v>
      </c>
      <c r="D30" s="53">
        <v>119</v>
      </c>
      <c r="E30" s="53">
        <v>211</v>
      </c>
    </row>
    <row r="31" spans="1:5" x14ac:dyDescent="0.25">
      <c r="A31" s="42" t="s">
        <v>29</v>
      </c>
      <c r="B31" s="53">
        <v>0</v>
      </c>
      <c r="C31" s="53">
        <v>0</v>
      </c>
      <c r="D31" s="53">
        <v>7</v>
      </c>
      <c r="E31" s="53">
        <v>8</v>
      </c>
    </row>
    <row r="32" spans="1:5" x14ac:dyDescent="0.25">
      <c r="A32" s="42" t="s">
        <v>30</v>
      </c>
      <c r="B32" s="53">
        <v>0</v>
      </c>
      <c r="C32" s="53">
        <v>0</v>
      </c>
      <c r="D32" s="53">
        <v>14</v>
      </c>
      <c r="E32" s="53">
        <v>14</v>
      </c>
    </row>
    <row r="33" spans="1:5" x14ac:dyDescent="0.25">
      <c r="A33" s="42" t="s">
        <v>31</v>
      </c>
      <c r="B33" s="53">
        <v>0</v>
      </c>
      <c r="C33" s="53">
        <v>0</v>
      </c>
      <c r="D33" s="53">
        <v>11</v>
      </c>
      <c r="E33" s="53">
        <v>11</v>
      </c>
    </row>
    <row r="34" spans="1:5" x14ac:dyDescent="0.25">
      <c r="A34" s="42" t="s">
        <v>32</v>
      </c>
      <c r="B34" s="53">
        <v>1</v>
      </c>
      <c r="C34" s="53">
        <v>3</v>
      </c>
      <c r="D34" s="53">
        <v>32</v>
      </c>
      <c r="E34" s="53">
        <v>31</v>
      </c>
    </row>
    <row r="35" spans="1:5" x14ac:dyDescent="0.25">
      <c r="A35" s="42" t="s">
        <v>33</v>
      </c>
      <c r="B35" s="53">
        <v>0</v>
      </c>
      <c r="C35" s="53">
        <v>0</v>
      </c>
      <c r="D35" s="53">
        <v>6</v>
      </c>
      <c r="E35" s="53">
        <v>11</v>
      </c>
    </row>
    <row r="36" spans="1:5" x14ac:dyDescent="0.25">
      <c r="A36" s="42" t="s">
        <v>34</v>
      </c>
      <c r="B36" s="53">
        <v>1</v>
      </c>
      <c r="C36" s="53">
        <v>1</v>
      </c>
      <c r="D36" s="53">
        <v>15</v>
      </c>
      <c r="E36" s="53">
        <v>8</v>
      </c>
    </row>
    <row r="37" spans="1:5" x14ac:dyDescent="0.25">
      <c r="A37" s="42" t="s">
        <v>35</v>
      </c>
      <c r="B37" s="53">
        <v>0</v>
      </c>
      <c r="C37" s="53">
        <v>0</v>
      </c>
      <c r="D37" s="53">
        <v>181</v>
      </c>
      <c r="E37" s="53">
        <v>150</v>
      </c>
    </row>
    <row r="38" spans="1:5" x14ac:dyDescent="0.25">
      <c r="A38" s="42" t="s">
        <v>36</v>
      </c>
      <c r="B38" s="53">
        <v>81</v>
      </c>
      <c r="C38" s="53">
        <v>135</v>
      </c>
      <c r="D38" s="53">
        <v>628</v>
      </c>
      <c r="E38" s="53">
        <v>743</v>
      </c>
    </row>
    <row r="39" spans="1:5" x14ac:dyDescent="0.25">
      <c r="A39" s="42" t="s">
        <v>37</v>
      </c>
      <c r="B39" s="53">
        <v>5</v>
      </c>
      <c r="C39" s="53">
        <v>6</v>
      </c>
      <c r="D39" s="53">
        <v>32</v>
      </c>
      <c r="E39" s="53">
        <v>40</v>
      </c>
    </row>
    <row r="40" spans="1:5" x14ac:dyDescent="0.25">
      <c r="A40" s="42" t="s">
        <v>38</v>
      </c>
      <c r="B40" s="53">
        <v>0</v>
      </c>
      <c r="C40" s="53">
        <v>0</v>
      </c>
      <c r="D40" s="53">
        <v>80</v>
      </c>
      <c r="E40" s="53">
        <v>79</v>
      </c>
    </row>
    <row r="41" spans="1:5" x14ac:dyDescent="0.25">
      <c r="A41" s="42" t="s">
        <v>39</v>
      </c>
      <c r="B41" s="53">
        <v>0</v>
      </c>
      <c r="C41" s="53">
        <v>0</v>
      </c>
      <c r="D41" s="53">
        <v>356</v>
      </c>
      <c r="E41" s="53">
        <v>264</v>
      </c>
    </row>
    <row r="42" spans="1:5" x14ac:dyDescent="0.25">
      <c r="A42" s="42" t="s">
        <v>40</v>
      </c>
      <c r="B42" s="53">
        <v>0</v>
      </c>
      <c r="C42" s="53">
        <v>0</v>
      </c>
      <c r="D42" s="53">
        <v>211</v>
      </c>
      <c r="E42" s="53">
        <v>161</v>
      </c>
    </row>
    <row r="43" spans="1:5" x14ac:dyDescent="0.25">
      <c r="A43" s="42" t="s">
        <v>41</v>
      </c>
      <c r="B43" s="53">
        <v>8</v>
      </c>
      <c r="C43" s="53">
        <v>5</v>
      </c>
      <c r="D43" s="53">
        <v>75</v>
      </c>
      <c r="E43" s="53">
        <v>105</v>
      </c>
    </row>
    <row r="44" spans="1:5" x14ac:dyDescent="0.25">
      <c r="A44" s="42" t="s">
        <v>42</v>
      </c>
      <c r="B44" s="53">
        <v>0</v>
      </c>
      <c r="C44" s="53">
        <v>0</v>
      </c>
      <c r="D44" s="53">
        <v>10</v>
      </c>
      <c r="E44" s="53">
        <v>10</v>
      </c>
    </row>
    <row r="45" spans="1:5" x14ac:dyDescent="0.25">
      <c r="A45" s="42" t="s">
        <v>43</v>
      </c>
      <c r="B45" s="53">
        <v>4</v>
      </c>
      <c r="C45" s="53">
        <v>2</v>
      </c>
      <c r="D45" s="53">
        <v>53</v>
      </c>
      <c r="E45" s="53">
        <v>50</v>
      </c>
    </row>
    <row r="46" spans="1:5" x14ac:dyDescent="0.25">
      <c r="A46" s="42" t="s">
        <v>44</v>
      </c>
      <c r="B46" s="53">
        <v>5</v>
      </c>
      <c r="C46" s="53">
        <v>3</v>
      </c>
      <c r="D46" s="53">
        <v>9</v>
      </c>
      <c r="E46" s="53">
        <v>21</v>
      </c>
    </row>
    <row r="47" spans="1:5" x14ac:dyDescent="0.25">
      <c r="A47" s="42" t="s">
        <v>45</v>
      </c>
      <c r="B47" s="53">
        <v>6</v>
      </c>
      <c r="C47" s="53">
        <v>5</v>
      </c>
      <c r="D47" s="53">
        <v>197</v>
      </c>
      <c r="E47" s="53">
        <v>148</v>
      </c>
    </row>
    <row r="48" spans="1:5" x14ac:dyDescent="0.25">
      <c r="A48" s="42" t="s">
        <v>46</v>
      </c>
      <c r="B48" s="53">
        <v>82</v>
      </c>
      <c r="C48" s="53">
        <v>67</v>
      </c>
      <c r="D48" s="53">
        <v>993</v>
      </c>
      <c r="E48" s="53">
        <v>840</v>
      </c>
    </row>
    <row r="49" spans="1:5" x14ac:dyDescent="0.25">
      <c r="A49" s="42" t="s">
        <v>47</v>
      </c>
      <c r="B49" s="53">
        <v>0</v>
      </c>
      <c r="C49" s="53">
        <v>1</v>
      </c>
      <c r="D49" s="53">
        <v>4</v>
      </c>
      <c r="E49" s="53">
        <v>8</v>
      </c>
    </row>
    <row r="50" spans="1:5" x14ac:dyDescent="0.25">
      <c r="A50" s="42" t="s">
        <v>48</v>
      </c>
      <c r="B50" s="53">
        <v>0</v>
      </c>
      <c r="C50" s="53">
        <v>0</v>
      </c>
      <c r="D50" s="53">
        <v>364</v>
      </c>
      <c r="E50" s="53">
        <v>281</v>
      </c>
    </row>
    <row r="51" spans="1:5" x14ac:dyDescent="0.25">
      <c r="A51" s="42" t="s">
        <v>49</v>
      </c>
      <c r="B51" s="53">
        <v>5</v>
      </c>
      <c r="C51" s="53">
        <v>3</v>
      </c>
      <c r="D51" s="53">
        <v>41</v>
      </c>
      <c r="E51" s="53">
        <v>44</v>
      </c>
    </row>
    <row r="52" spans="1:5" x14ac:dyDescent="0.25">
      <c r="A52" s="42" t="s">
        <v>50</v>
      </c>
      <c r="B52" s="53">
        <v>0</v>
      </c>
      <c r="C52" s="53">
        <v>0</v>
      </c>
      <c r="D52" s="53">
        <v>31</v>
      </c>
      <c r="E52" s="53">
        <v>51</v>
      </c>
    </row>
    <row r="53" spans="1:5" x14ac:dyDescent="0.25">
      <c r="A53" s="42" t="s">
        <v>51</v>
      </c>
      <c r="B53" s="53">
        <v>0</v>
      </c>
      <c r="C53" s="53">
        <v>0</v>
      </c>
      <c r="D53" s="53">
        <v>2123</v>
      </c>
      <c r="E53" s="53">
        <v>622</v>
      </c>
    </row>
    <row r="54" spans="1:5" x14ac:dyDescent="0.25">
      <c r="A54" s="42" t="s">
        <v>52</v>
      </c>
      <c r="B54" s="53">
        <v>8</v>
      </c>
      <c r="C54" s="53">
        <v>13</v>
      </c>
      <c r="D54" s="53">
        <v>48</v>
      </c>
      <c r="E54" s="53">
        <v>65</v>
      </c>
    </row>
    <row r="55" spans="1:5" x14ac:dyDescent="0.25">
      <c r="A55" s="42" t="s">
        <v>53</v>
      </c>
      <c r="B55" s="53">
        <v>0</v>
      </c>
      <c r="C55" s="53">
        <v>0</v>
      </c>
      <c r="D55" s="53">
        <v>6</v>
      </c>
      <c r="E55" s="53">
        <v>10</v>
      </c>
    </row>
    <row r="56" spans="1:5" x14ac:dyDescent="0.25">
      <c r="A56" s="42" t="s">
        <v>54</v>
      </c>
      <c r="B56" s="53">
        <v>4</v>
      </c>
      <c r="C56" s="53">
        <v>7</v>
      </c>
      <c r="D56" s="53">
        <v>84</v>
      </c>
      <c r="E56" s="53">
        <v>92</v>
      </c>
    </row>
    <row r="57" spans="1:5" x14ac:dyDescent="0.25">
      <c r="A57" s="42" t="s">
        <v>55</v>
      </c>
      <c r="B57" s="53">
        <v>0</v>
      </c>
      <c r="C57" s="53">
        <v>0</v>
      </c>
      <c r="D57" s="53">
        <v>4</v>
      </c>
      <c r="E57" s="53">
        <v>6</v>
      </c>
    </row>
    <row r="58" spans="1:5" x14ac:dyDescent="0.25">
      <c r="A58" s="42" t="s">
        <v>56</v>
      </c>
      <c r="B58" s="53">
        <v>0</v>
      </c>
      <c r="C58" s="53">
        <v>0</v>
      </c>
      <c r="D58" s="53">
        <v>43</v>
      </c>
      <c r="E58" s="53">
        <v>51</v>
      </c>
    </row>
    <row r="59" spans="1:5" x14ac:dyDescent="0.25">
      <c r="A59" s="42" t="s">
        <v>57</v>
      </c>
      <c r="B59" s="53">
        <v>0</v>
      </c>
      <c r="C59" s="53">
        <v>0</v>
      </c>
      <c r="D59" s="53">
        <v>1</v>
      </c>
      <c r="E59" s="53">
        <v>5</v>
      </c>
    </row>
    <row r="60" spans="1:5" x14ac:dyDescent="0.25">
      <c r="A60" s="42" t="s">
        <v>58</v>
      </c>
      <c r="B60" s="53">
        <v>0</v>
      </c>
      <c r="C60" s="53">
        <v>0</v>
      </c>
      <c r="D60" s="53">
        <v>12</v>
      </c>
      <c r="E60" s="53">
        <v>16</v>
      </c>
    </row>
    <row r="61" spans="1:5" x14ac:dyDescent="0.25">
      <c r="A61" s="42" t="s">
        <v>59</v>
      </c>
      <c r="B61" s="53">
        <v>0</v>
      </c>
      <c r="C61" s="53">
        <v>0</v>
      </c>
      <c r="D61" s="53">
        <v>17</v>
      </c>
      <c r="E61" s="53">
        <v>20</v>
      </c>
    </row>
    <row r="62" spans="1:5" x14ac:dyDescent="0.25">
      <c r="A62" s="42" t="s">
        <v>60</v>
      </c>
      <c r="B62" s="53">
        <v>0</v>
      </c>
      <c r="C62" s="53">
        <v>0</v>
      </c>
      <c r="D62" s="53">
        <v>7</v>
      </c>
      <c r="E62" s="53">
        <v>16</v>
      </c>
    </row>
    <row r="63" spans="1:5" x14ac:dyDescent="0.25">
      <c r="A63" s="42" t="s">
        <v>61</v>
      </c>
      <c r="B63" s="53">
        <v>0</v>
      </c>
      <c r="C63" s="53">
        <v>0</v>
      </c>
      <c r="D63" s="53">
        <v>22</v>
      </c>
      <c r="E63" s="53">
        <v>36</v>
      </c>
    </row>
    <row r="64" spans="1:5" x14ac:dyDescent="0.25">
      <c r="A64" s="42" t="s">
        <v>62</v>
      </c>
      <c r="B64" s="53">
        <v>0</v>
      </c>
      <c r="C64" s="53">
        <v>0</v>
      </c>
      <c r="D64" s="53">
        <v>17</v>
      </c>
      <c r="E64" s="53">
        <v>24</v>
      </c>
    </row>
    <row r="65" spans="1:5" x14ac:dyDescent="0.25">
      <c r="A65" s="42" t="s">
        <v>63</v>
      </c>
      <c r="B65" s="53">
        <v>0</v>
      </c>
      <c r="C65" s="53">
        <v>0</v>
      </c>
      <c r="D65" s="53">
        <v>101</v>
      </c>
      <c r="E65" s="53">
        <v>111</v>
      </c>
    </row>
    <row r="66" spans="1:5" x14ac:dyDescent="0.25">
      <c r="A66" s="42" t="s">
        <v>64</v>
      </c>
      <c r="B66" s="53">
        <v>0</v>
      </c>
      <c r="C66" s="53">
        <v>1</v>
      </c>
      <c r="D66" s="53">
        <v>31</v>
      </c>
      <c r="E66" s="53">
        <v>27</v>
      </c>
    </row>
    <row r="67" spans="1:5" x14ac:dyDescent="0.25">
      <c r="A67" s="42" t="s">
        <v>65</v>
      </c>
      <c r="B67" s="53">
        <v>0</v>
      </c>
      <c r="C67" s="53">
        <v>0</v>
      </c>
      <c r="D67" s="53">
        <v>163</v>
      </c>
      <c r="E67" s="53">
        <v>155</v>
      </c>
    </row>
    <row r="68" spans="1:5" x14ac:dyDescent="0.25">
      <c r="A68" s="42" t="s">
        <v>66</v>
      </c>
      <c r="B68" s="53">
        <v>3</v>
      </c>
      <c r="C68" s="53">
        <v>5</v>
      </c>
      <c r="D68" s="53">
        <v>24</v>
      </c>
      <c r="E68" s="53">
        <v>34</v>
      </c>
    </row>
    <row r="69" spans="1:5" x14ac:dyDescent="0.25">
      <c r="A69" s="42" t="s">
        <v>67</v>
      </c>
      <c r="B69" s="53">
        <v>0</v>
      </c>
      <c r="C69" s="53">
        <v>0</v>
      </c>
      <c r="D69" s="53">
        <v>433</v>
      </c>
      <c r="E69" s="53">
        <v>493</v>
      </c>
    </row>
    <row r="70" spans="1:5" x14ac:dyDescent="0.25">
      <c r="A70" s="39" t="s">
        <v>68</v>
      </c>
      <c r="B70" s="43">
        <f>SUM(B3:B69)</f>
        <v>379</v>
      </c>
      <c r="C70" s="43">
        <f>SUM(C3:C69)</f>
        <v>475</v>
      </c>
      <c r="D70" s="43">
        <f t="shared" ref="D70:E70" si="0">SUM(D3:D69)</f>
        <v>11225</v>
      </c>
      <c r="E70" s="43">
        <f t="shared" si="0"/>
        <v>9497</v>
      </c>
    </row>
    <row r="71" spans="1:5" x14ac:dyDescent="0.25">
      <c r="D71" s="89"/>
      <c r="E71" s="89"/>
    </row>
    <row r="72" spans="1:5" x14ac:dyDescent="0.25">
      <c r="B72" s="29"/>
      <c r="C72" s="29"/>
      <c r="D72" s="29"/>
      <c r="E72" s="29"/>
    </row>
    <row r="73" spans="1:5" x14ac:dyDescent="0.25">
      <c r="D73" s="89"/>
      <c r="E73" s="89"/>
    </row>
    <row r="74" spans="1:5" x14ac:dyDescent="0.25">
      <c r="D74" s="89"/>
      <c r="E74" s="89"/>
    </row>
    <row r="75" spans="1:5" x14ac:dyDescent="0.25">
      <c r="B75" s="29"/>
      <c r="D75" s="89"/>
      <c r="E75" s="89"/>
    </row>
    <row r="76" spans="1:5" x14ac:dyDescent="0.25">
      <c r="B76" s="29"/>
      <c r="D76" s="89"/>
      <c r="E76" s="89"/>
    </row>
    <row r="77" spans="1:5" x14ac:dyDescent="0.25">
      <c r="B77" s="29"/>
      <c r="D77" s="89"/>
      <c r="E77" s="89"/>
    </row>
    <row r="78" spans="1:5" x14ac:dyDescent="0.25">
      <c r="B78" s="29"/>
      <c r="D78" s="89"/>
      <c r="E78" s="89"/>
    </row>
    <row r="79" spans="1:5" x14ac:dyDescent="0.25">
      <c r="D79" s="89"/>
      <c r="E79" s="89"/>
    </row>
    <row r="80" spans="1:5" x14ac:dyDescent="0.25">
      <c r="D80" s="89"/>
      <c r="E80" s="89"/>
    </row>
    <row r="81" spans="4:5" x14ac:dyDescent="0.25">
      <c r="D81" s="89"/>
      <c r="E81" s="89"/>
    </row>
    <row r="82" spans="4:5" x14ac:dyDescent="0.25">
      <c r="D82" s="89"/>
      <c r="E82" s="89"/>
    </row>
    <row r="83" spans="4:5" x14ac:dyDescent="0.25">
      <c r="D83" s="89"/>
      <c r="E83" s="89"/>
    </row>
    <row r="84" spans="4:5" x14ac:dyDescent="0.25">
      <c r="D84" s="89"/>
      <c r="E84" s="89"/>
    </row>
    <row r="85" spans="4:5" x14ac:dyDescent="0.25">
      <c r="D85" s="89"/>
      <c r="E85" s="89"/>
    </row>
    <row r="86" spans="4:5" x14ac:dyDescent="0.25">
      <c r="D86" s="89"/>
      <c r="E86" s="89"/>
    </row>
    <row r="87" spans="4:5" x14ac:dyDescent="0.25">
      <c r="D87" s="89"/>
      <c r="E87" s="89"/>
    </row>
    <row r="88" spans="4:5" x14ac:dyDescent="0.25">
      <c r="D88" s="89"/>
      <c r="E88" s="89"/>
    </row>
    <row r="89" spans="4:5" x14ac:dyDescent="0.25">
      <c r="D89" s="89"/>
      <c r="E89" s="89"/>
    </row>
    <row r="90" spans="4:5" x14ac:dyDescent="0.25">
      <c r="D90" s="89"/>
      <c r="E90" s="89"/>
    </row>
    <row r="91" spans="4:5" x14ac:dyDescent="0.25">
      <c r="D91" s="89"/>
      <c r="E91" s="89"/>
    </row>
    <row r="92" spans="4:5" x14ac:dyDescent="0.25">
      <c r="D92" s="89"/>
      <c r="E92" s="89"/>
    </row>
    <row r="93" spans="4:5" x14ac:dyDescent="0.25">
      <c r="D93" s="89"/>
      <c r="E93" s="89"/>
    </row>
    <row r="94" spans="4:5" x14ac:dyDescent="0.25">
      <c r="D94" s="89"/>
      <c r="E94" s="89"/>
    </row>
    <row r="95" spans="4:5" x14ac:dyDescent="0.25">
      <c r="D95" s="89"/>
      <c r="E95" s="89"/>
    </row>
    <row r="96" spans="4:5" x14ac:dyDescent="0.25">
      <c r="D96" s="89"/>
      <c r="E96" s="89"/>
    </row>
    <row r="97" spans="4:5" x14ac:dyDescent="0.25">
      <c r="D97" s="89"/>
      <c r="E97" s="89"/>
    </row>
    <row r="98" spans="4:5" x14ac:dyDescent="0.25">
      <c r="D98" s="89"/>
      <c r="E98" s="89"/>
    </row>
    <row r="99" spans="4:5" x14ac:dyDescent="0.25">
      <c r="D99" s="89"/>
      <c r="E99" s="89"/>
    </row>
    <row r="100" spans="4:5" x14ac:dyDescent="0.25">
      <c r="D100" s="89"/>
      <c r="E100" s="89"/>
    </row>
    <row r="101" spans="4:5" x14ac:dyDescent="0.25">
      <c r="D101" s="89"/>
      <c r="E101" s="89"/>
    </row>
    <row r="102" spans="4:5" x14ac:dyDescent="0.25">
      <c r="D102" s="89"/>
      <c r="E102" s="89"/>
    </row>
    <row r="103" spans="4:5" x14ac:dyDescent="0.25">
      <c r="D103" s="89"/>
      <c r="E103" s="89"/>
    </row>
    <row r="104" spans="4:5" x14ac:dyDescent="0.25">
      <c r="D104" s="89"/>
      <c r="E104" s="89"/>
    </row>
    <row r="105" spans="4:5" x14ac:dyDescent="0.25">
      <c r="D105" s="89"/>
      <c r="E105" s="89"/>
    </row>
    <row r="106" spans="4:5" x14ac:dyDescent="0.25">
      <c r="D106" s="89"/>
      <c r="E106" s="89"/>
    </row>
    <row r="107" spans="4:5" x14ac:dyDescent="0.25">
      <c r="D107" s="89"/>
      <c r="E107" s="89"/>
    </row>
    <row r="108" spans="4:5" x14ac:dyDescent="0.25">
      <c r="D108" s="89"/>
      <c r="E108" s="89"/>
    </row>
    <row r="109" spans="4:5" x14ac:dyDescent="0.25">
      <c r="D109" s="89"/>
      <c r="E109" s="89"/>
    </row>
    <row r="110" spans="4:5" x14ac:dyDescent="0.25">
      <c r="D110" s="89"/>
      <c r="E110" s="89"/>
    </row>
    <row r="111" spans="4:5" x14ac:dyDescent="0.25">
      <c r="D111" s="89"/>
      <c r="E111" s="89"/>
    </row>
    <row r="112" spans="4:5" x14ac:dyDescent="0.25">
      <c r="D112" s="89"/>
      <c r="E112" s="89"/>
    </row>
    <row r="113" spans="4:5" x14ac:dyDescent="0.25">
      <c r="D113" s="89"/>
      <c r="E113" s="89"/>
    </row>
    <row r="114" spans="4:5" x14ac:dyDescent="0.25">
      <c r="D114" s="89"/>
      <c r="E114" s="89"/>
    </row>
    <row r="115" spans="4:5" x14ac:dyDescent="0.25">
      <c r="D115" s="89"/>
      <c r="E115" s="89"/>
    </row>
    <row r="116" spans="4:5" x14ac:dyDescent="0.25">
      <c r="D116" s="89"/>
      <c r="E116" s="89"/>
    </row>
    <row r="117" spans="4:5" x14ac:dyDescent="0.25">
      <c r="D117" s="89"/>
      <c r="E117" s="89"/>
    </row>
    <row r="118" spans="4:5" x14ac:dyDescent="0.25">
      <c r="D118" s="89"/>
      <c r="E118" s="89"/>
    </row>
    <row r="119" spans="4:5" x14ac:dyDescent="0.25">
      <c r="D119" s="89"/>
      <c r="E119" s="89"/>
    </row>
    <row r="120" spans="4:5" x14ac:dyDescent="0.25">
      <c r="D120" s="89"/>
      <c r="E120" s="89"/>
    </row>
    <row r="121" spans="4:5" x14ac:dyDescent="0.25">
      <c r="D121" s="89"/>
      <c r="E121" s="89"/>
    </row>
    <row r="122" spans="4:5" x14ac:dyDescent="0.25">
      <c r="D122" s="89"/>
      <c r="E122" s="89"/>
    </row>
    <row r="123" spans="4:5" x14ac:dyDescent="0.25">
      <c r="D123" s="89"/>
      <c r="E123" s="89"/>
    </row>
    <row r="124" spans="4:5" x14ac:dyDescent="0.25">
      <c r="D124" s="89"/>
      <c r="E124" s="89"/>
    </row>
    <row r="125" spans="4:5" x14ac:dyDescent="0.25">
      <c r="D125" s="89"/>
      <c r="E125" s="89"/>
    </row>
    <row r="126" spans="4:5" x14ac:dyDescent="0.25">
      <c r="D126" s="89"/>
      <c r="E126" s="89"/>
    </row>
    <row r="127" spans="4:5" x14ac:dyDescent="0.25">
      <c r="D127" s="89"/>
      <c r="E127" s="89"/>
    </row>
    <row r="128" spans="4:5" x14ac:dyDescent="0.25">
      <c r="D128" s="89"/>
      <c r="E128" s="89"/>
    </row>
    <row r="129" spans="4:5" x14ac:dyDescent="0.25">
      <c r="D129" s="89"/>
      <c r="E129" s="89"/>
    </row>
    <row r="130" spans="4:5" x14ac:dyDescent="0.25">
      <c r="D130" s="89"/>
      <c r="E130" s="89"/>
    </row>
    <row r="131" spans="4:5" x14ac:dyDescent="0.25">
      <c r="D131" s="89"/>
      <c r="E131" s="89"/>
    </row>
    <row r="132" spans="4:5" x14ac:dyDescent="0.25">
      <c r="D132" s="89"/>
      <c r="E132" s="89"/>
    </row>
    <row r="133" spans="4:5" x14ac:dyDescent="0.25">
      <c r="D133" s="89"/>
      <c r="E133" s="89"/>
    </row>
    <row r="134" spans="4:5" x14ac:dyDescent="0.25">
      <c r="D134" s="89"/>
      <c r="E134" s="89"/>
    </row>
    <row r="135" spans="4:5" x14ac:dyDescent="0.25">
      <c r="D135" s="89"/>
      <c r="E135" s="89"/>
    </row>
    <row r="136" spans="4:5" x14ac:dyDescent="0.25">
      <c r="D136" s="89"/>
      <c r="E136" s="89"/>
    </row>
    <row r="137" spans="4:5" x14ac:dyDescent="0.25">
      <c r="D137" s="94"/>
      <c r="E137" s="94"/>
    </row>
    <row r="138" spans="4:5" ht="14.4" x14ac:dyDescent="0.25">
      <c r="D138" s="33"/>
      <c r="E138"/>
    </row>
  </sheetData>
  <mergeCells count="68"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75:E75"/>
    <mergeCell ref="B1:C1"/>
    <mergeCell ref="D1:E1"/>
    <mergeCell ref="D71:E71"/>
    <mergeCell ref="D73:E73"/>
    <mergeCell ref="D74:E7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H3" sqref="AH3"/>
    </sheetView>
  </sheetViews>
  <sheetFormatPr defaultColWidth="9.109375" defaultRowHeight="13.2" x14ac:dyDescent="0.25"/>
  <cols>
    <col min="1" max="1" width="19.109375" style="11" bestFit="1" customWidth="1"/>
    <col min="2" max="3" width="19.44140625" style="31" customWidth="1"/>
    <col min="4" max="5" width="19.109375" style="29" customWidth="1"/>
    <col min="6" max="6" width="18.109375" style="29" customWidth="1"/>
    <col min="7" max="7" width="17.664062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546875" style="30" customWidth="1"/>
    <col min="27" max="27" width="18" style="22" customWidth="1"/>
    <col min="28" max="28" width="21.33203125" style="29" customWidth="1"/>
    <col min="29" max="29" width="18" style="29" bestFit="1" customWidth="1"/>
    <col min="30" max="31" width="18.5546875" style="29" bestFit="1" customWidth="1"/>
    <col min="32" max="32" width="17.88671875" style="29" bestFit="1" customWidth="1"/>
    <col min="33" max="33" width="21" style="29" customWidth="1"/>
    <col min="34" max="34" width="27.33203125" style="29" customWidth="1"/>
    <col min="35" max="16384" width="9.109375" style="29"/>
  </cols>
  <sheetData>
    <row r="1" spans="1:34" x14ac:dyDescent="0.25">
      <c r="A1" s="47"/>
      <c r="B1" s="83" t="s">
        <v>97</v>
      </c>
      <c r="C1" s="83"/>
      <c r="D1" s="81" t="s">
        <v>98</v>
      </c>
      <c r="E1" s="81"/>
      <c r="F1" s="51" t="s">
        <v>96</v>
      </c>
      <c r="G1" s="83" t="s">
        <v>100</v>
      </c>
      <c r="H1" s="83"/>
      <c r="I1" s="83"/>
      <c r="J1" s="81" t="s">
        <v>101</v>
      </c>
      <c r="K1" s="81"/>
      <c r="L1" s="83" t="s">
        <v>105</v>
      </c>
      <c r="M1" s="83"/>
      <c r="N1" s="81" t="s">
        <v>106</v>
      </c>
      <c r="O1" s="81"/>
      <c r="P1" s="83" t="s">
        <v>107</v>
      </c>
      <c r="Q1" s="83"/>
      <c r="R1" s="83" t="s">
        <v>110</v>
      </c>
      <c r="S1" s="83"/>
      <c r="T1" s="83" t="s">
        <v>112</v>
      </c>
      <c r="U1" s="83"/>
      <c r="V1" s="83" t="s">
        <v>113</v>
      </c>
      <c r="W1" s="83"/>
      <c r="X1" s="87" t="s">
        <v>117</v>
      </c>
      <c r="Y1" s="87"/>
      <c r="Z1" s="92" t="s">
        <v>119</v>
      </c>
      <c r="AA1" s="93"/>
      <c r="AB1" s="92" t="s">
        <v>124</v>
      </c>
      <c r="AC1" s="93"/>
      <c r="AD1" s="92" t="s">
        <v>125</v>
      </c>
      <c r="AE1" s="93"/>
      <c r="AF1" s="81" t="s">
        <v>128</v>
      </c>
      <c r="AG1" s="81"/>
      <c r="AH1" s="81"/>
    </row>
    <row r="2" spans="1:34" x14ac:dyDescent="0.25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5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5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5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5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5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5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5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5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5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5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5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5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5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5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5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5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5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5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5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5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5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5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5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5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5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5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5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5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5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5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5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5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5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5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5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5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5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5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5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5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5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5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5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5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5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5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5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5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5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5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5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5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5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5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5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5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5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5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5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5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5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5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5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5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5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5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5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5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5">
      <c r="Z71" s="89"/>
      <c r="AA71" s="89"/>
    </row>
    <row r="72" spans="1:34" x14ac:dyDescent="0.25">
      <c r="Z72" s="29"/>
      <c r="AA72" s="29"/>
    </row>
    <row r="73" spans="1:34" x14ac:dyDescent="0.25">
      <c r="Z73" s="89"/>
      <c r="AA73" s="89"/>
    </row>
    <row r="74" spans="1:34" x14ac:dyDescent="0.25">
      <c r="Z74" s="89"/>
      <c r="AA74" s="89"/>
    </row>
    <row r="75" spans="1:34" x14ac:dyDescent="0.25">
      <c r="Z75" s="89"/>
      <c r="AA75" s="89"/>
    </row>
    <row r="76" spans="1:34" x14ac:dyDescent="0.25">
      <c r="Z76" s="89"/>
      <c r="AA76" s="89"/>
    </row>
    <row r="77" spans="1:34" x14ac:dyDescent="0.25">
      <c r="Z77" s="89"/>
      <c r="AA77" s="89"/>
    </row>
    <row r="78" spans="1:34" x14ac:dyDescent="0.25">
      <c r="Z78" s="89"/>
      <c r="AA78" s="89"/>
    </row>
    <row r="79" spans="1:34" x14ac:dyDescent="0.25">
      <c r="Z79" s="89"/>
      <c r="AA79" s="89"/>
    </row>
    <row r="80" spans="1:34" x14ac:dyDescent="0.25">
      <c r="Z80" s="89"/>
      <c r="AA80" s="89"/>
    </row>
    <row r="81" spans="26:27" x14ac:dyDescent="0.25">
      <c r="Z81" s="89"/>
      <c r="AA81" s="89"/>
    </row>
    <row r="82" spans="26:27" x14ac:dyDescent="0.25">
      <c r="Z82" s="89"/>
      <c r="AA82" s="89"/>
    </row>
    <row r="83" spans="26:27" x14ac:dyDescent="0.25">
      <c r="Z83" s="89"/>
      <c r="AA83" s="89"/>
    </row>
    <row r="84" spans="26:27" x14ac:dyDescent="0.25">
      <c r="Z84" s="89"/>
      <c r="AA84" s="89"/>
    </row>
    <row r="85" spans="26:27" x14ac:dyDescent="0.25">
      <c r="Z85" s="89"/>
      <c r="AA85" s="89"/>
    </row>
    <row r="86" spans="26:27" x14ac:dyDescent="0.25">
      <c r="Z86" s="89"/>
      <c r="AA86" s="89"/>
    </row>
    <row r="87" spans="26:27" x14ac:dyDescent="0.25">
      <c r="Z87" s="89"/>
      <c r="AA87" s="89"/>
    </row>
    <row r="88" spans="26:27" x14ac:dyDescent="0.25">
      <c r="Z88" s="89"/>
      <c r="AA88" s="89"/>
    </row>
    <row r="89" spans="26:27" x14ac:dyDescent="0.25">
      <c r="Z89" s="89"/>
      <c r="AA89" s="89"/>
    </row>
    <row r="90" spans="26:27" x14ac:dyDescent="0.25">
      <c r="Z90" s="89"/>
      <c r="AA90" s="89"/>
    </row>
    <row r="91" spans="26:27" x14ac:dyDescent="0.25">
      <c r="Z91" s="89"/>
      <c r="AA91" s="89"/>
    </row>
    <row r="92" spans="26:27" x14ac:dyDescent="0.25">
      <c r="Z92" s="89"/>
      <c r="AA92" s="89"/>
    </row>
    <row r="93" spans="26:27" x14ac:dyDescent="0.25">
      <c r="Z93" s="89"/>
      <c r="AA93" s="89"/>
    </row>
    <row r="94" spans="26:27" x14ac:dyDescent="0.25">
      <c r="Z94" s="89"/>
      <c r="AA94" s="89"/>
    </row>
    <row r="95" spans="26:27" x14ac:dyDescent="0.25">
      <c r="Z95" s="89"/>
      <c r="AA95" s="89"/>
    </row>
    <row r="96" spans="26:27" x14ac:dyDescent="0.25">
      <c r="Z96" s="89"/>
      <c r="AA96" s="89"/>
    </row>
    <row r="97" spans="26:27" x14ac:dyDescent="0.25">
      <c r="Z97" s="89"/>
      <c r="AA97" s="89"/>
    </row>
    <row r="98" spans="26:27" x14ac:dyDescent="0.25">
      <c r="Z98" s="89"/>
      <c r="AA98" s="89"/>
    </row>
    <row r="99" spans="26:27" x14ac:dyDescent="0.25">
      <c r="Z99" s="89"/>
      <c r="AA99" s="89"/>
    </row>
    <row r="100" spans="26:27" x14ac:dyDescent="0.25">
      <c r="Z100" s="89"/>
      <c r="AA100" s="89"/>
    </row>
    <row r="101" spans="26:27" x14ac:dyDescent="0.25">
      <c r="Z101" s="89"/>
      <c r="AA101" s="89"/>
    </row>
    <row r="102" spans="26:27" x14ac:dyDescent="0.25">
      <c r="Z102" s="89"/>
      <c r="AA102" s="89"/>
    </row>
    <row r="103" spans="26:27" x14ac:dyDescent="0.25">
      <c r="Z103" s="89"/>
      <c r="AA103" s="89"/>
    </row>
    <row r="104" spans="26:27" x14ac:dyDescent="0.25">
      <c r="Z104" s="89"/>
      <c r="AA104" s="89"/>
    </row>
    <row r="105" spans="26:27" x14ac:dyDescent="0.25">
      <c r="Z105" s="89"/>
      <c r="AA105" s="89"/>
    </row>
    <row r="106" spans="26:27" x14ac:dyDescent="0.25">
      <c r="Z106" s="89"/>
      <c r="AA106" s="89"/>
    </row>
    <row r="107" spans="26:27" x14ac:dyDescent="0.25">
      <c r="Z107" s="89"/>
      <c r="AA107" s="89"/>
    </row>
    <row r="108" spans="26:27" x14ac:dyDescent="0.25">
      <c r="Z108" s="89"/>
      <c r="AA108" s="89"/>
    </row>
    <row r="109" spans="26:27" x14ac:dyDescent="0.25">
      <c r="Z109" s="89"/>
      <c r="AA109" s="89"/>
    </row>
    <row r="110" spans="26:27" x14ac:dyDescent="0.25">
      <c r="Z110" s="89"/>
      <c r="AA110" s="89"/>
    </row>
    <row r="111" spans="26:27" x14ac:dyDescent="0.25">
      <c r="Z111" s="89"/>
      <c r="AA111" s="89"/>
    </row>
    <row r="112" spans="26:27" x14ac:dyDescent="0.25">
      <c r="Z112" s="89"/>
      <c r="AA112" s="89"/>
    </row>
    <row r="113" spans="26:27" x14ac:dyDescent="0.25">
      <c r="Z113" s="89"/>
      <c r="AA113" s="89"/>
    </row>
    <row r="114" spans="26:27" x14ac:dyDescent="0.25">
      <c r="Z114" s="89"/>
      <c r="AA114" s="89"/>
    </row>
    <row r="115" spans="26:27" x14ac:dyDescent="0.25">
      <c r="Z115" s="89"/>
      <c r="AA115" s="89"/>
    </row>
    <row r="116" spans="26:27" x14ac:dyDescent="0.25">
      <c r="Z116" s="89"/>
      <c r="AA116" s="89"/>
    </row>
    <row r="117" spans="26:27" x14ac:dyDescent="0.25">
      <c r="Z117" s="89"/>
      <c r="AA117" s="89"/>
    </row>
    <row r="118" spans="26:27" x14ac:dyDescent="0.25">
      <c r="Z118" s="89"/>
      <c r="AA118" s="89"/>
    </row>
    <row r="119" spans="26:27" x14ac:dyDescent="0.25">
      <c r="Z119" s="89"/>
      <c r="AA119" s="89"/>
    </row>
    <row r="120" spans="26:27" x14ac:dyDescent="0.25">
      <c r="Z120" s="89"/>
      <c r="AA120" s="89"/>
    </row>
    <row r="121" spans="26:27" x14ac:dyDescent="0.25">
      <c r="Z121" s="89"/>
      <c r="AA121" s="89"/>
    </row>
    <row r="122" spans="26:27" x14ac:dyDescent="0.25">
      <c r="Z122" s="89"/>
      <c r="AA122" s="89"/>
    </row>
    <row r="123" spans="26:27" x14ac:dyDescent="0.25">
      <c r="Z123" s="89"/>
      <c r="AA123" s="89"/>
    </row>
    <row r="124" spans="26:27" x14ac:dyDescent="0.25">
      <c r="Z124" s="89"/>
      <c r="AA124" s="89"/>
    </row>
    <row r="125" spans="26:27" x14ac:dyDescent="0.25">
      <c r="Z125" s="89"/>
      <c r="AA125" s="89"/>
    </row>
    <row r="126" spans="26:27" x14ac:dyDescent="0.25">
      <c r="Z126" s="89"/>
      <c r="AA126" s="89"/>
    </row>
    <row r="127" spans="26:27" x14ac:dyDescent="0.25">
      <c r="Z127" s="89"/>
      <c r="AA127" s="89"/>
    </row>
    <row r="128" spans="26:27" x14ac:dyDescent="0.25">
      <c r="Z128" s="89"/>
      <c r="AA128" s="89"/>
    </row>
    <row r="129" spans="26:27" x14ac:dyDescent="0.25">
      <c r="Z129" s="89"/>
      <c r="AA129" s="89"/>
    </row>
    <row r="130" spans="26:27" x14ac:dyDescent="0.25">
      <c r="Z130" s="89"/>
      <c r="AA130" s="89"/>
    </row>
    <row r="131" spans="26:27" x14ac:dyDescent="0.25">
      <c r="Z131" s="89"/>
      <c r="AA131" s="89"/>
    </row>
    <row r="132" spans="26:27" x14ac:dyDescent="0.25">
      <c r="Z132" s="89"/>
      <c r="AA132" s="89"/>
    </row>
    <row r="133" spans="26:27" x14ac:dyDescent="0.25">
      <c r="Z133" s="89"/>
      <c r="AA133" s="89"/>
    </row>
    <row r="134" spans="26:27" x14ac:dyDescent="0.25">
      <c r="Z134" s="89"/>
      <c r="AA134" s="89"/>
    </row>
    <row r="135" spans="26:27" x14ac:dyDescent="0.25">
      <c r="Z135" s="89"/>
      <c r="AA135" s="89"/>
    </row>
    <row r="136" spans="26:27" x14ac:dyDescent="0.25">
      <c r="Z136" s="89"/>
      <c r="AA136" s="89"/>
    </row>
    <row r="137" spans="26:27" x14ac:dyDescent="0.25">
      <c r="Z137" s="94"/>
      <c r="AA137" s="94"/>
    </row>
    <row r="138" spans="26:27" ht="14.4" x14ac:dyDescent="0.25">
      <c r="Z138" s="33"/>
      <c r="AA138"/>
    </row>
  </sheetData>
  <mergeCells count="81">
    <mergeCell ref="Z137:AA137"/>
    <mergeCell ref="Z132:AA132"/>
    <mergeCell ref="Z133:AA133"/>
    <mergeCell ref="Z134:AA134"/>
    <mergeCell ref="Z135:AA135"/>
    <mergeCell ref="Z136:AA136"/>
    <mergeCell ref="Z127:AA127"/>
    <mergeCell ref="Z128:AA128"/>
    <mergeCell ref="Z129:AA129"/>
    <mergeCell ref="Z130:AA130"/>
    <mergeCell ref="Z131:AA131"/>
    <mergeCell ref="Z122:AA122"/>
    <mergeCell ref="Z123:AA123"/>
    <mergeCell ref="Z124:AA124"/>
    <mergeCell ref="Z125:AA125"/>
    <mergeCell ref="Z126:AA126"/>
    <mergeCell ref="Z117:AA117"/>
    <mergeCell ref="Z118:AA118"/>
    <mergeCell ref="Z119:AA119"/>
    <mergeCell ref="Z120:AA120"/>
    <mergeCell ref="Z121:AA121"/>
    <mergeCell ref="Z112:AA112"/>
    <mergeCell ref="Z113:AA113"/>
    <mergeCell ref="Z114:AA114"/>
    <mergeCell ref="Z115:AA115"/>
    <mergeCell ref="Z116:AA116"/>
    <mergeCell ref="Z107:AA107"/>
    <mergeCell ref="Z108:AA108"/>
    <mergeCell ref="Z109:AA109"/>
    <mergeCell ref="Z110:AA110"/>
    <mergeCell ref="Z111:AA111"/>
    <mergeCell ref="Z102:AA102"/>
    <mergeCell ref="Z103:AA103"/>
    <mergeCell ref="Z104:AA104"/>
    <mergeCell ref="Z105:AA105"/>
    <mergeCell ref="Z106:AA106"/>
    <mergeCell ref="Z97:AA97"/>
    <mergeCell ref="Z98:AA98"/>
    <mergeCell ref="Z99:AA99"/>
    <mergeCell ref="Z100:AA100"/>
    <mergeCell ref="Z101:AA101"/>
    <mergeCell ref="Z92:AA92"/>
    <mergeCell ref="Z93:AA93"/>
    <mergeCell ref="Z94:AA94"/>
    <mergeCell ref="Z95:AA95"/>
    <mergeCell ref="Z96:AA96"/>
    <mergeCell ref="Z87:AA87"/>
    <mergeCell ref="Z88:AA88"/>
    <mergeCell ref="Z89:AA89"/>
    <mergeCell ref="Z90:AA90"/>
    <mergeCell ref="Z91:AA91"/>
    <mergeCell ref="Z82:AA82"/>
    <mergeCell ref="Z83:AA83"/>
    <mergeCell ref="Z84:AA84"/>
    <mergeCell ref="Z85:AA85"/>
    <mergeCell ref="Z86:AA86"/>
    <mergeCell ref="Z77:AA77"/>
    <mergeCell ref="Z78:AA78"/>
    <mergeCell ref="Z79:AA79"/>
    <mergeCell ref="Z80:AA80"/>
    <mergeCell ref="Z81:AA81"/>
    <mergeCell ref="Z71:AA71"/>
    <mergeCell ref="Z73:AA73"/>
    <mergeCell ref="Z74:AA74"/>
    <mergeCell ref="Z75:AA75"/>
    <mergeCell ref="Z76:AA76"/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87" sqref="G87"/>
    </sheetView>
  </sheetViews>
  <sheetFormatPr defaultColWidth="9.109375" defaultRowHeight="13.2" x14ac:dyDescent="0.25"/>
  <cols>
    <col min="1" max="1" width="19.109375" style="11" bestFit="1" customWidth="1"/>
    <col min="2" max="7" width="12.6640625" style="10" customWidth="1"/>
    <col min="8" max="8" width="9.88671875" style="11" bestFit="1" customWidth="1"/>
    <col min="9" max="9" width="16.6640625" style="11" customWidth="1"/>
    <col min="10" max="11" width="9.109375" style="11"/>
    <col min="12" max="17" width="9.5546875" style="11" bestFit="1" customWidth="1"/>
    <col min="18" max="16384" width="9.109375" style="11"/>
  </cols>
  <sheetData>
    <row r="1" spans="1:8" x14ac:dyDescent="0.25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5">
      <c r="A2" s="11" t="s">
        <v>1</v>
      </c>
      <c r="B2" s="11">
        <v>6390</v>
      </c>
      <c r="C2" s="11">
        <v>10618</v>
      </c>
      <c r="D2" s="11">
        <v>10847</v>
      </c>
      <c r="E2" s="11">
        <v>10032</v>
      </c>
      <c r="F2" s="11">
        <v>13699</v>
      </c>
      <c r="G2" s="11">
        <v>13958</v>
      </c>
      <c r="H2" s="11">
        <v>10876</v>
      </c>
    </row>
    <row r="3" spans="1:8" x14ac:dyDescent="0.25">
      <c r="A3" s="11" t="s">
        <v>2</v>
      </c>
      <c r="B3" s="11">
        <v>79687</v>
      </c>
      <c r="C3" s="11">
        <v>171369</v>
      </c>
      <c r="D3" s="11">
        <v>161143</v>
      </c>
      <c r="E3" s="11">
        <v>122590</v>
      </c>
      <c r="F3" s="11">
        <v>132381</v>
      </c>
      <c r="G3" s="11">
        <v>139626</v>
      </c>
      <c r="H3" s="11">
        <v>108340</v>
      </c>
    </row>
    <row r="4" spans="1:8" x14ac:dyDescent="0.25">
      <c r="A4" s="11" t="s">
        <v>3</v>
      </c>
      <c r="B4" s="11">
        <v>3144</v>
      </c>
      <c r="C4" s="11">
        <v>5634</v>
      </c>
      <c r="D4" s="11">
        <v>6155</v>
      </c>
      <c r="E4" s="11">
        <v>6404</v>
      </c>
      <c r="F4" s="11">
        <v>7757</v>
      </c>
      <c r="G4" s="11">
        <v>8198</v>
      </c>
      <c r="H4" s="11">
        <v>6283</v>
      </c>
    </row>
    <row r="5" spans="1:8" x14ac:dyDescent="0.25">
      <c r="A5" s="11" t="s">
        <v>4</v>
      </c>
      <c r="B5" s="11">
        <v>7713</v>
      </c>
      <c r="C5" s="11">
        <v>16101</v>
      </c>
      <c r="D5" s="11">
        <v>17891</v>
      </c>
      <c r="E5" s="11">
        <v>16267</v>
      </c>
      <c r="F5" s="11">
        <v>19676</v>
      </c>
      <c r="G5" s="11">
        <v>20937</v>
      </c>
      <c r="H5" s="11">
        <v>15643</v>
      </c>
    </row>
    <row r="6" spans="1:8" x14ac:dyDescent="0.25">
      <c r="A6" s="11" t="s">
        <v>5</v>
      </c>
      <c r="B6" s="11">
        <v>2249</v>
      </c>
      <c r="C6" s="11">
        <v>4276</v>
      </c>
      <c r="D6" s="11">
        <v>4415</v>
      </c>
      <c r="E6" s="11">
        <v>4812</v>
      </c>
      <c r="F6" s="11">
        <v>6049</v>
      </c>
      <c r="G6" s="11">
        <v>6336</v>
      </c>
      <c r="H6" s="11">
        <v>4884</v>
      </c>
    </row>
    <row r="7" spans="1:8" x14ac:dyDescent="0.25">
      <c r="A7" s="11" t="s">
        <v>6</v>
      </c>
      <c r="B7" s="11">
        <v>23258</v>
      </c>
      <c r="C7" s="11">
        <v>41699</v>
      </c>
      <c r="D7" s="11">
        <v>43813</v>
      </c>
      <c r="E7" s="11">
        <v>40544</v>
      </c>
      <c r="F7" s="11">
        <v>47807</v>
      </c>
      <c r="G7" s="11">
        <v>42720</v>
      </c>
      <c r="H7" s="11">
        <v>33532</v>
      </c>
    </row>
    <row r="8" spans="1:8" x14ac:dyDescent="0.25">
      <c r="A8" s="11" t="s">
        <v>7</v>
      </c>
      <c r="B8" s="11">
        <v>6345</v>
      </c>
      <c r="C8" s="11">
        <v>11280</v>
      </c>
      <c r="D8" s="11">
        <v>12267</v>
      </c>
      <c r="E8" s="11">
        <v>12239</v>
      </c>
      <c r="F8" s="11">
        <v>13655</v>
      </c>
      <c r="G8" s="11">
        <v>13974</v>
      </c>
      <c r="H8" s="11">
        <v>11811</v>
      </c>
    </row>
    <row r="9" spans="1:8" x14ac:dyDescent="0.25">
      <c r="A9" s="11" t="s">
        <v>8</v>
      </c>
      <c r="B9" s="11">
        <v>2926</v>
      </c>
      <c r="C9" s="11">
        <v>5263</v>
      </c>
      <c r="D9" s="11">
        <v>5752</v>
      </c>
      <c r="E9" s="11">
        <v>5403</v>
      </c>
      <c r="F9" s="11">
        <v>7000</v>
      </c>
      <c r="G9" s="11">
        <v>6874</v>
      </c>
      <c r="H9" s="11">
        <v>5599</v>
      </c>
    </row>
    <row r="10" spans="1:8" x14ac:dyDescent="0.25">
      <c r="A10" s="11" t="s">
        <v>9</v>
      </c>
      <c r="B10" s="11">
        <v>39706</v>
      </c>
      <c r="C10" s="11">
        <v>68147</v>
      </c>
      <c r="D10" s="11">
        <v>73695</v>
      </c>
      <c r="E10" s="11">
        <v>70999</v>
      </c>
      <c r="F10" s="11">
        <v>87206</v>
      </c>
      <c r="G10" s="11">
        <v>82000</v>
      </c>
      <c r="H10" s="11">
        <v>62123</v>
      </c>
    </row>
    <row r="11" spans="1:8" x14ac:dyDescent="0.25">
      <c r="A11" s="11" t="s">
        <v>10</v>
      </c>
      <c r="B11" s="11">
        <v>11333</v>
      </c>
      <c r="C11" s="11">
        <v>20337</v>
      </c>
      <c r="D11" s="11">
        <v>22572</v>
      </c>
      <c r="E11" s="11">
        <v>20755</v>
      </c>
      <c r="F11" s="11">
        <v>25133</v>
      </c>
      <c r="G11" s="11">
        <v>24518</v>
      </c>
      <c r="H11" s="11">
        <v>18633</v>
      </c>
    </row>
    <row r="12" spans="1:8" x14ac:dyDescent="0.25">
      <c r="A12" s="11" t="s">
        <v>11</v>
      </c>
      <c r="B12" s="11">
        <v>6394</v>
      </c>
      <c r="C12" s="11">
        <v>11165</v>
      </c>
      <c r="D12" s="11">
        <v>12020</v>
      </c>
      <c r="E12" s="11">
        <v>12654</v>
      </c>
      <c r="F12" s="11">
        <v>14530</v>
      </c>
      <c r="G12" s="11">
        <v>16423</v>
      </c>
      <c r="H12" s="11">
        <v>12727</v>
      </c>
    </row>
    <row r="13" spans="1:8" x14ac:dyDescent="0.25">
      <c r="A13" s="11" t="s">
        <v>12</v>
      </c>
      <c r="B13" s="11">
        <v>146</v>
      </c>
      <c r="C13" s="11">
        <v>293</v>
      </c>
      <c r="D13" s="11">
        <v>361</v>
      </c>
      <c r="E13" s="11">
        <v>353</v>
      </c>
      <c r="F13" s="11">
        <v>549</v>
      </c>
      <c r="G13" s="11">
        <v>649</v>
      </c>
      <c r="H13" s="11">
        <v>526</v>
      </c>
    </row>
    <row r="14" spans="1:8" x14ac:dyDescent="0.25">
      <c r="A14" s="11" t="s">
        <v>13</v>
      </c>
      <c r="B14" s="11">
        <v>3136</v>
      </c>
      <c r="C14" s="11">
        <v>6149</v>
      </c>
      <c r="D14" s="11">
        <v>6771</v>
      </c>
      <c r="E14" s="11">
        <v>6804</v>
      </c>
      <c r="F14" s="11">
        <v>8644</v>
      </c>
      <c r="G14" s="11">
        <v>8254</v>
      </c>
      <c r="H14" s="11">
        <v>5795</v>
      </c>
    </row>
    <row r="15" spans="1:8" x14ac:dyDescent="0.25">
      <c r="A15" s="11" t="s">
        <v>14</v>
      </c>
      <c r="B15" s="11">
        <v>18032</v>
      </c>
      <c r="C15" s="11">
        <v>19176</v>
      </c>
      <c r="D15" s="11">
        <v>13761</v>
      </c>
      <c r="E15" s="11">
        <v>12273</v>
      </c>
      <c r="F15" s="11">
        <v>13935</v>
      </c>
      <c r="G15" s="11">
        <v>13503</v>
      </c>
      <c r="H15" s="11">
        <v>11399</v>
      </c>
    </row>
    <row r="16" spans="1:8" x14ac:dyDescent="0.25">
      <c r="A16" s="11" t="s">
        <v>15</v>
      </c>
      <c r="B16" s="11">
        <v>37185</v>
      </c>
      <c r="C16" s="11">
        <v>60272</v>
      </c>
      <c r="D16" s="11">
        <v>59994</v>
      </c>
      <c r="E16" s="11">
        <v>58812</v>
      </c>
      <c r="F16" s="11">
        <v>66860</v>
      </c>
      <c r="G16" s="11">
        <v>59603</v>
      </c>
      <c r="H16" s="11">
        <v>45951</v>
      </c>
    </row>
    <row r="17" spans="1:8" x14ac:dyDescent="0.25">
      <c r="A17" s="11" t="s">
        <v>16</v>
      </c>
      <c r="B17" s="11">
        <v>1715</v>
      </c>
      <c r="C17" s="11">
        <v>3072</v>
      </c>
      <c r="D17" s="11">
        <v>3277</v>
      </c>
      <c r="E17" s="11">
        <v>3391</v>
      </c>
      <c r="F17" s="11">
        <v>4205</v>
      </c>
      <c r="G17" s="11">
        <v>4317</v>
      </c>
      <c r="H17" s="11">
        <v>3373</v>
      </c>
    </row>
    <row r="18" spans="1:8" x14ac:dyDescent="0.25">
      <c r="A18" s="11" t="s">
        <v>17</v>
      </c>
      <c r="B18" s="11">
        <v>3383</v>
      </c>
      <c r="C18" s="11">
        <v>6448</v>
      </c>
      <c r="D18" s="11">
        <v>7085</v>
      </c>
      <c r="E18" s="11">
        <v>7483</v>
      </c>
      <c r="F18" s="11">
        <v>9169</v>
      </c>
      <c r="G18" s="11">
        <v>8989</v>
      </c>
      <c r="H18" s="11">
        <v>6994</v>
      </c>
    </row>
    <row r="19" spans="1:8" x14ac:dyDescent="0.25">
      <c r="A19" s="11" t="s">
        <v>18</v>
      </c>
      <c r="B19" s="11">
        <v>1740</v>
      </c>
      <c r="C19" s="11">
        <v>3279</v>
      </c>
      <c r="D19" s="11">
        <v>3288</v>
      </c>
      <c r="E19" s="11">
        <v>3363</v>
      </c>
      <c r="F19" s="11">
        <v>3819</v>
      </c>
      <c r="G19" s="11">
        <v>3963</v>
      </c>
      <c r="H19" s="11">
        <v>3072</v>
      </c>
    </row>
    <row r="20" spans="1:8" x14ac:dyDescent="0.25">
      <c r="A20" s="11" t="s">
        <v>19</v>
      </c>
      <c r="B20" s="11">
        <v>3868</v>
      </c>
      <c r="C20" s="11">
        <v>5889</v>
      </c>
      <c r="D20" s="11">
        <v>5890</v>
      </c>
      <c r="E20" s="11">
        <v>5792</v>
      </c>
      <c r="F20" s="11">
        <v>6773</v>
      </c>
      <c r="G20" s="11">
        <v>6921</v>
      </c>
      <c r="H20" s="11">
        <v>5452</v>
      </c>
    </row>
    <row r="21" spans="1:8" x14ac:dyDescent="0.25">
      <c r="A21" s="11" t="s">
        <v>20</v>
      </c>
      <c r="B21" s="11">
        <v>4003</v>
      </c>
      <c r="C21" s="11">
        <v>6979</v>
      </c>
      <c r="D21" s="11">
        <v>7468</v>
      </c>
      <c r="E21" s="11">
        <v>7384</v>
      </c>
      <c r="F21" s="11">
        <v>9326</v>
      </c>
      <c r="G21" s="11">
        <v>9770</v>
      </c>
      <c r="H21" s="11">
        <v>8134</v>
      </c>
    </row>
    <row r="22" spans="1:8" x14ac:dyDescent="0.25">
      <c r="A22" s="11" t="s">
        <v>21</v>
      </c>
      <c r="B22" s="11">
        <v>15942</v>
      </c>
      <c r="C22" s="11">
        <v>27815</v>
      </c>
      <c r="D22" s="11">
        <v>30152</v>
      </c>
      <c r="E22" s="11">
        <v>27171</v>
      </c>
      <c r="F22" s="11">
        <v>29261</v>
      </c>
      <c r="G22" s="11">
        <v>28181</v>
      </c>
      <c r="H22" s="11">
        <v>24247</v>
      </c>
    </row>
    <row r="23" spans="1:8" x14ac:dyDescent="0.25">
      <c r="A23" s="11" t="s">
        <v>22</v>
      </c>
      <c r="B23" s="11">
        <v>16671</v>
      </c>
      <c r="C23" s="11">
        <v>34407</v>
      </c>
      <c r="D23" s="11">
        <v>34379</v>
      </c>
      <c r="E23" s="11">
        <v>29869</v>
      </c>
      <c r="F23" s="11">
        <v>32551</v>
      </c>
      <c r="G23" s="11">
        <v>30235</v>
      </c>
      <c r="H23" s="11">
        <v>21577</v>
      </c>
    </row>
    <row r="24" spans="1:8" x14ac:dyDescent="0.25">
      <c r="A24" s="11" t="s">
        <v>23</v>
      </c>
      <c r="B24" s="11">
        <v>37887</v>
      </c>
      <c r="C24" s="11">
        <v>66383</v>
      </c>
      <c r="D24" s="11">
        <v>72219</v>
      </c>
      <c r="E24" s="11">
        <v>60729</v>
      </c>
      <c r="F24" s="11">
        <v>65544</v>
      </c>
      <c r="G24" s="11">
        <v>61812</v>
      </c>
      <c r="H24" s="11">
        <v>45374</v>
      </c>
    </row>
    <row r="25" spans="1:8" x14ac:dyDescent="0.25">
      <c r="A25" s="11" t="s">
        <v>24</v>
      </c>
      <c r="B25" s="11">
        <v>1505</v>
      </c>
      <c r="C25" s="11">
        <v>2547</v>
      </c>
      <c r="D25" s="11">
        <v>2751</v>
      </c>
      <c r="E25" s="11">
        <v>2846</v>
      </c>
      <c r="F25" s="11">
        <v>3911</v>
      </c>
      <c r="G25" s="11">
        <v>3944</v>
      </c>
      <c r="H25" s="11">
        <v>2993</v>
      </c>
    </row>
    <row r="26" spans="1:8" x14ac:dyDescent="0.25">
      <c r="A26" s="11" t="s">
        <v>25</v>
      </c>
      <c r="B26" s="11">
        <v>14659</v>
      </c>
      <c r="C26" s="11">
        <v>27099</v>
      </c>
      <c r="D26" s="11">
        <v>27153</v>
      </c>
      <c r="E26" s="11">
        <v>25185</v>
      </c>
      <c r="F26" s="11">
        <v>28782</v>
      </c>
      <c r="G26" s="11">
        <v>29583</v>
      </c>
      <c r="H26" s="11">
        <v>22282</v>
      </c>
    </row>
    <row r="27" spans="1:8" x14ac:dyDescent="0.25">
      <c r="A27" s="11" t="s">
        <v>26</v>
      </c>
      <c r="B27" s="11">
        <v>5119</v>
      </c>
      <c r="C27" s="11">
        <v>10751</v>
      </c>
      <c r="D27" s="11">
        <v>11633</v>
      </c>
      <c r="E27" s="11">
        <v>12063</v>
      </c>
      <c r="F27" s="11">
        <v>14133</v>
      </c>
      <c r="G27" s="11">
        <v>14653</v>
      </c>
      <c r="H27" s="11">
        <v>11221</v>
      </c>
    </row>
    <row r="28" spans="1:8" x14ac:dyDescent="0.25">
      <c r="A28" s="11" t="s">
        <v>27</v>
      </c>
      <c r="B28" s="11">
        <v>147</v>
      </c>
      <c r="C28" s="11">
        <v>239</v>
      </c>
      <c r="D28" s="11">
        <v>287</v>
      </c>
      <c r="E28" s="11">
        <v>391</v>
      </c>
      <c r="F28" s="11">
        <v>659</v>
      </c>
      <c r="G28" s="11">
        <v>839</v>
      </c>
      <c r="H28" s="11">
        <v>633</v>
      </c>
    </row>
    <row r="29" spans="1:8" x14ac:dyDescent="0.25">
      <c r="A29" s="11" t="s">
        <v>28</v>
      </c>
      <c r="B29" s="11">
        <v>8324</v>
      </c>
      <c r="C29" s="11">
        <v>15342</v>
      </c>
      <c r="D29" s="11">
        <v>16029</v>
      </c>
      <c r="E29" s="11">
        <v>15770</v>
      </c>
      <c r="F29" s="11">
        <v>18045</v>
      </c>
      <c r="G29" s="11">
        <v>16895</v>
      </c>
      <c r="H29" s="11">
        <v>14679</v>
      </c>
    </row>
    <row r="30" spans="1:8" x14ac:dyDescent="0.25">
      <c r="A30" s="11" t="s">
        <v>29</v>
      </c>
      <c r="B30" s="11">
        <v>727</v>
      </c>
      <c r="C30" s="11">
        <v>1364</v>
      </c>
      <c r="D30" s="11">
        <v>1390</v>
      </c>
      <c r="E30" s="11">
        <v>1540</v>
      </c>
      <c r="F30" s="11">
        <v>1886</v>
      </c>
      <c r="G30" s="11">
        <v>1751</v>
      </c>
      <c r="H30" s="11">
        <v>1449</v>
      </c>
    </row>
    <row r="31" spans="1:8" x14ac:dyDescent="0.25">
      <c r="A31" s="11" t="s">
        <v>30</v>
      </c>
      <c r="B31" s="11">
        <v>1521</v>
      </c>
      <c r="C31" s="11">
        <v>2978</v>
      </c>
      <c r="D31" s="11">
        <v>3065</v>
      </c>
      <c r="E31" s="11">
        <v>3407</v>
      </c>
      <c r="F31" s="11">
        <v>3789</v>
      </c>
      <c r="G31" s="11">
        <v>4002</v>
      </c>
      <c r="H31" s="11">
        <v>2990</v>
      </c>
    </row>
    <row r="32" spans="1:8" x14ac:dyDescent="0.25">
      <c r="A32" s="11" t="s">
        <v>31</v>
      </c>
      <c r="B32" s="11">
        <v>2344</v>
      </c>
      <c r="C32" s="11">
        <v>3703</v>
      </c>
      <c r="D32" s="11">
        <v>3651</v>
      </c>
      <c r="E32" s="11">
        <v>3996</v>
      </c>
      <c r="F32" s="11">
        <v>4968</v>
      </c>
      <c r="G32" s="11">
        <v>5053</v>
      </c>
      <c r="H32" s="11">
        <v>4209</v>
      </c>
    </row>
    <row r="33" spans="1:8" x14ac:dyDescent="0.25">
      <c r="A33" s="11" t="s">
        <v>32</v>
      </c>
      <c r="B33" s="11">
        <v>4592</v>
      </c>
      <c r="C33" s="11">
        <v>6595</v>
      </c>
      <c r="D33" s="11">
        <v>6762</v>
      </c>
      <c r="E33" s="11">
        <v>6914</v>
      </c>
      <c r="F33" s="11">
        <v>8364</v>
      </c>
      <c r="G33" s="11">
        <v>8996</v>
      </c>
      <c r="H33" s="11">
        <v>6954</v>
      </c>
    </row>
    <row r="34" spans="1:8" x14ac:dyDescent="0.25">
      <c r="A34" s="11" t="s">
        <v>33</v>
      </c>
      <c r="B34" s="11">
        <v>2126</v>
      </c>
      <c r="C34" s="11">
        <v>3571</v>
      </c>
      <c r="D34" s="11">
        <v>4144</v>
      </c>
      <c r="E34" s="11">
        <v>4064</v>
      </c>
      <c r="F34" s="11">
        <v>4939</v>
      </c>
      <c r="G34" s="11">
        <v>5272</v>
      </c>
      <c r="H34" s="11">
        <v>3980</v>
      </c>
    </row>
    <row r="35" spans="1:8" x14ac:dyDescent="0.25">
      <c r="A35" s="11" t="s">
        <v>34</v>
      </c>
      <c r="B35" s="11">
        <v>972</v>
      </c>
      <c r="C35" s="11">
        <v>1762</v>
      </c>
      <c r="D35" s="11">
        <v>2004</v>
      </c>
      <c r="E35" s="11">
        <v>2093</v>
      </c>
      <c r="F35" s="11">
        <v>2615</v>
      </c>
      <c r="G35" s="11">
        <v>2565</v>
      </c>
      <c r="H35" s="11">
        <v>2071</v>
      </c>
    </row>
    <row r="36" spans="1:8" x14ac:dyDescent="0.25">
      <c r="A36" s="11" t="s">
        <v>35</v>
      </c>
      <c r="B36" s="11">
        <v>11917</v>
      </c>
      <c r="C36" s="11">
        <v>22610</v>
      </c>
      <c r="D36" s="11">
        <v>24005</v>
      </c>
      <c r="E36" s="11">
        <v>21583</v>
      </c>
      <c r="F36" s="11">
        <v>24994</v>
      </c>
      <c r="G36" s="11">
        <v>24142</v>
      </c>
      <c r="H36" s="11">
        <v>19737</v>
      </c>
    </row>
    <row r="37" spans="1:8" x14ac:dyDescent="0.25">
      <c r="A37" s="11" t="s">
        <v>36</v>
      </c>
      <c r="B37" s="11">
        <v>30937</v>
      </c>
      <c r="C37" s="11">
        <v>58691</v>
      </c>
      <c r="D37" s="11">
        <v>59296</v>
      </c>
      <c r="E37" s="11">
        <v>50893</v>
      </c>
      <c r="F37" s="11">
        <v>56947</v>
      </c>
      <c r="G37" s="11">
        <v>57319</v>
      </c>
      <c r="H37" s="11">
        <v>49316</v>
      </c>
    </row>
    <row r="38" spans="1:8" x14ac:dyDescent="0.25">
      <c r="A38" s="11" t="s">
        <v>37</v>
      </c>
      <c r="B38" s="11">
        <v>4374</v>
      </c>
      <c r="C38" s="11">
        <v>7867</v>
      </c>
      <c r="D38" s="11">
        <v>8340</v>
      </c>
      <c r="E38" s="11">
        <v>8307</v>
      </c>
      <c r="F38" s="11">
        <v>9802</v>
      </c>
      <c r="G38" s="11">
        <v>10396</v>
      </c>
      <c r="H38" s="11">
        <v>8334</v>
      </c>
    </row>
    <row r="39" spans="1:8" x14ac:dyDescent="0.25">
      <c r="A39" s="11" t="s">
        <v>38</v>
      </c>
      <c r="B39" s="11">
        <v>7200</v>
      </c>
      <c r="C39" s="11">
        <v>13037</v>
      </c>
      <c r="D39" s="11">
        <v>14430</v>
      </c>
      <c r="E39" s="11">
        <v>14070</v>
      </c>
      <c r="F39" s="11">
        <v>15922</v>
      </c>
      <c r="G39" s="11">
        <v>15634</v>
      </c>
      <c r="H39" s="11">
        <v>13368</v>
      </c>
    </row>
    <row r="40" spans="1:8" x14ac:dyDescent="0.25">
      <c r="A40" s="11" t="s">
        <v>39</v>
      </c>
      <c r="B40" s="11">
        <v>21367</v>
      </c>
      <c r="C40" s="11">
        <v>41584</v>
      </c>
      <c r="D40" s="11">
        <v>42257</v>
      </c>
      <c r="E40" s="11">
        <v>38507</v>
      </c>
      <c r="F40" s="11">
        <v>41368</v>
      </c>
      <c r="G40" s="11">
        <v>38260</v>
      </c>
      <c r="H40" s="11">
        <v>29652</v>
      </c>
    </row>
    <row r="41" spans="1:8" x14ac:dyDescent="0.25">
      <c r="A41" s="11" t="s">
        <v>40</v>
      </c>
      <c r="B41" s="11">
        <v>15650</v>
      </c>
      <c r="C41" s="11">
        <v>30528</v>
      </c>
      <c r="D41" s="11">
        <v>32882</v>
      </c>
      <c r="E41" s="11">
        <v>30583</v>
      </c>
      <c r="F41" s="11">
        <v>35910</v>
      </c>
      <c r="G41" s="11">
        <v>33401</v>
      </c>
      <c r="H41" s="11">
        <v>27273</v>
      </c>
    </row>
    <row r="42" spans="1:8" x14ac:dyDescent="0.25">
      <c r="A42" s="11" t="s">
        <v>41</v>
      </c>
      <c r="B42" s="11">
        <v>5589</v>
      </c>
      <c r="C42" s="11">
        <v>9993</v>
      </c>
      <c r="D42" s="11">
        <v>11445</v>
      </c>
      <c r="E42" s="11">
        <v>10423</v>
      </c>
      <c r="F42" s="11">
        <v>12222</v>
      </c>
      <c r="G42" s="11">
        <v>12978</v>
      </c>
      <c r="H42" s="11">
        <v>9928</v>
      </c>
    </row>
    <row r="43" spans="1:8" x14ac:dyDescent="0.25">
      <c r="A43" s="11" t="s">
        <v>91</v>
      </c>
      <c r="B43" s="11">
        <v>1817</v>
      </c>
      <c r="C43" s="11">
        <v>3240</v>
      </c>
      <c r="D43" s="11">
        <v>3649</v>
      </c>
      <c r="E43" s="11">
        <v>3760</v>
      </c>
      <c r="F43" s="11">
        <v>4543</v>
      </c>
      <c r="G43" s="11">
        <v>4640</v>
      </c>
      <c r="H43" s="11">
        <v>3525</v>
      </c>
    </row>
    <row r="44" spans="1:8" x14ac:dyDescent="0.25">
      <c r="A44" s="11" t="s">
        <v>43</v>
      </c>
      <c r="B44" s="11">
        <v>5559</v>
      </c>
      <c r="C44" s="11">
        <v>9829</v>
      </c>
      <c r="D44" s="11">
        <v>9953</v>
      </c>
      <c r="E44" s="11">
        <v>9879</v>
      </c>
      <c r="F44" s="11">
        <v>12372</v>
      </c>
      <c r="G44" s="11">
        <v>13473</v>
      </c>
      <c r="H44" s="11">
        <v>10782</v>
      </c>
    </row>
    <row r="45" spans="1:8" x14ac:dyDescent="0.25">
      <c r="A45" s="11" t="s">
        <v>44</v>
      </c>
      <c r="B45" s="11">
        <v>1754</v>
      </c>
      <c r="C45" s="11">
        <v>3681</v>
      </c>
      <c r="D45" s="11">
        <v>3854</v>
      </c>
      <c r="E45" s="11">
        <v>3911</v>
      </c>
      <c r="F45" s="11">
        <v>5037</v>
      </c>
      <c r="G45" s="11">
        <v>4737</v>
      </c>
      <c r="H45" s="11">
        <v>4151</v>
      </c>
    </row>
    <row r="46" spans="1:8" x14ac:dyDescent="0.25">
      <c r="A46" s="11" t="s">
        <v>45</v>
      </c>
      <c r="B46" s="11">
        <v>9644</v>
      </c>
      <c r="C46" s="11">
        <v>17461</v>
      </c>
      <c r="D46" s="11">
        <v>17642</v>
      </c>
      <c r="E46" s="11">
        <v>17394</v>
      </c>
      <c r="F46" s="11">
        <v>22579</v>
      </c>
      <c r="G46" s="11">
        <v>20097</v>
      </c>
      <c r="H46" s="11">
        <v>12249</v>
      </c>
    </row>
    <row r="47" spans="1:8" x14ac:dyDescent="0.25">
      <c r="A47" s="11" t="s">
        <v>46</v>
      </c>
      <c r="B47" s="11">
        <v>53887</v>
      </c>
      <c r="C47" s="11">
        <v>96413</v>
      </c>
      <c r="D47" s="11">
        <v>104637</v>
      </c>
      <c r="E47" s="11">
        <v>93397</v>
      </c>
      <c r="F47" s="11">
        <v>101950</v>
      </c>
      <c r="G47" s="11">
        <v>94929</v>
      </c>
      <c r="H47" s="11">
        <v>76818</v>
      </c>
    </row>
    <row r="48" spans="1:8" x14ac:dyDescent="0.25">
      <c r="A48" s="11" t="s">
        <v>47</v>
      </c>
      <c r="B48" s="11">
        <v>837</v>
      </c>
      <c r="C48" s="11">
        <v>1845</v>
      </c>
      <c r="D48" s="11">
        <v>2012</v>
      </c>
      <c r="E48" s="11">
        <v>1640</v>
      </c>
      <c r="F48" s="11">
        <v>2005</v>
      </c>
      <c r="G48" s="11">
        <v>2150</v>
      </c>
      <c r="H48" s="11">
        <v>1837</v>
      </c>
    </row>
    <row r="49" spans="1:8" x14ac:dyDescent="0.25">
      <c r="A49" s="11" t="s">
        <v>48</v>
      </c>
      <c r="B49" s="11">
        <v>22496</v>
      </c>
      <c r="C49" s="11">
        <v>36547</v>
      </c>
      <c r="D49" s="11">
        <v>35557</v>
      </c>
      <c r="E49" s="11">
        <v>33024</v>
      </c>
      <c r="F49" s="11">
        <v>38524</v>
      </c>
      <c r="G49" s="11">
        <v>36258</v>
      </c>
      <c r="H49" s="11">
        <v>28820</v>
      </c>
    </row>
    <row r="50" spans="1:8" x14ac:dyDescent="0.25">
      <c r="A50" s="11" t="s">
        <v>49</v>
      </c>
      <c r="B50" s="11">
        <v>3689</v>
      </c>
      <c r="C50" s="11">
        <v>7160</v>
      </c>
      <c r="D50" s="11">
        <v>8567</v>
      </c>
      <c r="E50" s="11">
        <v>8192</v>
      </c>
      <c r="F50" s="11">
        <v>9722</v>
      </c>
      <c r="G50" s="11">
        <v>10024</v>
      </c>
      <c r="H50" s="11">
        <v>7931</v>
      </c>
    </row>
    <row r="51" spans="1:8" x14ac:dyDescent="0.25">
      <c r="A51" s="11" t="s">
        <v>50</v>
      </c>
      <c r="B51" s="11">
        <v>2338</v>
      </c>
      <c r="C51" s="11">
        <v>4317</v>
      </c>
      <c r="D51" s="11">
        <v>4830</v>
      </c>
      <c r="E51" s="11">
        <v>4773</v>
      </c>
      <c r="F51" s="11">
        <v>5831</v>
      </c>
      <c r="G51" s="11">
        <v>5357</v>
      </c>
      <c r="H51" s="11">
        <v>3755</v>
      </c>
    </row>
    <row r="52" spans="1:8" x14ac:dyDescent="0.25">
      <c r="A52" s="11" t="s">
        <v>51</v>
      </c>
      <c r="B52" s="11">
        <v>98389</v>
      </c>
      <c r="C52" s="11">
        <v>257171</v>
      </c>
      <c r="D52" s="11">
        <v>219426</v>
      </c>
      <c r="E52" s="11">
        <v>143112</v>
      </c>
      <c r="F52" s="11">
        <v>144871</v>
      </c>
      <c r="G52" s="11">
        <v>126482</v>
      </c>
      <c r="H52" s="11">
        <v>91204</v>
      </c>
    </row>
    <row r="53" spans="1:8" x14ac:dyDescent="0.25">
      <c r="A53" s="11" t="s">
        <v>52</v>
      </c>
      <c r="B53" s="11">
        <v>3184</v>
      </c>
      <c r="C53" s="11">
        <v>5915</v>
      </c>
      <c r="D53" s="11">
        <v>6463</v>
      </c>
      <c r="E53" s="11">
        <v>6595</v>
      </c>
      <c r="F53" s="11">
        <v>9557</v>
      </c>
      <c r="G53" s="11">
        <v>9129</v>
      </c>
      <c r="H53" s="11">
        <v>6275</v>
      </c>
    </row>
    <row r="54" spans="1:8" x14ac:dyDescent="0.25">
      <c r="A54" s="11" t="s">
        <v>53</v>
      </c>
      <c r="B54" s="11">
        <v>753</v>
      </c>
      <c r="C54" s="11">
        <v>1280</v>
      </c>
      <c r="D54" s="11">
        <v>1466</v>
      </c>
      <c r="E54" s="11">
        <v>1510</v>
      </c>
      <c r="F54" s="11">
        <v>2048</v>
      </c>
      <c r="G54" s="11">
        <v>2211</v>
      </c>
      <c r="H54" s="11">
        <v>1768</v>
      </c>
    </row>
    <row r="55" spans="1:8" x14ac:dyDescent="0.25">
      <c r="A55" s="11" t="s">
        <v>54</v>
      </c>
      <c r="B55" s="11">
        <v>6859</v>
      </c>
      <c r="C55" s="11">
        <v>12432</v>
      </c>
      <c r="D55" s="11">
        <v>13791</v>
      </c>
      <c r="E55" s="11">
        <v>14222</v>
      </c>
      <c r="F55" s="11">
        <v>16660</v>
      </c>
      <c r="G55" s="11">
        <v>16103</v>
      </c>
      <c r="H55" s="11">
        <v>12127</v>
      </c>
    </row>
    <row r="56" spans="1:8" x14ac:dyDescent="0.25">
      <c r="A56" s="11" t="s">
        <v>55</v>
      </c>
      <c r="B56" s="11">
        <v>2293</v>
      </c>
      <c r="C56" s="11">
        <v>3194</v>
      </c>
      <c r="D56" s="11">
        <v>3461</v>
      </c>
      <c r="E56" s="11">
        <v>3440</v>
      </c>
      <c r="F56" s="11">
        <v>4155</v>
      </c>
      <c r="G56" s="11">
        <v>3961</v>
      </c>
      <c r="H56" s="11">
        <v>3343</v>
      </c>
    </row>
    <row r="57" spans="1:8" x14ac:dyDescent="0.25">
      <c r="A57" s="11" t="s">
        <v>56</v>
      </c>
      <c r="B57" s="11">
        <v>3315</v>
      </c>
      <c r="C57" s="11">
        <v>5968</v>
      </c>
      <c r="D57" s="11">
        <v>6723</v>
      </c>
      <c r="E57" s="11">
        <v>7058</v>
      </c>
      <c r="F57" s="11">
        <v>8608</v>
      </c>
      <c r="G57" s="11">
        <v>9344</v>
      </c>
      <c r="H57" s="11">
        <v>7416</v>
      </c>
    </row>
    <row r="58" spans="1:8" x14ac:dyDescent="0.25">
      <c r="A58" s="11" t="s">
        <v>57</v>
      </c>
      <c r="B58" s="11">
        <v>230</v>
      </c>
      <c r="C58" s="11">
        <v>417</v>
      </c>
      <c r="D58" s="11">
        <v>568</v>
      </c>
      <c r="E58" s="11">
        <v>555</v>
      </c>
      <c r="F58" s="11">
        <v>803</v>
      </c>
      <c r="G58" s="11">
        <v>1069</v>
      </c>
      <c r="H58" s="11">
        <v>798</v>
      </c>
    </row>
    <row r="59" spans="1:8" x14ac:dyDescent="0.25">
      <c r="A59" s="11" t="s">
        <v>58</v>
      </c>
      <c r="B59" s="11">
        <v>1889</v>
      </c>
      <c r="C59" s="11">
        <v>3644</v>
      </c>
      <c r="D59" s="11">
        <v>3961</v>
      </c>
      <c r="E59" s="11">
        <v>3708</v>
      </c>
      <c r="F59" s="11">
        <v>5100</v>
      </c>
      <c r="G59" s="11">
        <v>5352</v>
      </c>
      <c r="H59" s="11">
        <v>4243</v>
      </c>
    </row>
    <row r="60" spans="1:8" x14ac:dyDescent="0.25">
      <c r="A60" s="11" t="s">
        <v>59</v>
      </c>
      <c r="B60" s="11">
        <v>1881</v>
      </c>
      <c r="C60" s="11">
        <v>3259</v>
      </c>
      <c r="D60" s="11">
        <v>3897</v>
      </c>
      <c r="E60" s="11">
        <v>3729</v>
      </c>
      <c r="F60" s="11">
        <v>4760</v>
      </c>
      <c r="G60" s="11">
        <v>5078</v>
      </c>
      <c r="H60" s="11">
        <v>4146</v>
      </c>
    </row>
    <row r="61" spans="1:8" x14ac:dyDescent="0.25">
      <c r="A61" s="11" t="s">
        <v>60</v>
      </c>
      <c r="B61" s="11">
        <v>3696</v>
      </c>
      <c r="C61" s="11">
        <v>4004</v>
      </c>
      <c r="D61" s="11">
        <v>3605</v>
      </c>
      <c r="E61" s="11">
        <v>3466</v>
      </c>
      <c r="F61" s="11">
        <v>3981</v>
      </c>
      <c r="G61" s="11">
        <v>3892</v>
      </c>
      <c r="H61" s="11">
        <v>3705</v>
      </c>
    </row>
    <row r="62" spans="1:8" x14ac:dyDescent="0.25">
      <c r="A62" s="11" t="s">
        <v>61</v>
      </c>
      <c r="B62" s="11">
        <v>2200</v>
      </c>
      <c r="C62" s="11">
        <v>3950</v>
      </c>
      <c r="D62" s="11">
        <v>4640</v>
      </c>
      <c r="E62" s="11">
        <v>4764</v>
      </c>
      <c r="F62" s="11">
        <v>5734</v>
      </c>
      <c r="G62" s="11">
        <v>6603</v>
      </c>
      <c r="H62" s="11">
        <v>4919</v>
      </c>
    </row>
    <row r="63" spans="1:8" x14ac:dyDescent="0.25">
      <c r="A63" s="11" t="s">
        <v>62</v>
      </c>
      <c r="B63" s="11">
        <v>1751</v>
      </c>
      <c r="C63" s="11">
        <v>3049</v>
      </c>
      <c r="D63" s="11">
        <v>3610</v>
      </c>
      <c r="E63" s="11">
        <v>3499</v>
      </c>
      <c r="F63" s="11">
        <v>4703</v>
      </c>
      <c r="G63" s="11">
        <v>5030</v>
      </c>
      <c r="H63" s="11">
        <v>3790</v>
      </c>
    </row>
    <row r="64" spans="1:8" x14ac:dyDescent="0.25">
      <c r="A64" s="11" t="s">
        <v>63</v>
      </c>
      <c r="B64" s="11">
        <v>10517</v>
      </c>
      <c r="C64" s="11">
        <v>19716</v>
      </c>
      <c r="D64" s="11">
        <v>22508</v>
      </c>
      <c r="E64" s="11">
        <v>21366</v>
      </c>
      <c r="F64" s="11">
        <v>25191</v>
      </c>
      <c r="G64" s="11">
        <v>26110</v>
      </c>
      <c r="H64" s="11">
        <v>20064</v>
      </c>
    </row>
    <row r="65" spans="1:8" x14ac:dyDescent="0.25">
      <c r="A65" s="11" t="s">
        <v>64</v>
      </c>
      <c r="B65" s="11">
        <v>2252</v>
      </c>
      <c r="C65" s="11">
        <v>4505</v>
      </c>
      <c r="D65" s="11">
        <v>5025</v>
      </c>
      <c r="E65" s="11">
        <v>4892</v>
      </c>
      <c r="F65" s="11">
        <v>6924</v>
      </c>
      <c r="G65" s="11">
        <v>7376</v>
      </c>
      <c r="H65" s="11">
        <v>5580</v>
      </c>
    </row>
    <row r="66" spans="1:8" x14ac:dyDescent="0.25">
      <c r="A66" s="11" t="s">
        <v>65</v>
      </c>
      <c r="B66" s="11">
        <v>17526</v>
      </c>
      <c r="C66" s="11">
        <v>32999</v>
      </c>
      <c r="D66" s="11">
        <v>36250</v>
      </c>
      <c r="E66" s="11">
        <v>35197</v>
      </c>
      <c r="F66" s="11">
        <v>44293</v>
      </c>
      <c r="G66" s="11">
        <v>46575</v>
      </c>
      <c r="H66" s="11">
        <v>37799</v>
      </c>
    </row>
    <row r="67" spans="1:8" x14ac:dyDescent="0.25">
      <c r="A67" s="11" t="s">
        <v>66</v>
      </c>
      <c r="B67" s="11">
        <v>1371</v>
      </c>
      <c r="C67" s="11">
        <v>2490</v>
      </c>
      <c r="D67" s="11">
        <v>2721</v>
      </c>
      <c r="E67" s="11">
        <v>2688</v>
      </c>
      <c r="F67" s="11">
        <v>3248</v>
      </c>
      <c r="G67" s="11">
        <v>3343</v>
      </c>
      <c r="H67" s="11">
        <v>2609</v>
      </c>
    </row>
    <row r="68" spans="1:8" ht="13.8" thickBot="1" x14ac:dyDescent="0.3">
      <c r="A68" s="13" t="s">
        <v>67</v>
      </c>
      <c r="B68" s="13">
        <v>26386</v>
      </c>
      <c r="C68" s="13">
        <v>49906</v>
      </c>
      <c r="D68" s="13">
        <v>54319</v>
      </c>
      <c r="E68" s="13">
        <v>50024</v>
      </c>
      <c r="F68" s="13">
        <v>57046</v>
      </c>
      <c r="G68" s="13">
        <v>50269</v>
      </c>
      <c r="H68" s="13">
        <v>37894</v>
      </c>
    </row>
    <row r="69" spans="1:8" x14ac:dyDescent="0.25">
      <c r="A69" s="32" t="s">
        <v>68</v>
      </c>
      <c r="B69" s="32">
        <f>SUM(B2:B68)</f>
        <v>758436</v>
      </c>
      <c r="C69" s="32">
        <f t="shared" ref="C69:G69" si="0">SUM(C2:C68)</f>
        <v>1460704</v>
      </c>
      <c r="D69" s="32">
        <f t="shared" si="0"/>
        <v>1469874</v>
      </c>
      <c r="E69" s="32">
        <f t="shared" si="0"/>
        <v>1284553</v>
      </c>
      <c r="F69" s="32">
        <f t="shared" si="0"/>
        <v>1465030</v>
      </c>
      <c r="G69" s="32">
        <f t="shared" si="0"/>
        <v>1417036</v>
      </c>
      <c r="H69" s="32">
        <f>SUM(H2:H68)</f>
        <v>1100962</v>
      </c>
    </row>
    <row r="70" spans="1:8" x14ac:dyDescent="0.25">
      <c r="B70" s="17">
        <f t="shared" ref="B70:H70" si="1">B69/$B$72</f>
        <v>8.467905493103127E-2</v>
      </c>
      <c r="C70" s="17">
        <f>C69/$B$72</f>
        <v>0.16308697669147706</v>
      </c>
      <c r="D70" s="17">
        <f>D69/$B$72</f>
        <v>0.16411080326842958</v>
      </c>
      <c r="E70" s="17">
        <f t="shared" si="1"/>
        <v>0.14341979290120854</v>
      </c>
      <c r="F70" s="17">
        <f t="shared" si="1"/>
        <v>0.16356997274075696</v>
      </c>
      <c r="G70" s="17">
        <f t="shared" si="1"/>
        <v>0.15821146317322599</v>
      </c>
      <c r="H70" s="17">
        <f t="shared" si="1"/>
        <v>0.1229219362938706</v>
      </c>
    </row>
    <row r="72" spans="1:8" x14ac:dyDescent="0.25">
      <c r="A72" s="32" t="s">
        <v>80</v>
      </c>
      <c r="B72" s="16">
        <f>SUM(B69:H69)</f>
        <v>8956595</v>
      </c>
      <c r="C72" s="14"/>
    </row>
    <row r="81" spans="2:7" x14ac:dyDescent="0.25">
      <c r="G81" s="11"/>
    </row>
    <row r="82" spans="2:7" x14ac:dyDescent="0.25">
      <c r="G82" s="11"/>
    </row>
    <row r="83" spans="2:7" x14ac:dyDescent="0.25">
      <c r="E83" s="11"/>
      <c r="G83" s="11"/>
    </row>
    <row r="84" spans="2:7" x14ac:dyDescent="0.25">
      <c r="B84" s="11"/>
      <c r="E84" s="11"/>
      <c r="G84" s="11"/>
    </row>
    <row r="85" spans="2:7" x14ac:dyDescent="0.25">
      <c r="E85" s="11"/>
      <c r="G85" s="11"/>
    </row>
    <row r="86" spans="2:7" x14ac:dyDescent="0.25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19" sqref="M19"/>
    </sheetView>
  </sheetViews>
  <sheetFormatPr defaultColWidth="9.109375" defaultRowHeight="13.2" x14ac:dyDescent="0.25"/>
  <cols>
    <col min="1" max="1" width="19.88671875" style="11" customWidth="1"/>
    <col min="2" max="2" width="9" style="10" customWidth="1"/>
    <col min="3" max="8" width="12.33203125" style="10" customWidth="1"/>
    <col min="9" max="9" width="11" style="11" bestFit="1" customWidth="1"/>
    <col min="10" max="10" width="6.44140625" style="11" customWidth="1"/>
    <col min="11" max="16384" width="9.109375" style="11"/>
  </cols>
  <sheetData>
    <row r="1" spans="1:9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11" t="s">
        <v>1</v>
      </c>
      <c r="B2" s="10" t="s">
        <v>0</v>
      </c>
      <c r="C2" s="11">
        <v>1984</v>
      </c>
      <c r="D2" s="11">
        <v>2769</v>
      </c>
      <c r="E2" s="11">
        <v>2337</v>
      </c>
      <c r="F2" s="11">
        <v>2111</v>
      </c>
      <c r="G2" s="11">
        <v>2663</v>
      </c>
      <c r="H2" s="11">
        <v>3774</v>
      </c>
      <c r="I2" s="11">
        <v>3512</v>
      </c>
    </row>
    <row r="3" spans="1:9" x14ac:dyDescent="0.25">
      <c r="A3" s="11" t="s">
        <v>2</v>
      </c>
      <c r="B3" s="10" t="s">
        <v>0</v>
      </c>
      <c r="C3" s="11">
        <v>41500</v>
      </c>
      <c r="D3" s="11">
        <v>94137</v>
      </c>
      <c r="E3" s="11">
        <v>89070</v>
      </c>
      <c r="F3" s="11">
        <v>63877</v>
      </c>
      <c r="G3" s="11">
        <v>67837</v>
      </c>
      <c r="H3" s="11">
        <v>80357</v>
      </c>
      <c r="I3" s="11">
        <v>65540</v>
      </c>
    </row>
    <row r="4" spans="1:9" x14ac:dyDescent="0.25">
      <c r="A4" s="11" t="s">
        <v>3</v>
      </c>
      <c r="B4" s="10" t="s">
        <v>0</v>
      </c>
      <c r="C4" s="11">
        <v>609</v>
      </c>
      <c r="D4" s="11">
        <v>1091</v>
      </c>
      <c r="E4" s="11">
        <v>1213</v>
      </c>
      <c r="F4" s="11">
        <v>1265</v>
      </c>
      <c r="G4" s="11">
        <v>1777</v>
      </c>
      <c r="H4" s="11">
        <v>2556</v>
      </c>
      <c r="I4" s="11">
        <v>2169</v>
      </c>
    </row>
    <row r="5" spans="1:9" x14ac:dyDescent="0.25">
      <c r="A5" s="11" t="s">
        <v>4</v>
      </c>
      <c r="B5" s="10" t="s">
        <v>0</v>
      </c>
      <c r="C5" s="11">
        <v>2557</v>
      </c>
      <c r="D5" s="11">
        <v>5676</v>
      </c>
      <c r="E5" s="11">
        <v>6437</v>
      </c>
      <c r="F5" s="11">
        <v>5906</v>
      </c>
      <c r="G5" s="11">
        <v>7386</v>
      </c>
      <c r="H5" s="11">
        <v>9855</v>
      </c>
      <c r="I5" s="11">
        <v>8026</v>
      </c>
    </row>
    <row r="6" spans="1:9" x14ac:dyDescent="0.25">
      <c r="A6" s="11" t="s">
        <v>5</v>
      </c>
      <c r="B6" s="10" t="s">
        <v>0</v>
      </c>
      <c r="C6" s="11">
        <v>301</v>
      </c>
      <c r="D6" s="11">
        <v>527</v>
      </c>
      <c r="E6" s="11">
        <v>571</v>
      </c>
      <c r="F6" s="11">
        <v>634</v>
      </c>
      <c r="G6" s="11">
        <v>859</v>
      </c>
      <c r="H6" s="11">
        <v>1193</v>
      </c>
      <c r="I6" s="11">
        <v>1197</v>
      </c>
    </row>
    <row r="7" spans="1:9" x14ac:dyDescent="0.25">
      <c r="A7" s="11" t="s">
        <v>6</v>
      </c>
      <c r="B7" s="10" t="s">
        <v>0</v>
      </c>
      <c r="C7" s="11">
        <v>8457</v>
      </c>
      <c r="D7" s="11">
        <v>15779</v>
      </c>
      <c r="E7" s="11">
        <v>16317</v>
      </c>
      <c r="F7" s="11">
        <v>14887</v>
      </c>
      <c r="G7" s="11">
        <v>16951</v>
      </c>
      <c r="H7" s="11">
        <v>17325</v>
      </c>
      <c r="I7" s="11">
        <v>14466</v>
      </c>
    </row>
    <row r="8" spans="1:9" x14ac:dyDescent="0.25">
      <c r="A8" s="11" t="s">
        <v>7</v>
      </c>
      <c r="B8" s="10" t="s">
        <v>0</v>
      </c>
      <c r="C8" s="11">
        <v>1543</v>
      </c>
      <c r="D8" s="11">
        <v>3030</v>
      </c>
      <c r="E8" s="11">
        <v>3119</v>
      </c>
      <c r="F8" s="11">
        <v>2578</v>
      </c>
      <c r="G8" s="11">
        <v>2733</v>
      </c>
      <c r="H8" s="11">
        <v>3544</v>
      </c>
      <c r="I8" s="11">
        <v>3222</v>
      </c>
    </row>
    <row r="9" spans="1:9" x14ac:dyDescent="0.25">
      <c r="A9" s="11" t="s">
        <v>8</v>
      </c>
      <c r="B9" s="10" t="s">
        <v>0</v>
      </c>
      <c r="C9" s="11">
        <v>504</v>
      </c>
      <c r="D9" s="11">
        <v>1054</v>
      </c>
      <c r="E9" s="11">
        <v>1076</v>
      </c>
      <c r="F9" s="11">
        <v>896</v>
      </c>
      <c r="G9" s="11">
        <v>1195</v>
      </c>
      <c r="H9" s="11">
        <v>1605</v>
      </c>
      <c r="I9" s="11">
        <v>1483</v>
      </c>
    </row>
    <row r="10" spans="1:9" x14ac:dyDescent="0.25">
      <c r="A10" s="11" t="s">
        <v>9</v>
      </c>
      <c r="B10" s="10" t="s">
        <v>0</v>
      </c>
      <c r="C10" s="11">
        <v>15652</v>
      </c>
      <c r="D10" s="11">
        <v>28167</v>
      </c>
      <c r="E10" s="11">
        <v>30151</v>
      </c>
      <c r="F10" s="11">
        <v>27056</v>
      </c>
      <c r="G10" s="11">
        <v>31313</v>
      </c>
      <c r="H10" s="11">
        <v>34565</v>
      </c>
      <c r="I10" s="11">
        <v>26900</v>
      </c>
    </row>
    <row r="11" spans="1:9" x14ac:dyDescent="0.25">
      <c r="A11" s="11" t="s">
        <v>10</v>
      </c>
      <c r="B11" s="10" t="s">
        <v>0</v>
      </c>
      <c r="C11" s="11">
        <v>2997</v>
      </c>
      <c r="D11" s="11">
        <v>5258</v>
      </c>
      <c r="E11" s="11">
        <v>5948</v>
      </c>
      <c r="F11" s="11">
        <v>4990</v>
      </c>
      <c r="G11" s="11">
        <v>5780</v>
      </c>
      <c r="H11" s="11">
        <v>7575</v>
      </c>
      <c r="I11" s="11">
        <v>6553</v>
      </c>
    </row>
    <row r="12" spans="1:9" x14ac:dyDescent="0.25">
      <c r="A12" s="11" t="s">
        <v>11</v>
      </c>
      <c r="B12" s="10" t="s">
        <v>0</v>
      </c>
      <c r="C12" s="11">
        <v>1737</v>
      </c>
      <c r="D12" s="11">
        <v>3355</v>
      </c>
      <c r="E12" s="11">
        <v>3665</v>
      </c>
      <c r="F12" s="11">
        <v>3721</v>
      </c>
      <c r="G12" s="11">
        <v>4672</v>
      </c>
      <c r="H12" s="11">
        <v>6685</v>
      </c>
      <c r="I12" s="11">
        <v>5657</v>
      </c>
    </row>
    <row r="13" spans="1:9" x14ac:dyDescent="0.25">
      <c r="A13" s="11" t="s">
        <v>12</v>
      </c>
      <c r="B13" s="10" t="s">
        <v>0</v>
      </c>
      <c r="C13" s="11">
        <v>32</v>
      </c>
      <c r="D13" s="11">
        <v>68</v>
      </c>
      <c r="E13" s="11">
        <v>76</v>
      </c>
      <c r="F13" s="11">
        <v>63</v>
      </c>
      <c r="G13" s="11">
        <v>115</v>
      </c>
      <c r="H13" s="11">
        <v>168</v>
      </c>
      <c r="I13" s="11">
        <v>143</v>
      </c>
    </row>
    <row r="14" spans="1:9" x14ac:dyDescent="0.25">
      <c r="A14" s="11" t="s">
        <v>13</v>
      </c>
      <c r="B14" s="10" t="s">
        <v>0</v>
      </c>
      <c r="C14" s="11">
        <v>859</v>
      </c>
      <c r="D14" s="11">
        <v>1778</v>
      </c>
      <c r="E14" s="11">
        <v>1932</v>
      </c>
      <c r="F14" s="11">
        <v>1920</v>
      </c>
      <c r="G14" s="11">
        <v>2455</v>
      </c>
      <c r="H14" s="11">
        <v>2860</v>
      </c>
      <c r="I14" s="11">
        <v>2260</v>
      </c>
    </row>
    <row r="15" spans="1:9" x14ac:dyDescent="0.25">
      <c r="A15" s="11" t="s">
        <v>14</v>
      </c>
      <c r="B15" s="10" t="s">
        <v>0</v>
      </c>
      <c r="C15" s="11">
        <v>7927</v>
      </c>
      <c r="D15" s="11">
        <v>8985</v>
      </c>
      <c r="E15" s="11">
        <v>5701</v>
      </c>
      <c r="F15" s="11">
        <v>4602</v>
      </c>
      <c r="G15" s="11">
        <v>4503</v>
      </c>
      <c r="H15" s="11">
        <v>5093</v>
      </c>
      <c r="I15" s="11">
        <v>4668</v>
      </c>
    </row>
    <row r="16" spans="1:9" x14ac:dyDescent="0.25">
      <c r="A16" s="11" t="s">
        <v>15</v>
      </c>
      <c r="B16" s="10" t="s">
        <v>0</v>
      </c>
      <c r="C16" s="11">
        <v>16651</v>
      </c>
      <c r="D16" s="11">
        <v>27047</v>
      </c>
      <c r="E16" s="11">
        <v>26301</v>
      </c>
      <c r="F16" s="11">
        <v>23294</v>
      </c>
      <c r="G16" s="11">
        <v>24119</v>
      </c>
      <c r="H16" s="11">
        <v>24395</v>
      </c>
      <c r="I16" s="11">
        <v>18612</v>
      </c>
    </row>
    <row r="17" spans="1:9" x14ac:dyDescent="0.25">
      <c r="A17" s="11" t="s">
        <v>16</v>
      </c>
      <c r="B17" s="10" t="s">
        <v>0</v>
      </c>
      <c r="C17" s="11">
        <v>311</v>
      </c>
      <c r="D17" s="11">
        <v>624</v>
      </c>
      <c r="E17" s="11">
        <v>611</v>
      </c>
      <c r="F17" s="11">
        <v>577</v>
      </c>
      <c r="G17" s="11">
        <v>738</v>
      </c>
      <c r="H17" s="11">
        <v>1164</v>
      </c>
      <c r="I17" s="11">
        <v>1041</v>
      </c>
    </row>
    <row r="18" spans="1:9" x14ac:dyDescent="0.25">
      <c r="A18" s="11" t="s">
        <v>17</v>
      </c>
      <c r="B18" s="10" t="s">
        <v>0</v>
      </c>
      <c r="C18" s="11">
        <v>693</v>
      </c>
      <c r="D18" s="11">
        <v>1357</v>
      </c>
      <c r="E18" s="11">
        <v>1469</v>
      </c>
      <c r="F18" s="11">
        <v>1524</v>
      </c>
      <c r="G18" s="11">
        <v>1970</v>
      </c>
      <c r="H18" s="11">
        <v>2578</v>
      </c>
      <c r="I18" s="11">
        <v>2462</v>
      </c>
    </row>
    <row r="19" spans="1:9" x14ac:dyDescent="0.25">
      <c r="A19" s="11" t="s">
        <v>18</v>
      </c>
      <c r="B19" s="10" t="s">
        <v>0</v>
      </c>
      <c r="C19" s="11">
        <v>386</v>
      </c>
      <c r="D19" s="11">
        <v>844</v>
      </c>
      <c r="E19" s="11">
        <v>772</v>
      </c>
      <c r="F19" s="11">
        <v>758</v>
      </c>
      <c r="G19" s="11">
        <v>909</v>
      </c>
      <c r="H19" s="11">
        <v>1290</v>
      </c>
      <c r="I19" s="11">
        <v>1105</v>
      </c>
    </row>
    <row r="20" spans="1:9" x14ac:dyDescent="0.25">
      <c r="A20" s="11" t="s">
        <v>19</v>
      </c>
      <c r="B20" s="10" t="s">
        <v>0</v>
      </c>
      <c r="C20" s="11">
        <v>1242</v>
      </c>
      <c r="D20" s="11">
        <v>1712</v>
      </c>
      <c r="E20" s="11">
        <v>1678</v>
      </c>
      <c r="F20" s="11">
        <v>1474</v>
      </c>
      <c r="G20" s="11">
        <v>1635</v>
      </c>
      <c r="H20" s="11">
        <v>2174</v>
      </c>
      <c r="I20" s="11">
        <v>1903</v>
      </c>
    </row>
    <row r="21" spans="1:9" x14ac:dyDescent="0.25">
      <c r="A21" s="11" t="s">
        <v>20</v>
      </c>
      <c r="B21" s="10" t="s">
        <v>0</v>
      </c>
      <c r="C21" s="11">
        <v>1060</v>
      </c>
      <c r="D21" s="11">
        <v>1809</v>
      </c>
      <c r="E21" s="11">
        <v>1767</v>
      </c>
      <c r="F21" s="11">
        <v>1739</v>
      </c>
      <c r="G21" s="11">
        <v>2169</v>
      </c>
      <c r="H21" s="11">
        <v>3053</v>
      </c>
      <c r="I21" s="11">
        <v>2864</v>
      </c>
    </row>
    <row r="22" spans="1:9" x14ac:dyDescent="0.25">
      <c r="A22" s="11" t="s">
        <v>21</v>
      </c>
      <c r="B22" s="10" t="s">
        <v>0</v>
      </c>
      <c r="C22" s="11">
        <v>6203</v>
      </c>
      <c r="D22" s="11">
        <v>10200</v>
      </c>
      <c r="E22" s="11">
        <v>10852</v>
      </c>
      <c r="F22" s="11">
        <v>8618</v>
      </c>
      <c r="G22" s="11">
        <v>8009</v>
      </c>
      <c r="H22" s="11">
        <v>9066</v>
      </c>
      <c r="I22" s="11">
        <v>8266</v>
      </c>
    </row>
    <row r="23" spans="1:9" x14ac:dyDescent="0.25">
      <c r="A23" s="11" t="s">
        <v>22</v>
      </c>
      <c r="B23" s="10" t="s">
        <v>0</v>
      </c>
      <c r="C23" s="11">
        <v>7154</v>
      </c>
      <c r="D23" s="11">
        <v>15486</v>
      </c>
      <c r="E23" s="11">
        <v>15111</v>
      </c>
      <c r="F23" s="11">
        <v>12793</v>
      </c>
      <c r="G23" s="11">
        <v>13017</v>
      </c>
      <c r="H23" s="11">
        <v>13094</v>
      </c>
      <c r="I23" s="11">
        <v>9042</v>
      </c>
    </row>
    <row r="24" spans="1:9" x14ac:dyDescent="0.25">
      <c r="A24" s="11" t="s">
        <v>23</v>
      </c>
      <c r="B24" s="10" t="s">
        <v>0</v>
      </c>
      <c r="C24" s="11">
        <v>19206</v>
      </c>
      <c r="D24" s="11">
        <v>34999</v>
      </c>
      <c r="E24" s="11">
        <v>38635</v>
      </c>
      <c r="F24" s="11">
        <v>30477</v>
      </c>
      <c r="G24" s="11">
        <v>29488</v>
      </c>
      <c r="H24" s="11">
        <v>28975</v>
      </c>
      <c r="I24" s="11">
        <v>20563</v>
      </c>
    </row>
    <row r="25" spans="1:9" x14ac:dyDescent="0.25">
      <c r="A25" s="11" t="s">
        <v>24</v>
      </c>
      <c r="B25" s="10" t="s">
        <v>0</v>
      </c>
      <c r="C25" s="11">
        <v>324</v>
      </c>
      <c r="D25" s="11">
        <v>603</v>
      </c>
      <c r="E25" s="11">
        <v>658</v>
      </c>
      <c r="F25" s="11">
        <v>649</v>
      </c>
      <c r="G25" s="11">
        <v>1024</v>
      </c>
      <c r="H25" s="11">
        <v>1326</v>
      </c>
      <c r="I25" s="11">
        <v>1226</v>
      </c>
    </row>
    <row r="26" spans="1:9" x14ac:dyDescent="0.25">
      <c r="A26" s="11" t="s">
        <v>25</v>
      </c>
      <c r="B26" s="10" t="s">
        <v>0</v>
      </c>
      <c r="C26" s="11">
        <v>5511</v>
      </c>
      <c r="D26" s="11">
        <v>11281</v>
      </c>
      <c r="E26" s="11">
        <v>11134</v>
      </c>
      <c r="F26" s="11">
        <v>10144</v>
      </c>
      <c r="G26" s="11">
        <v>11780</v>
      </c>
      <c r="H26" s="11">
        <v>14890</v>
      </c>
      <c r="I26" s="11">
        <v>11749</v>
      </c>
    </row>
    <row r="27" spans="1:9" x14ac:dyDescent="0.25">
      <c r="A27" s="11" t="s">
        <v>26</v>
      </c>
      <c r="B27" s="10" t="s">
        <v>0</v>
      </c>
      <c r="C27" s="11">
        <v>1348</v>
      </c>
      <c r="D27" s="11">
        <v>2936</v>
      </c>
      <c r="E27" s="11">
        <v>3503</v>
      </c>
      <c r="F27" s="11">
        <v>3848</v>
      </c>
      <c r="G27" s="11">
        <v>5091</v>
      </c>
      <c r="H27" s="11">
        <v>6902</v>
      </c>
      <c r="I27" s="11">
        <v>5988</v>
      </c>
    </row>
    <row r="28" spans="1:9" x14ac:dyDescent="0.25">
      <c r="A28" s="11" t="s">
        <v>27</v>
      </c>
      <c r="B28" s="10" t="s">
        <v>0</v>
      </c>
      <c r="C28" s="11">
        <v>16</v>
      </c>
      <c r="D28" s="11">
        <v>47</v>
      </c>
      <c r="E28" s="11">
        <v>53</v>
      </c>
      <c r="F28" s="11">
        <v>68</v>
      </c>
      <c r="G28" s="11">
        <v>146</v>
      </c>
      <c r="H28" s="11">
        <v>243</v>
      </c>
      <c r="I28" s="11">
        <v>200</v>
      </c>
    </row>
    <row r="29" spans="1:9" x14ac:dyDescent="0.25">
      <c r="A29" s="11" t="s">
        <v>28</v>
      </c>
      <c r="B29" s="10" t="s">
        <v>0</v>
      </c>
      <c r="C29" s="11">
        <v>2036</v>
      </c>
      <c r="D29" s="11">
        <v>3659</v>
      </c>
      <c r="E29" s="11">
        <v>3446</v>
      </c>
      <c r="F29" s="11">
        <v>3103</v>
      </c>
      <c r="G29" s="11">
        <v>3262</v>
      </c>
      <c r="H29" s="11">
        <v>3959</v>
      </c>
      <c r="I29" s="11">
        <v>4000</v>
      </c>
    </row>
    <row r="30" spans="1:9" x14ac:dyDescent="0.25">
      <c r="A30" s="11" t="s">
        <v>29</v>
      </c>
      <c r="B30" s="10" t="s">
        <v>0</v>
      </c>
      <c r="C30" s="11">
        <v>78</v>
      </c>
      <c r="D30" s="11">
        <v>140</v>
      </c>
      <c r="E30" s="11">
        <v>157</v>
      </c>
      <c r="F30" s="11">
        <v>181</v>
      </c>
      <c r="G30" s="11">
        <v>245</v>
      </c>
      <c r="H30" s="11">
        <v>289</v>
      </c>
      <c r="I30" s="11">
        <v>385</v>
      </c>
    </row>
    <row r="31" spans="1:9" x14ac:dyDescent="0.25">
      <c r="A31" s="11" t="s">
        <v>30</v>
      </c>
      <c r="B31" s="10" t="s">
        <v>0</v>
      </c>
      <c r="C31" s="11">
        <v>289</v>
      </c>
      <c r="D31" s="11">
        <v>676</v>
      </c>
      <c r="E31" s="11">
        <v>828</v>
      </c>
      <c r="F31" s="11">
        <v>954</v>
      </c>
      <c r="G31" s="11">
        <v>1293</v>
      </c>
      <c r="H31" s="11">
        <v>1835</v>
      </c>
      <c r="I31" s="11">
        <v>1536</v>
      </c>
    </row>
    <row r="32" spans="1:9" x14ac:dyDescent="0.25">
      <c r="A32" s="11" t="s">
        <v>31</v>
      </c>
      <c r="B32" s="10" t="s">
        <v>0</v>
      </c>
      <c r="C32" s="11">
        <v>613</v>
      </c>
      <c r="D32" s="11">
        <v>836</v>
      </c>
      <c r="E32" s="11">
        <v>613</v>
      </c>
      <c r="F32" s="11">
        <v>711</v>
      </c>
      <c r="G32" s="11">
        <v>870</v>
      </c>
      <c r="H32" s="11">
        <v>1220</v>
      </c>
      <c r="I32" s="11">
        <v>1175</v>
      </c>
    </row>
    <row r="33" spans="1:9" x14ac:dyDescent="0.25">
      <c r="A33" s="11" t="s">
        <v>32</v>
      </c>
      <c r="B33" s="10" t="s">
        <v>0</v>
      </c>
      <c r="C33" s="11">
        <v>1323</v>
      </c>
      <c r="D33" s="11">
        <v>1812</v>
      </c>
      <c r="E33" s="11">
        <v>1538</v>
      </c>
      <c r="F33" s="11">
        <v>1517</v>
      </c>
      <c r="G33" s="11">
        <v>2105</v>
      </c>
      <c r="H33" s="11">
        <v>3029</v>
      </c>
      <c r="I33" s="11">
        <v>2644</v>
      </c>
    </row>
    <row r="34" spans="1:9" x14ac:dyDescent="0.25">
      <c r="A34" s="11" t="s">
        <v>33</v>
      </c>
      <c r="B34" s="10" t="s">
        <v>0</v>
      </c>
      <c r="C34" s="11">
        <v>354</v>
      </c>
      <c r="D34" s="11">
        <v>615</v>
      </c>
      <c r="E34" s="11">
        <v>658</v>
      </c>
      <c r="F34" s="11">
        <v>664</v>
      </c>
      <c r="G34" s="11">
        <v>804</v>
      </c>
      <c r="H34" s="11">
        <v>1262</v>
      </c>
      <c r="I34" s="11">
        <v>1075</v>
      </c>
    </row>
    <row r="35" spans="1:9" x14ac:dyDescent="0.25">
      <c r="A35" s="11" t="s">
        <v>34</v>
      </c>
      <c r="B35" s="10" t="s">
        <v>0</v>
      </c>
      <c r="C35" s="11">
        <v>140</v>
      </c>
      <c r="D35" s="11">
        <v>245</v>
      </c>
      <c r="E35" s="11">
        <v>299</v>
      </c>
      <c r="F35" s="11">
        <v>314</v>
      </c>
      <c r="G35" s="11">
        <v>413</v>
      </c>
      <c r="H35" s="11">
        <v>602</v>
      </c>
      <c r="I35" s="11">
        <v>531</v>
      </c>
    </row>
    <row r="36" spans="1:9" x14ac:dyDescent="0.25">
      <c r="A36" s="11" t="s">
        <v>35</v>
      </c>
      <c r="B36" s="10" t="s">
        <v>0</v>
      </c>
      <c r="C36" s="11">
        <v>5074</v>
      </c>
      <c r="D36" s="11">
        <v>10477</v>
      </c>
      <c r="E36" s="11">
        <v>11671</v>
      </c>
      <c r="F36" s="11">
        <v>10208</v>
      </c>
      <c r="G36" s="11">
        <v>12573</v>
      </c>
      <c r="H36" s="11">
        <v>14097</v>
      </c>
      <c r="I36" s="11">
        <v>12172</v>
      </c>
    </row>
    <row r="37" spans="1:9" x14ac:dyDescent="0.25">
      <c r="A37" s="11" t="s">
        <v>36</v>
      </c>
      <c r="B37" s="10" t="s">
        <v>0</v>
      </c>
      <c r="C37" s="11">
        <v>9844</v>
      </c>
      <c r="D37" s="11">
        <v>19969</v>
      </c>
      <c r="E37" s="11">
        <v>19604</v>
      </c>
      <c r="F37" s="11">
        <v>15200</v>
      </c>
      <c r="G37" s="11">
        <v>15292</v>
      </c>
      <c r="H37" s="11">
        <v>17370</v>
      </c>
      <c r="I37" s="11">
        <v>15254</v>
      </c>
    </row>
    <row r="38" spans="1:9" x14ac:dyDescent="0.25">
      <c r="A38" s="11" t="s">
        <v>37</v>
      </c>
      <c r="B38" s="10" t="s">
        <v>0</v>
      </c>
      <c r="C38" s="11">
        <v>1195</v>
      </c>
      <c r="D38" s="11">
        <v>2397</v>
      </c>
      <c r="E38" s="11">
        <v>2473</v>
      </c>
      <c r="F38" s="11">
        <v>2479</v>
      </c>
      <c r="G38" s="11">
        <v>3271</v>
      </c>
      <c r="H38" s="11">
        <v>4215</v>
      </c>
      <c r="I38" s="11">
        <v>3704</v>
      </c>
    </row>
    <row r="39" spans="1:9" x14ac:dyDescent="0.25">
      <c r="A39" s="11" t="s">
        <v>38</v>
      </c>
      <c r="B39" s="10" t="s">
        <v>0</v>
      </c>
      <c r="C39" s="11">
        <v>2029</v>
      </c>
      <c r="D39" s="11">
        <v>3715</v>
      </c>
      <c r="E39" s="11">
        <v>4027</v>
      </c>
      <c r="F39" s="11">
        <v>3652</v>
      </c>
      <c r="G39" s="11">
        <v>3843</v>
      </c>
      <c r="H39" s="11">
        <v>4225</v>
      </c>
      <c r="I39" s="11">
        <v>3817</v>
      </c>
    </row>
    <row r="40" spans="1:9" x14ac:dyDescent="0.25">
      <c r="A40" s="11" t="s">
        <v>39</v>
      </c>
      <c r="B40" s="10" t="s">
        <v>0</v>
      </c>
      <c r="C40" s="11">
        <v>9054</v>
      </c>
      <c r="D40" s="11">
        <v>18178</v>
      </c>
      <c r="E40" s="11">
        <v>18538</v>
      </c>
      <c r="F40" s="11">
        <v>16658</v>
      </c>
      <c r="G40" s="11">
        <v>17093</v>
      </c>
      <c r="H40" s="11">
        <v>17394</v>
      </c>
      <c r="I40" s="11">
        <v>14015</v>
      </c>
    </row>
    <row r="41" spans="1:9" x14ac:dyDescent="0.25">
      <c r="A41" s="11" t="s">
        <v>40</v>
      </c>
      <c r="B41" s="10" t="s">
        <v>0</v>
      </c>
      <c r="C41" s="11">
        <v>5676</v>
      </c>
      <c r="D41" s="11">
        <v>11938</v>
      </c>
      <c r="E41" s="11">
        <v>12983</v>
      </c>
      <c r="F41" s="11">
        <v>11849</v>
      </c>
      <c r="G41" s="11">
        <v>13754</v>
      </c>
      <c r="H41" s="11">
        <v>15079</v>
      </c>
      <c r="I41" s="11">
        <v>12831</v>
      </c>
    </row>
    <row r="42" spans="1:9" x14ac:dyDescent="0.25">
      <c r="A42" s="11" t="s">
        <v>41</v>
      </c>
      <c r="B42" s="10" t="s">
        <v>0</v>
      </c>
      <c r="C42" s="11">
        <v>1405</v>
      </c>
      <c r="D42" s="11">
        <v>2893</v>
      </c>
      <c r="E42" s="11">
        <v>2822</v>
      </c>
      <c r="F42" s="11">
        <v>2333</v>
      </c>
      <c r="G42" s="11">
        <v>2598</v>
      </c>
      <c r="H42" s="11">
        <v>3395</v>
      </c>
      <c r="I42" s="11">
        <v>2724</v>
      </c>
    </row>
    <row r="43" spans="1:9" x14ac:dyDescent="0.25">
      <c r="A43" s="11" t="s">
        <v>42</v>
      </c>
      <c r="B43" s="10" t="s">
        <v>0</v>
      </c>
      <c r="C43" s="11">
        <v>374</v>
      </c>
      <c r="D43" s="11">
        <v>720</v>
      </c>
      <c r="E43" s="11">
        <v>691</v>
      </c>
      <c r="F43" s="11">
        <v>642</v>
      </c>
      <c r="G43" s="11">
        <v>786</v>
      </c>
      <c r="H43" s="11">
        <v>1124</v>
      </c>
      <c r="I43" s="11">
        <v>947</v>
      </c>
    </row>
    <row r="44" spans="1:9" x14ac:dyDescent="0.25">
      <c r="A44" s="11" t="s">
        <v>43</v>
      </c>
      <c r="B44" s="10" t="s">
        <v>0</v>
      </c>
      <c r="C44" s="11">
        <v>1374</v>
      </c>
      <c r="D44" s="11">
        <v>2683</v>
      </c>
      <c r="E44" s="11">
        <v>2936</v>
      </c>
      <c r="F44" s="11">
        <v>2789</v>
      </c>
      <c r="G44" s="11">
        <v>3695</v>
      </c>
      <c r="H44" s="11">
        <v>5262</v>
      </c>
      <c r="I44" s="11">
        <v>4412</v>
      </c>
    </row>
    <row r="45" spans="1:9" x14ac:dyDescent="0.25">
      <c r="A45" s="11" t="s">
        <v>44</v>
      </c>
      <c r="B45" s="10" t="s">
        <v>0</v>
      </c>
      <c r="C45" s="11">
        <v>319</v>
      </c>
      <c r="D45" s="11">
        <v>692</v>
      </c>
      <c r="E45" s="11">
        <v>752</v>
      </c>
      <c r="F45" s="11">
        <v>686</v>
      </c>
      <c r="G45" s="11">
        <v>800</v>
      </c>
      <c r="H45" s="11">
        <v>1020</v>
      </c>
      <c r="I45" s="11">
        <v>1096</v>
      </c>
    </row>
    <row r="46" spans="1:9" x14ac:dyDescent="0.25">
      <c r="A46" s="11" t="s">
        <v>45</v>
      </c>
      <c r="B46" s="10" t="s">
        <v>0</v>
      </c>
      <c r="C46" s="11">
        <v>4129</v>
      </c>
      <c r="D46" s="11">
        <v>7315</v>
      </c>
      <c r="E46" s="11">
        <v>6729</v>
      </c>
      <c r="F46" s="11">
        <v>6926</v>
      </c>
      <c r="G46" s="11">
        <v>9127</v>
      </c>
      <c r="H46" s="11">
        <v>8717</v>
      </c>
      <c r="I46" s="11">
        <v>5485</v>
      </c>
    </row>
    <row r="47" spans="1:9" x14ac:dyDescent="0.25">
      <c r="A47" s="11" t="s">
        <v>46</v>
      </c>
      <c r="B47" s="10" t="s">
        <v>0</v>
      </c>
      <c r="C47" s="11">
        <v>26857</v>
      </c>
      <c r="D47" s="11">
        <v>49013</v>
      </c>
      <c r="E47" s="11">
        <v>53850</v>
      </c>
      <c r="F47" s="11">
        <v>45411</v>
      </c>
      <c r="G47" s="11">
        <v>44794</v>
      </c>
      <c r="H47" s="11">
        <v>46296</v>
      </c>
      <c r="I47" s="11">
        <v>38382</v>
      </c>
    </row>
    <row r="48" spans="1:9" x14ac:dyDescent="0.25">
      <c r="A48" s="11" t="s">
        <v>47</v>
      </c>
      <c r="B48" s="10" t="s">
        <v>0</v>
      </c>
      <c r="C48" s="11">
        <v>237</v>
      </c>
      <c r="D48" s="11">
        <v>580</v>
      </c>
      <c r="E48" s="11">
        <v>626</v>
      </c>
      <c r="F48" s="11">
        <v>438</v>
      </c>
      <c r="G48" s="11">
        <v>519</v>
      </c>
      <c r="H48" s="11">
        <v>713</v>
      </c>
      <c r="I48" s="11">
        <v>646</v>
      </c>
    </row>
    <row r="49" spans="1:9" x14ac:dyDescent="0.25">
      <c r="A49" s="11" t="s">
        <v>48</v>
      </c>
      <c r="B49" s="10" t="s">
        <v>0</v>
      </c>
      <c r="C49" s="11">
        <v>9847</v>
      </c>
      <c r="D49" s="11">
        <v>15047</v>
      </c>
      <c r="E49" s="11">
        <v>14276</v>
      </c>
      <c r="F49" s="11">
        <v>12912</v>
      </c>
      <c r="G49" s="11">
        <v>14327</v>
      </c>
      <c r="H49" s="11">
        <v>15785</v>
      </c>
      <c r="I49" s="11">
        <v>13407</v>
      </c>
    </row>
    <row r="50" spans="1:9" x14ac:dyDescent="0.25">
      <c r="A50" s="11" t="s">
        <v>49</v>
      </c>
      <c r="B50" s="10" t="s">
        <v>0</v>
      </c>
      <c r="C50" s="11">
        <v>869</v>
      </c>
      <c r="D50" s="11">
        <v>1893</v>
      </c>
      <c r="E50" s="11">
        <v>2200</v>
      </c>
      <c r="F50" s="11">
        <v>2070</v>
      </c>
      <c r="G50" s="11">
        <v>2372</v>
      </c>
      <c r="H50" s="11">
        <v>3182</v>
      </c>
      <c r="I50" s="11">
        <v>2732</v>
      </c>
    </row>
    <row r="51" spans="1:9" x14ac:dyDescent="0.25">
      <c r="A51" s="11" t="s">
        <v>50</v>
      </c>
      <c r="B51" s="10" t="s">
        <v>0</v>
      </c>
      <c r="C51" s="11">
        <v>452</v>
      </c>
      <c r="D51" s="11">
        <v>808</v>
      </c>
      <c r="E51" s="11">
        <v>901</v>
      </c>
      <c r="F51" s="11">
        <v>814</v>
      </c>
      <c r="G51" s="11">
        <v>961</v>
      </c>
      <c r="H51" s="11">
        <v>1119</v>
      </c>
      <c r="I51" s="11">
        <v>936</v>
      </c>
    </row>
    <row r="52" spans="1:9" x14ac:dyDescent="0.25">
      <c r="A52" s="11" t="s">
        <v>51</v>
      </c>
      <c r="B52" s="10" t="s">
        <v>0</v>
      </c>
      <c r="C52" s="11">
        <v>60976</v>
      </c>
      <c r="D52" s="11">
        <v>176572</v>
      </c>
      <c r="E52" s="11">
        <v>154957</v>
      </c>
      <c r="F52" s="11">
        <v>102583</v>
      </c>
      <c r="G52" s="11">
        <v>109337</v>
      </c>
      <c r="H52" s="11">
        <v>98601</v>
      </c>
      <c r="I52" s="11">
        <v>71334</v>
      </c>
    </row>
    <row r="53" spans="1:9" x14ac:dyDescent="0.25">
      <c r="A53" s="11" t="s">
        <v>52</v>
      </c>
      <c r="B53" s="10" t="s">
        <v>0</v>
      </c>
      <c r="C53" s="11">
        <v>979</v>
      </c>
      <c r="D53" s="11">
        <v>1774</v>
      </c>
      <c r="E53" s="11">
        <v>1721</v>
      </c>
      <c r="F53" s="11">
        <v>1764</v>
      </c>
      <c r="G53" s="11">
        <v>2487</v>
      </c>
      <c r="H53" s="11">
        <v>2806</v>
      </c>
      <c r="I53" s="11">
        <v>2044</v>
      </c>
    </row>
    <row r="54" spans="1:9" x14ac:dyDescent="0.25">
      <c r="A54" s="11" t="s">
        <v>53</v>
      </c>
      <c r="B54" s="10" t="s">
        <v>0</v>
      </c>
      <c r="C54" s="11">
        <v>108</v>
      </c>
      <c r="D54" s="11">
        <v>144</v>
      </c>
      <c r="E54" s="11">
        <v>206</v>
      </c>
      <c r="F54" s="11">
        <v>201</v>
      </c>
      <c r="G54" s="11">
        <v>287</v>
      </c>
      <c r="H54" s="11">
        <v>428</v>
      </c>
      <c r="I54" s="11">
        <v>369</v>
      </c>
    </row>
    <row r="55" spans="1:9" x14ac:dyDescent="0.25">
      <c r="A55" s="11" t="s">
        <v>54</v>
      </c>
      <c r="B55" s="10" t="s">
        <v>0</v>
      </c>
      <c r="C55" s="11">
        <v>1502</v>
      </c>
      <c r="D55" s="11">
        <v>3260</v>
      </c>
      <c r="E55" s="11">
        <v>3636</v>
      </c>
      <c r="F55" s="11">
        <v>3523</v>
      </c>
      <c r="G55" s="11">
        <v>4202</v>
      </c>
      <c r="H55" s="11">
        <v>5112</v>
      </c>
      <c r="I55" s="11">
        <v>4099</v>
      </c>
    </row>
    <row r="56" spans="1:9" x14ac:dyDescent="0.25">
      <c r="A56" s="11" t="s">
        <v>55</v>
      </c>
      <c r="B56" s="10" t="s">
        <v>0</v>
      </c>
      <c r="C56" s="11">
        <v>624</v>
      </c>
      <c r="D56" s="11">
        <v>698</v>
      </c>
      <c r="E56" s="11">
        <v>640</v>
      </c>
      <c r="F56" s="11">
        <v>584</v>
      </c>
      <c r="G56" s="11">
        <v>687</v>
      </c>
      <c r="H56" s="11">
        <v>860</v>
      </c>
      <c r="I56" s="11">
        <v>793</v>
      </c>
    </row>
    <row r="57" spans="1:9" x14ac:dyDescent="0.25">
      <c r="A57" s="11" t="s">
        <v>56</v>
      </c>
      <c r="B57" s="10" t="s">
        <v>0</v>
      </c>
      <c r="C57" s="11">
        <v>491</v>
      </c>
      <c r="D57" s="11">
        <v>1045</v>
      </c>
      <c r="E57" s="11">
        <v>1334</v>
      </c>
      <c r="F57" s="11">
        <v>1247</v>
      </c>
      <c r="G57" s="11">
        <v>1641</v>
      </c>
      <c r="H57" s="11">
        <v>2449</v>
      </c>
      <c r="I57" s="11">
        <v>2293</v>
      </c>
    </row>
    <row r="58" spans="1:9" x14ac:dyDescent="0.25">
      <c r="A58" s="11" t="s">
        <v>57</v>
      </c>
      <c r="B58" s="10" t="s">
        <v>0</v>
      </c>
      <c r="C58" s="11">
        <v>40</v>
      </c>
      <c r="D58" s="11">
        <v>82</v>
      </c>
      <c r="E58" s="11">
        <v>98</v>
      </c>
      <c r="F58" s="11">
        <v>100</v>
      </c>
      <c r="G58" s="11">
        <v>165</v>
      </c>
      <c r="H58" s="11">
        <v>305</v>
      </c>
      <c r="I58" s="11">
        <v>273</v>
      </c>
    </row>
    <row r="59" spans="1:9" x14ac:dyDescent="0.25">
      <c r="A59" s="11" t="s">
        <v>58</v>
      </c>
      <c r="B59" s="10" t="s">
        <v>0</v>
      </c>
      <c r="C59" s="11">
        <v>349</v>
      </c>
      <c r="D59" s="11">
        <v>716</v>
      </c>
      <c r="E59" s="11">
        <v>780</v>
      </c>
      <c r="F59" s="11">
        <v>748</v>
      </c>
      <c r="G59" s="11">
        <v>1054</v>
      </c>
      <c r="H59" s="11">
        <v>1381</v>
      </c>
      <c r="I59" s="11">
        <v>1229</v>
      </c>
    </row>
    <row r="60" spans="1:9" x14ac:dyDescent="0.25">
      <c r="A60" s="11" t="s">
        <v>59</v>
      </c>
      <c r="B60" s="10" t="s">
        <v>0</v>
      </c>
      <c r="C60" s="11">
        <v>390</v>
      </c>
      <c r="D60" s="11">
        <v>602</v>
      </c>
      <c r="E60" s="11">
        <v>625</v>
      </c>
      <c r="F60" s="11">
        <v>604</v>
      </c>
      <c r="G60" s="11">
        <v>736</v>
      </c>
      <c r="H60" s="11">
        <v>1033</v>
      </c>
      <c r="I60" s="11">
        <v>935</v>
      </c>
    </row>
    <row r="61" spans="1:9" x14ac:dyDescent="0.25">
      <c r="A61" s="11" t="s">
        <v>60</v>
      </c>
      <c r="B61" s="10" t="s">
        <v>0</v>
      </c>
      <c r="C61" s="11">
        <v>1472</v>
      </c>
      <c r="D61" s="11">
        <v>1378</v>
      </c>
      <c r="E61" s="11">
        <v>1006</v>
      </c>
      <c r="F61" s="11">
        <v>861</v>
      </c>
      <c r="G61" s="11">
        <v>889</v>
      </c>
      <c r="H61" s="11">
        <v>1077</v>
      </c>
      <c r="I61" s="11">
        <v>1077</v>
      </c>
    </row>
    <row r="62" spans="1:9" x14ac:dyDescent="0.25">
      <c r="A62" s="11" t="s">
        <v>61</v>
      </c>
      <c r="B62" s="10" t="s">
        <v>0</v>
      </c>
      <c r="C62" s="11">
        <v>482</v>
      </c>
      <c r="D62" s="11">
        <v>876</v>
      </c>
      <c r="E62" s="11">
        <v>1019</v>
      </c>
      <c r="F62" s="11">
        <v>950</v>
      </c>
      <c r="G62" s="11">
        <v>1207</v>
      </c>
      <c r="H62" s="11">
        <v>1950</v>
      </c>
      <c r="I62" s="11">
        <v>1568</v>
      </c>
    </row>
    <row r="63" spans="1:9" x14ac:dyDescent="0.25">
      <c r="A63" s="11" t="s">
        <v>62</v>
      </c>
      <c r="B63" s="10" t="s">
        <v>0</v>
      </c>
      <c r="C63" s="11">
        <v>374</v>
      </c>
      <c r="D63" s="11">
        <v>644</v>
      </c>
      <c r="E63" s="11">
        <v>768</v>
      </c>
      <c r="F63" s="11">
        <v>709</v>
      </c>
      <c r="G63" s="11">
        <v>1067</v>
      </c>
      <c r="H63" s="11">
        <v>1491</v>
      </c>
      <c r="I63" s="11">
        <v>1307</v>
      </c>
    </row>
    <row r="64" spans="1:9" x14ac:dyDescent="0.25">
      <c r="A64" s="11" t="s">
        <v>63</v>
      </c>
      <c r="B64" s="10" t="s">
        <v>0</v>
      </c>
      <c r="C64" s="11">
        <v>3077</v>
      </c>
      <c r="D64" s="11">
        <v>5899</v>
      </c>
      <c r="E64" s="11">
        <v>7063</v>
      </c>
      <c r="F64" s="11">
        <v>6604</v>
      </c>
      <c r="G64" s="11">
        <v>8611</v>
      </c>
      <c r="H64" s="11">
        <v>11517</v>
      </c>
      <c r="I64" s="11">
        <v>10112</v>
      </c>
    </row>
    <row r="65" spans="1:9" x14ac:dyDescent="0.25">
      <c r="A65" s="11" t="s">
        <v>64</v>
      </c>
      <c r="B65" s="10" t="s">
        <v>0</v>
      </c>
      <c r="C65" s="11">
        <v>498</v>
      </c>
      <c r="D65" s="11">
        <v>1004</v>
      </c>
      <c r="E65" s="11">
        <v>1186</v>
      </c>
      <c r="F65" s="11">
        <v>1086</v>
      </c>
      <c r="G65" s="11">
        <v>1434</v>
      </c>
      <c r="H65" s="11">
        <v>1905</v>
      </c>
      <c r="I65" s="11">
        <v>1563</v>
      </c>
    </row>
    <row r="66" spans="1:9" x14ac:dyDescent="0.25">
      <c r="A66" s="11" t="s">
        <v>65</v>
      </c>
      <c r="B66" s="10" t="s">
        <v>0</v>
      </c>
      <c r="C66" s="11">
        <v>5222</v>
      </c>
      <c r="D66" s="11">
        <v>9999</v>
      </c>
      <c r="E66" s="11">
        <v>11228</v>
      </c>
      <c r="F66" s="11">
        <v>10607</v>
      </c>
      <c r="G66" s="11">
        <v>13720</v>
      </c>
      <c r="H66" s="11">
        <v>18940</v>
      </c>
      <c r="I66" s="11">
        <v>17185</v>
      </c>
    </row>
    <row r="67" spans="1:9" x14ac:dyDescent="0.25">
      <c r="A67" s="11" t="s">
        <v>66</v>
      </c>
      <c r="B67" s="10" t="s">
        <v>0</v>
      </c>
      <c r="C67" s="11">
        <v>330</v>
      </c>
      <c r="D67" s="11">
        <v>616</v>
      </c>
      <c r="E67" s="11">
        <v>659</v>
      </c>
      <c r="F67" s="11">
        <v>610</v>
      </c>
      <c r="G67" s="11">
        <v>758</v>
      </c>
      <c r="H67" s="11">
        <v>979</v>
      </c>
      <c r="I67" s="11">
        <v>731</v>
      </c>
    </row>
    <row r="68" spans="1:9" ht="13.8" thickBot="1" x14ac:dyDescent="0.3">
      <c r="A68" s="13" t="s">
        <v>67</v>
      </c>
      <c r="B68" s="12" t="s">
        <v>0</v>
      </c>
      <c r="C68" s="11">
        <v>7928</v>
      </c>
      <c r="D68" s="11">
        <v>15100</v>
      </c>
      <c r="E68" s="11">
        <v>15771</v>
      </c>
      <c r="F68" s="11">
        <v>14130</v>
      </c>
      <c r="G68" s="11">
        <v>14438</v>
      </c>
      <c r="H68" s="11">
        <v>15531</v>
      </c>
      <c r="I68" s="11">
        <v>13069</v>
      </c>
    </row>
    <row r="69" spans="1:9" x14ac:dyDescent="0.25">
      <c r="A69" s="32" t="s">
        <v>68</v>
      </c>
      <c r="C69" s="14">
        <f>SUM(C2:C68)</f>
        <v>315174</v>
      </c>
      <c r="D69" s="14">
        <f>SUM(D2:D68)</f>
        <v>657329</v>
      </c>
      <c r="E69" s="14">
        <f t="shared" ref="E69:I69" si="0">SUM(E2:E68)</f>
        <v>645472</v>
      </c>
      <c r="F69" s="14">
        <f t="shared" si="0"/>
        <v>519891</v>
      </c>
      <c r="G69" s="14">
        <f t="shared" si="0"/>
        <v>567851</v>
      </c>
      <c r="H69" s="14">
        <f t="shared" si="0"/>
        <v>623859</v>
      </c>
      <c r="I69" s="14">
        <f t="shared" si="0"/>
        <v>504704</v>
      </c>
    </row>
    <row r="70" spans="1:9" x14ac:dyDescent="0.25">
      <c r="C70" s="17">
        <f>C69/$C$73</f>
        <v>8.2199004767518277E-2</v>
      </c>
      <c r="D70" s="17">
        <f t="shared" ref="D70:I70" si="1">D69/$C$73</f>
        <v>0.17143479349447616</v>
      </c>
      <c r="E70" s="17">
        <f t="shared" si="1"/>
        <v>0.16834242673983121</v>
      </c>
      <c r="F70" s="17">
        <f t="shared" si="1"/>
        <v>0.13559025423286772</v>
      </c>
      <c r="G70" s="17">
        <f t="shared" si="1"/>
        <v>0.14809846959533471</v>
      </c>
      <c r="H70" s="17">
        <f t="shared" si="1"/>
        <v>0.16270564486683289</v>
      </c>
      <c r="I70" s="17">
        <f t="shared" si="1"/>
        <v>0.13162940630313905</v>
      </c>
    </row>
    <row r="73" spans="1:9" x14ac:dyDescent="0.25">
      <c r="A73" s="32" t="s">
        <v>80</v>
      </c>
      <c r="C73" s="16">
        <f>SUM(C69:I69)</f>
        <v>3834280</v>
      </c>
    </row>
    <row r="75" spans="1:9" x14ac:dyDescent="0.25">
      <c r="I75" s="10"/>
    </row>
    <row r="82" spans="3:6" x14ac:dyDescent="0.25">
      <c r="F82" s="11"/>
    </row>
    <row r="83" spans="3:6" x14ac:dyDescent="0.25">
      <c r="F83" s="11"/>
    </row>
    <row r="84" spans="3:6" x14ac:dyDescent="0.25">
      <c r="C84" s="11"/>
      <c r="F84" s="11"/>
    </row>
    <row r="85" spans="3:6" x14ac:dyDescent="0.25">
      <c r="C85" s="11"/>
      <c r="F85" s="11"/>
    </row>
    <row r="87" spans="3:6" x14ac:dyDescent="0.25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defaultColWidth="9.109375" defaultRowHeight="13.2" x14ac:dyDescent="0.25"/>
  <cols>
    <col min="1" max="1" width="19.88671875" style="11" customWidth="1"/>
    <col min="2" max="2" width="10.6640625" style="10" customWidth="1"/>
    <col min="3" max="8" width="12.6640625" style="10" customWidth="1"/>
    <col min="9" max="9" width="9.109375" style="11"/>
    <col min="10" max="10" width="8.33203125" style="11" bestFit="1" customWidth="1"/>
    <col min="11" max="11" width="9.109375" style="11"/>
    <col min="12" max="12" width="9.33203125" style="11" customWidth="1"/>
    <col min="13" max="16384" width="9.109375" style="11"/>
  </cols>
  <sheetData>
    <row r="1" spans="1:10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5">
      <c r="A2" s="11" t="s">
        <v>1</v>
      </c>
      <c r="B2" s="10" t="s">
        <v>70</v>
      </c>
      <c r="C2" s="52">
        <v>2827</v>
      </c>
      <c r="D2" s="52">
        <v>5245</v>
      </c>
      <c r="E2" s="52">
        <v>5998</v>
      </c>
      <c r="F2" s="52">
        <v>6030</v>
      </c>
      <c r="G2" s="52">
        <v>9146</v>
      </c>
      <c r="H2" s="52">
        <v>8497</v>
      </c>
      <c r="I2" s="52">
        <v>6270</v>
      </c>
      <c r="J2" s="10"/>
    </row>
    <row r="3" spans="1:10" x14ac:dyDescent="0.25">
      <c r="A3" s="11" t="s">
        <v>2</v>
      </c>
      <c r="B3" s="10" t="s">
        <v>70</v>
      </c>
      <c r="C3" s="52">
        <v>18984</v>
      </c>
      <c r="D3" s="52">
        <v>38769</v>
      </c>
      <c r="E3" s="52">
        <v>39164</v>
      </c>
      <c r="F3" s="52">
        <v>36747</v>
      </c>
      <c r="G3" s="52">
        <v>48173</v>
      </c>
      <c r="H3" s="52">
        <v>46639</v>
      </c>
      <c r="I3" s="52">
        <v>35286</v>
      </c>
    </row>
    <row r="4" spans="1:10" x14ac:dyDescent="0.25">
      <c r="A4" s="11" t="s">
        <v>3</v>
      </c>
      <c r="B4" s="10" t="s">
        <v>70</v>
      </c>
      <c r="C4" s="52">
        <v>2001</v>
      </c>
      <c r="D4" s="52">
        <v>3457</v>
      </c>
      <c r="E4" s="52">
        <v>3900</v>
      </c>
      <c r="F4" s="52">
        <v>4213</v>
      </c>
      <c r="G4" s="52">
        <v>5277</v>
      </c>
      <c r="H4" s="52">
        <v>5032</v>
      </c>
      <c r="I4" s="52">
        <v>3756</v>
      </c>
    </row>
    <row r="5" spans="1:10" x14ac:dyDescent="0.25">
      <c r="A5" s="11" t="s">
        <v>4</v>
      </c>
      <c r="B5" s="10" t="s">
        <v>70</v>
      </c>
      <c r="C5" s="52">
        <v>3499</v>
      </c>
      <c r="D5" s="52">
        <v>6738</v>
      </c>
      <c r="E5" s="52">
        <v>7904</v>
      </c>
      <c r="F5" s="52">
        <v>7716</v>
      </c>
      <c r="G5" s="52">
        <v>10053</v>
      </c>
      <c r="H5" s="52">
        <v>9412</v>
      </c>
      <c r="I5" s="52">
        <v>6629</v>
      </c>
    </row>
    <row r="6" spans="1:10" x14ac:dyDescent="0.25">
      <c r="A6" s="11" t="s">
        <v>5</v>
      </c>
      <c r="B6" s="10" t="s">
        <v>70</v>
      </c>
      <c r="C6" s="52">
        <v>1666</v>
      </c>
      <c r="D6" s="52">
        <v>3089</v>
      </c>
      <c r="E6" s="52">
        <v>3247</v>
      </c>
      <c r="F6" s="52">
        <v>3627</v>
      </c>
      <c r="G6" s="52">
        <v>4744</v>
      </c>
      <c r="H6" s="52">
        <v>4730</v>
      </c>
      <c r="I6" s="52">
        <v>3464</v>
      </c>
    </row>
    <row r="7" spans="1:10" x14ac:dyDescent="0.25">
      <c r="A7" s="11" t="s">
        <v>6</v>
      </c>
      <c r="B7" s="10" t="s">
        <v>70</v>
      </c>
      <c r="C7" s="52">
        <v>8166</v>
      </c>
      <c r="D7" s="52">
        <v>14633</v>
      </c>
      <c r="E7" s="52">
        <v>16820</v>
      </c>
      <c r="F7" s="52">
        <v>17527</v>
      </c>
      <c r="G7" s="52">
        <v>23972</v>
      </c>
      <c r="H7" s="52">
        <v>20704</v>
      </c>
      <c r="I7" s="52">
        <v>16320</v>
      </c>
    </row>
    <row r="8" spans="1:10" x14ac:dyDescent="0.25">
      <c r="A8" s="11" t="s">
        <v>7</v>
      </c>
      <c r="B8" s="10" t="s">
        <v>70</v>
      </c>
      <c r="C8" s="52">
        <v>3601</v>
      </c>
      <c r="D8" s="52">
        <v>5863</v>
      </c>
      <c r="E8" s="52">
        <v>6878</v>
      </c>
      <c r="F8" s="52">
        <v>7747</v>
      </c>
      <c r="G8" s="52">
        <v>9503</v>
      </c>
      <c r="H8" s="52">
        <v>9285</v>
      </c>
      <c r="I8" s="52">
        <v>7834</v>
      </c>
    </row>
    <row r="9" spans="1:10" x14ac:dyDescent="0.25">
      <c r="A9" s="11" t="s">
        <v>8</v>
      </c>
      <c r="B9" s="10" t="s">
        <v>70</v>
      </c>
      <c r="C9" s="52">
        <v>1859</v>
      </c>
      <c r="D9" s="52">
        <v>3155</v>
      </c>
      <c r="E9" s="52">
        <v>3621</v>
      </c>
      <c r="F9" s="52">
        <v>3658</v>
      </c>
      <c r="G9" s="52">
        <v>4981</v>
      </c>
      <c r="H9" s="52">
        <v>4616</v>
      </c>
      <c r="I9" s="52">
        <v>3756</v>
      </c>
    </row>
    <row r="10" spans="1:10" x14ac:dyDescent="0.25">
      <c r="A10" s="11" t="s">
        <v>9</v>
      </c>
      <c r="B10" s="10" t="s">
        <v>70</v>
      </c>
      <c r="C10" s="52">
        <v>14227</v>
      </c>
      <c r="D10" s="52">
        <v>24213</v>
      </c>
      <c r="E10" s="52">
        <v>26497</v>
      </c>
      <c r="F10" s="52">
        <v>28734</v>
      </c>
      <c r="G10" s="52">
        <v>42156</v>
      </c>
      <c r="H10" s="52">
        <v>37465</v>
      </c>
      <c r="I10" s="52">
        <v>29104</v>
      </c>
    </row>
    <row r="11" spans="1:10" x14ac:dyDescent="0.25">
      <c r="A11" s="11" t="s">
        <v>10</v>
      </c>
      <c r="B11" s="10" t="s">
        <v>70</v>
      </c>
      <c r="C11" s="52">
        <v>5963</v>
      </c>
      <c r="D11" s="52">
        <v>10860</v>
      </c>
      <c r="E11" s="52">
        <v>12188</v>
      </c>
      <c r="F11" s="52">
        <v>12304</v>
      </c>
      <c r="G11" s="52">
        <v>16371</v>
      </c>
      <c r="H11" s="52">
        <v>14567</v>
      </c>
      <c r="I11" s="52">
        <v>10619</v>
      </c>
    </row>
    <row r="12" spans="1:10" x14ac:dyDescent="0.25">
      <c r="A12" s="11" t="s">
        <v>11</v>
      </c>
      <c r="B12" s="10" t="s">
        <v>70</v>
      </c>
      <c r="C12" s="52">
        <v>3600</v>
      </c>
      <c r="D12" s="52">
        <v>5782</v>
      </c>
      <c r="E12" s="52">
        <v>6362</v>
      </c>
      <c r="F12" s="52">
        <v>7205</v>
      </c>
      <c r="G12" s="52">
        <v>8588</v>
      </c>
      <c r="H12" s="52">
        <v>8550</v>
      </c>
      <c r="I12" s="52">
        <v>6439</v>
      </c>
    </row>
    <row r="13" spans="1:10" x14ac:dyDescent="0.25">
      <c r="A13" s="11" t="s">
        <v>12</v>
      </c>
      <c r="B13" s="10" t="s">
        <v>70</v>
      </c>
      <c r="C13" s="52">
        <v>88</v>
      </c>
      <c r="D13" s="52">
        <v>161</v>
      </c>
      <c r="E13" s="52">
        <v>212</v>
      </c>
      <c r="F13" s="52">
        <v>233</v>
      </c>
      <c r="G13" s="52">
        <v>380</v>
      </c>
      <c r="H13" s="52">
        <v>416</v>
      </c>
      <c r="I13" s="52">
        <v>348</v>
      </c>
    </row>
    <row r="14" spans="1:10" x14ac:dyDescent="0.25">
      <c r="A14" s="11" t="s">
        <v>13</v>
      </c>
      <c r="B14" s="10" t="s">
        <v>70</v>
      </c>
      <c r="C14" s="52">
        <v>1544</v>
      </c>
      <c r="D14" s="52">
        <v>2830</v>
      </c>
      <c r="E14" s="52">
        <v>3307</v>
      </c>
      <c r="F14" s="52">
        <v>3657</v>
      </c>
      <c r="G14" s="52">
        <v>5008</v>
      </c>
      <c r="H14" s="52">
        <v>4454</v>
      </c>
      <c r="I14" s="52">
        <v>3051</v>
      </c>
    </row>
    <row r="15" spans="1:10" x14ac:dyDescent="0.25">
      <c r="A15" s="11" t="s">
        <v>14</v>
      </c>
      <c r="B15" s="10" t="s">
        <v>70</v>
      </c>
      <c r="C15" s="52">
        <v>5569</v>
      </c>
      <c r="D15" s="52">
        <v>5823</v>
      </c>
      <c r="E15" s="52">
        <v>5223</v>
      </c>
      <c r="F15" s="52">
        <v>5294</v>
      </c>
      <c r="G15" s="52">
        <v>7443</v>
      </c>
      <c r="H15" s="52">
        <v>6859</v>
      </c>
      <c r="I15" s="52">
        <v>5696</v>
      </c>
    </row>
    <row r="16" spans="1:10" x14ac:dyDescent="0.25">
      <c r="A16" s="11" t="s">
        <v>15</v>
      </c>
      <c r="B16" s="10" t="s">
        <v>70</v>
      </c>
      <c r="C16" s="52">
        <v>11008</v>
      </c>
      <c r="D16" s="52">
        <v>18993</v>
      </c>
      <c r="E16" s="52">
        <v>19610</v>
      </c>
      <c r="F16" s="52">
        <v>21827</v>
      </c>
      <c r="G16" s="52">
        <v>31336</v>
      </c>
      <c r="H16" s="52">
        <v>27153</v>
      </c>
      <c r="I16" s="52">
        <v>22211</v>
      </c>
    </row>
    <row r="17" spans="1:9" x14ac:dyDescent="0.25">
      <c r="A17" s="11" t="s">
        <v>16</v>
      </c>
      <c r="B17" s="10" t="s">
        <v>70</v>
      </c>
      <c r="C17" s="52">
        <v>1114</v>
      </c>
      <c r="D17" s="52">
        <v>1900</v>
      </c>
      <c r="E17" s="52">
        <v>2123</v>
      </c>
      <c r="F17" s="52">
        <v>2361</v>
      </c>
      <c r="G17" s="52">
        <v>3104</v>
      </c>
      <c r="H17" s="52">
        <v>2802</v>
      </c>
      <c r="I17" s="52">
        <v>2162</v>
      </c>
    </row>
    <row r="18" spans="1:9" x14ac:dyDescent="0.25">
      <c r="A18" s="11" t="s">
        <v>17</v>
      </c>
      <c r="B18" s="10" t="s">
        <v>70</v>
      </c>
      <c r="C18" s="52">
        <v>2056</v>
      </c>
      <c r="D18" s="52">
        <v>3906</v>
      </c>
      <c r="E18" s="52">
        <v>4374</v>
      </c>
      <c r="F18" s="52">
        <v>4947</v>
      </c>
      <c r="G18" s="52">
        <v>6300</v>
      </c>
      <c r="H18" s="52">
        <v>5710</v>
      </c>
      <c r="I18" s="52">
        <v>4139</v>
      </c>
    </row>
    <row r="19" spans="1:9" x14ac:dyDescent="0.25">
      <c r="A19" s="11" t="s">
        <v>18</v>
      </c>
      <c r="B19" s="10" t="s">
        <v>70</v>
      </c>
      <c r="C19" s="52">
        <v>993</v>
      </c>
      <c r="D19" s="52">
        <v>1736</v>
      </c>
      <c r="E19" s="52">
        <v>1858</v>
      </c>
      <c r="F19" s="52">
        <v>2106</v>
      </c>
      <c r="G19" s="52">
        <v>2521</v>
      </c>
      <c r="H19" s="52">
        <v>2335</v>
      </c>
      <c r="I19" s="52">
        <v>1770</v>
      </c>
    </row>
    <row r="20" spans="1:9" x14ac:dyDescent="0.25">
      <c r="A20" s="11" t="s">
        <v>19</v>
      </c>
      <c r="B20" s="10" t="s">
        <v>70</v>
      </c>
      <c r="C20" s="52">
        <v>1733</v>
      </c>
      <c r="D20" s="52">
        <v>2852</v>
      </c>
      <c r="E20" s="52">
        <v>3019</v>
      </c>
      <c r="F20" s="52">
        <v>3358</v>
      </c>
      <c r="G20" s="52">
        <v>4275</v>
      </c>
      <c r="H20" s="52">
        <v>4061</v>
      </c>
      <c r="I20" s="52">
        <v>3146</v>
      </c>
    </row>
    <row r="21" spans="1:9" x14ac:dyDescent="0.25">
      <c r="A21" s="11" t="s">
        <v>20</v>
      </c>
      <c r="B21" s="10" t="s">
        <v>70</v>
      </c>
      <c r="C21" s="52">
        <v>2165</v>
      </c>
      <c r="D21" s="52">
        <v>3780</v>
      </c>
      <c r="E21" s="52">
        <v>4327</v>
      </c>
      <c r="F21" s="52">
        <v>4631</v>
      </c>
      <c r="G21" s="52">
        <v>6193</v>
      </c>
      <c r="H21" s="52">
        <v>5963</v>
      </c>
      <c r="I21" s="52">
        <v>4796</v>
      </c>
    </row>
    <row r="22" spans="1:9" x14ac:dyDescent="0.25">
      <c r="A22" s="11" t="s">
        <v>21</v>
      </c>
      <c r="B22" s="10" t="s">
        <v>70</v>
      </c>
      <c r="C22" s="52">
        <v>5881</v>
      </c>
      <c r="D22" s="52">
        <v>10942</v>
      </c>
      <c r="E22" s="52">
        <v>12423</v>
      </c>
      <c r="F22" s="52">
        <v>12879</v>
      </c>
      <c r="G22" s="52">
        <v>16862</v>
      </c>
      <c r="H22" s="52">
        <v>15693</v>
      </c>
      <c r="I22" s="52">
        <v>13766</v>
      </c>
    </row>
    <row r="23" spans="1:9" x14ac:dyDescent="0.25">
      <c r="A23" s="11" t="s">
        <v>22</v>
      </c>
      <c r="B23" s="10" t="s">
        <v>70</v>
      </c>
      <c r="C23" s="52">
        <v>4884</v>
      </c>
      <c r="D23" s="52">
        <v>9851</v>
      </c>
      <c r="E23" s="52">
        <v>10888</v>
      </c>
      <c r="F23" s="52">
        <v>11060</v>
      </c>
      <c r="G23" s="52">
        <v>14851</v>
      </c>
      <c r="H23" s="52">
        <v>13974</v>
      </c>
      <c r="I23" s="52">
        <v>10733</v>
      </c>
    </row>
    <row r="24" spans="1:9" x14ac:dyDescent="0.25">
      <c r="A24" s="11" t="s">
        <v>23</v>
      </c>
      <c r="B24" s="10" t="s">
        <v>70</v>
      </c>
      <c r="C24" s="52">
        <v>9644</v>
      </c>
      <c r="D24" s="52">
        <v>17748</v>
      </c>
      <c r="E24" s="52">
        <v>19799</v>
      </c>
      <c r="F24" s="52">
        <v>19758</v>
      </c>
      <c r="G24" s="52">
        <v>28191</v>
      </c>
      <c r="H24" s="52">
        <v>27042</v>
      </c>
      <c r="I24" s="52">
        <v>21200</v>
      </c>
    </row>
    <row r="25" spans="1:9" x14ac:dyDescent="0.25">
      <c r="A25" s="11" t="s">
        <v>24</v>
      </c>
      <c r="B25" s="10" t="s">
        <v>70</v>
      </c>
      <c r="C25" s="52">
        <v>847</v>
      </c>
      <c r="D25" s="52">
        <v>1485</v>
      </c>
      <c r="E25" s="52">
        <v>1646</v>
      </c>
      <c r="F25" s="52">
        <v>1757</v>
      </c>
      <c r="G25" s="52">
        <v>2515</v>
      </c>
      <c r="H25" s="52">
        <v>2296</v>
      </c>
      <c r="I25" s="52">
        <v>1591</v>
      </c>
    </row>
    <row r="26" spans="1:9" x14ac:dyDescent="0.25">
      <c r="A26" s="11" t="s">
        <v>25</v>
      </c>
      <c r="B26" s="10" t="s">
        <v>70</v>
      </c>
      <c r="C26" s="52">
        <v>5448</v>
      </c>
      <c r="D26" s="52">
        <v>9429</v>
      </c>
      <c r="E26" s="52">
        <v>10272</v>
      </c>
      <c r="F26" s="52">
        <v>10806</v>
      </c>
      <c r="G26" s="52">
        <v>13805</v>
      </c>
      <c r="H26" s="52">
        <v>12107</v>
      </c>
      <c r="I26" s="52">
        <v>9077</v>
      </c>
    </row>
    <row r="27" spans="1:9" x14ac:dyDescent="0.25">
      <c r="A27" s="11" t="s">
        <v>26</v>
      </c>
      <c r="B27" s="10" t="s">
        <v>70</v>
      </c>
      <c r="C27" s="52">
        <v>2835</v>
      </c>
      <c r="D27" s="52">
        <v>5841</v>
      </c>
      <c r="E27" s="52">
        <v>6211</v>
      </c>
      <c r="F27" s="52">
        <v>6763</v>
      </c>
      <c r="G27" s="52">
        <v>7928</v>
      </c>
      <c r="H27" s="52">
        <v>6908</v>
      </c>
      <c r="I27" s="52">
        <v>4800</v>
      </c>
    </row>
    <row r="28" spans="1:9" x14ac:dyDescent="0.25">
      <c r="A28" s="11" t="s">
        <v>27</v>
      </c>
      <c r="B28" s="10" t="s">
        <v>70</v>
      </c>
      <c r="C28" s="52">
        <v>103</v>
      </c>
      <c r="D28" s="52">
        <v>138</v>
      </c>
      <c r="E28" s="52">
        <v>194</v>
      </c>
      <c r="F28" s="52">
        <v>278</v>
      </c>
      <c r="G28" s="52">
        <v>436</v>
      </c>
      <c r="H28" s="52">
        <v>501</v>
      </c>
      <c r="I28" s="52">
        <v>382</v>
      </c>
    </row>
    <row r="29" spans="1:9" x14ac:dyDescent="0.25">
      <c r="A29" s="11" t="s">
        <v>28</v>
      </c>
      <c r="B29" s="10" t="s">
        <v>70</v>
      </c>
      <c r="C29" s="52">
        <v>4285</v>
      </c>
      <c r="D29" s="52">
        <v>8111</v>
      </c>
      <c r="E29" s="52">
        <v>9084</v>
      </c>
      <c r="F29" s="52">
        <v>9849</v>
      </c>
      <c r="G29" s="52">
        <v>12488</v>
      </c>
      <c r="H29" s="52">
        <v>11155</v>
      </c>
      <c r="I29" s="52">
        <v>9443</v>
      </c>
    </row>
    <row r="30" spans="1:9" x14ac:dyDescent="0.25">
      <c r="A30" s="11" t="s">
        <v>29</v>
      </c>
      <c r="B30" s="10" t="s">
        <v>70</v>
      </c>
      <c r="C30" s="52">
        <v>535</v>
      </c>
      <c r="D30" s="52">
        <v>993</v>
      </c>
      <c r="E30" s="52">
        <v>1004</v>
      </c>
      <c r="F30" s="52">
        <v>1157</v>
      </c>
      <c r="G30" s="52">
        <v>1471</v>
      </c>
      <c r="H30" s="52">
        <v>1332</v>
      </c>
      <c r="I30" s="52">
        <v>986</v>
      </c>
    </row>
    <row r="31" spans="1:9" x14ac:dyDescent="0.25">
      <c r="A31" s="11" t="s">
        <v>30</v>
      </c>
      <c r="B31" s="10" t="s">
        <v>70</v>
      </c>
      <c r="C31" s="52">
        <v>989</v>
      </c>
      <c r="D31" s="52">
        <v>1757</v>
      </c>
      <c r="E31" s="52">
        <v>1769</v>
      </c>
      <c r="F31" s="52">
        <v>2066</v>
      </c>
      <c r="G31" s="52">
        <v>2231</v>
      </c>
      <c r="H31" s="52">
        <v>1948</v>
      </c>
      <c r="I31" s="52">
        <v>1356</v>
      </c>
    </row>
    <row r="32" spans="1:9" x14ac:dyDescent="0.25">
      <c r="A32" s="11" t="s">
        <v>31</v>
      </c>
      <c r="B32" s="10" t="s">
        <v>70</v>
      </c>
      <c r="C32" s="52">
        <v>1385</v>
      </c>
      <c r="D32" s="52">
        <v>2302</v>
      </c>
      <c r="E32" s="52">
        <v>2483</v>
      </c>
      <c r="F32" s="52">
        <v>2792</v>
      </c>
      <c r="G32" s="52">
        <v>3686</v>
      </c>
      <c r="H32" s="52">
        <v>3490</v>
      </c>
      <c r="I32" s="52">
        <v>2797</v>
      </c>
    </row>
    <row r="33" spans="1:9" x14ac:dyDescent="0.25">
      <c r="A33" s="11" t="s">
        <v>32</v>
      </c>
      <c r="B33" s="10" t="s">
        <v>70</v>
      </c>
      <c r="C33" s="52">
        <v>2464</v>
      </c>
      <c r="D33" s="52">
        <v>3567</v>
      </c>
      <c r="E33" s="52">
        <v>3975</v>
      </c>
      <c r="F33" s="52">
        <v>4404</v>
      </c>
      <c r="G33" s="52">
        <v>5396</v>
      </c>
      <c r="H33" s="52">
        <v>5207</v>
      </c>
      <c r="I33" s="52">
        <v>3884</v>
      </c>
    </row>
    <row r="34" spans="1:9" x14ac:dyDescent="0.25">
      <c r="A34" s="11" t="s">
        <v>33</v>
      </c>
      <c r="B34" s="10" t="s">
        <v>70</v>
      </c>
      <c r="C34" s="52">
        <v>1371</v>
      </c>
      <c r="D34" s="52">
        <v>2362</v>
      </c>
      <c r="E34" s="52">
        <v>2833</v>
      </c>
      <c r="F34" s="52">
        <v>2858</v>
      </c>
      <c r="G34" s="52">
        <v>3711</v>
      </c>
      <c r="H34" s="52">
        <v>3612</v>
      </c>
      <c r="I34" s="52">
        <v>2710</v>
      </c>
    </row>
    <row r="35" spans="1:9" x14ac:dyDescent="0.25">
      <c r="A35" s="11" t="s">
        <v>34</v>
      </c>
      <c r="B35" s="10" t="s">
        <v>70</v>
      </c>
      <c r="C35" s="52">
        <v>685</v>
      </c>
      <c r="D35" s="52">
        <v>1268</v>
      </c>
      <c r="E35" s="52">
        <v>1379</v>
      </c>
      <c r="F35" s="52">
        <v>1506</v>
      </c>
      <c r="G35" s="52">
        <v>1973</v>
      </c>
      <c r="H35" s="52">
        <v>1801</v>
      </c>
      <c r="I35" s="52">
        <v>1429</v>
      </c>
    </row>
    <row r="36" spans="1:9" x14ac:dyDescent="0.25">
      <c r="A36" s="11" t="s">
        <v>35</v>
      </c>
      <c r="B36" s="10" t="s">
        <v>70</v>
      </c>
      <c r="C36" s="52">
        <v>4253</v>
      </c>
      <c r="D36" s="52">
        <v>7235</v>
      </c>
      <c r="E36" s="52">
        <v>7821</v>
      </c>
      <c r="F36" s="52">
        <v>8226</v>
      </c>
      <c r="G36" s="52">
        <v>10009</v>
      </c>
      <c r="H36" s="52">
        <v>8277</v>
      </c>
      <c r="I36" s="52">
        <v>6460</v>
      </c>
    </row>
    <row r="37" spans="1:9" x14ac:dyDescent="0.25">
      <c r="A37" s="11" t="s">
        <v>36</v>
      </c>
      <c r="B37" s="10" t="s">
        <v>70</v>
      </c>
      <c r="C37" s="52">
        <v>13199</v>
      </c>
      <c r="D37" s="52">
        <v>24485</v>
      </c>
      <c r="E37" s="52">
        <v>26198</v>
      </c>
      <c r="F37" s="52">
        <v>25340</v>
      </c>
      <c r="G37" s="52">
        <v>32948</v>
      </c>
      <c r="H37" s="52">
        <v>32720</v>
      </c>
      <c r="I37" s="52">
        <v>29098</v>
      </c>
    </row>
    <row r="38" spans="1:9" x14ac:dyDescent="0.25">
      <c r="A38" s="11" t="s">
        <v>37</v>
      </c>
      <c r="B38" s="10" t="s">
        <v>70</v>
      </c>
      <c r="C38" s="52">
        <v>2415</v>
      </c>
      <c r="D38" s="52">
        <v>3847</v>
      </c>
      <c r="E38" s="52">
        <v>4271</v>
      </c>
      <c r="F38" s="52">
        <v>4605</v>
      </c>
      <c r="G38" s="52">
        <v>5553</v>
      </c>
      <c r="H38" s="52">
        <v>5365</v>
      </c>
      <c r="I38" s="52">
        <v>4139</v>
      </c>
    </row>
    <row r="39" spans="1:9" x14ac:dyDescent="0.25">
      <c r="A39" s="11" t="s">
        <v>38</v>
      </c>
      <c r="B39" s="10" t="s">
        <v>70</v>
      </c>
      <c r="C39" s="52">
        <v>3434</v>
      </c>
      <c r="D39" s="52">
        <v>6217</v>
      </c>
      <c r="E39" s="52">
        <v>7122</v>
      </c>
      <c r="F39" s="52">
        <v>7794</v>
      </c>
      <c r="G39" s="52">
        <v>9876</v>
      </c>
      <c r="H39" s="52">
        <v>9716</v>
      </c>
      <c r="I39" s="52">
        <v>8445</v>
      </c>
    </row>
    <row r="40" spans="1:9" x14ac:dyDescent="0.25">
      <c r="A40" s="11" t="s">
        <v>39</v>
      </c>
      <c r="B40" s="10" t="s">
        <v>70</v>
      </c>
      <c r="C40" s="52">
        <v>5980</v>
      </c>
      <c r="D40" s="52">
        <v>11550</v>
      </c>
      <c r="E40" s="52">
        <v>12622</v>
      </c>
      <c r="F40" s="52">
        <v>13243</v>
      </c>
      <c r="G40" s="52">
        <v>17439</v>
      </c>
      <c r="H40" s="52">
        <v>15996</v>
      </c>
      <c r="I40" s="52">
        <v>12898</v>
      </c>
    </row>
    <row r="41" spans="1:9" x14ac:dyDescent="0.25">
      <c r="A41" s="11" t="s">
        <v>40</v>
      </c>
      <c r="B41" s="10" t="s">
        <v>70</v>
      </c>
      <c r="C41" s="52">
        <v>5972</v>
      </c>
      <c r="D41" s="52">
        <v>11284</v>
      </c>
      <c r="E41" s="52">
        <v>13136</v>
      </c>
      <c r="F41" s="52">
        <v>13954</v>
      </c>
      <c r="G41" s="52">
        <v>18416</v>
      </c>
      <c r="H41" s="52">
        <v>15636</v>
      </c>
      <c r="I41" s="52">
        <v>12805</v>
      </c>
    </row>
    <row r="42" spans="1:9" x14ac:dyDescent="0.25">
      <c r="A42" s="11" t="s">
        <v>41</v>
      </c>
      <c r="B42" s="10" t="s">
        <v>70</v>
      </c>
      <c r="C42" s="52">
        <v>2904</v>
      </c>
      <c r="D42" s="52">
        <v>4943</v>
      </c>
      <c r="E42" s="52">
        <v>6319</v>
      </c>
      <c r="F42" s="52">
        <v>6361</v>
      </c>
      <c r="G42" s="52">
        <v>8248</v>
      </c>
      <c r="H42" s="52">
        <v>8478</v>
      </c>
      <c r="I42" s="52">
        <v>6609</v>
      </c>
    </row>
    <row r="43" spans="1:9" x14ac:dyDescent="0.25">
      <c r="A43" s="11" t="s">
        <v>42</v>
      </c>
      <c r="B43" s="10" t="s">
        <v>70</v>
      </c>
      <c r="C43" s="52">
        <v>1058</v>
      </c>
      <c r="D43" s="52">
        <v>1852</v>
      </c>
      <c r="E43" s="52">
        <v>2192</v>
      </c>
      <c r="F43" s="52">
        <v>2434</v>
      </c>
      <c r="G43" s="52">
        <v>3205</v>
      </c>
      <c r="H43" s="52">
        <v>3088</v>
      </c>
      <c r="I43" s="52">
        <v>2336</v>
      </c>
    </row>
    <row r="44" spans="1:9" x14ac:dyDescent="0.25">
      <c r="A44" s="11" t="s">
        <v>43</v>
      </c>
      <c r="B44" s="10" t="s">
        <v>70</v>
      </c>
      <c r="C44" s="52">
        <v>2979</v>
      </c>
      <c r="D44" s="52">
        <v>5009</v>
      </c>
      <c r="E44" s="52">
        <v>4995</v>
      </c>
      <c r="F44" s="52">
        <v>5502</v>
      </c>
      <c r="G44" s="52">
        <v>7203</v>
      </c>
      <c r="H44" s="52">
        <v>6971</v>
      </c>
      <c r="I44" s="52">
        <v>5649</v>
      </c>
    </row>
    <row r="45" spans="1:9" x14ac:dyDescent="0.25">
      <c r="A45" s="11" t="s">
        <v>44</v>
      </c>
      <c r="B45" s="10" t="s">
        <v>70</v>
      </c>
      <c r="C45" s="52">
        <v>1152</v>
      </c>
      <c r="D45" s="52">
        <v>2357</v>
      </c>
      <c r="E45" s="52">
        <v>2481</v>
      </c>
      <c r="F45" s="52">
        <v>2687</v>
      </c>
      <c r="G45" s="52">
        <v>3733</v>
      </c>
      <c r="H45" s="52">
        <v>3387</v>
      </c>
      <c r="I45" s="52">
        <v>2844</v>
      </c>
    </row>
    <row r="46" spans="1:9" x14ac:dyDescent="0.25">
      <c r="A46" s="11" t="s">
        <v>45</v>
      </c>
      <c r="B46" s="10" t="s">
        <v>70</v>
      </c>
      <c r="C46" s="52">
        <v>2585</v>
      </c>
      <c r="D46" s="52">
        <v>5192</v>
      </c>
      <c r="E46" s="52">
        <v>6148</v>
      </c>
      <c r="F46" s="52">
        <v>6473</v>
      </c>
      <c r="G46" s="52">
        <v>9402</v>
      </c>
      <c r="H46" s="52">
        <v>8311</v>
      </c>
      <c r="I46" s="52">
        <v>5147</v>
      </c>
    </row>
    <row r="47" spans="1:9" x14ac:dyDescent="0.25">
      <c r="A47" s="11" t="s">
        <v>46</v>
      </c>
      <c r="B47" s="10" t="s">
        <v>70</v>
      </c>
      <c r="C47" s="52">
        <v>14285</v>
      </c>
      <c r="D47" s="52">
        <v>26052</v>
      </c>
      <c r="E47" s="52">
        <v>28132</v>
      </c>
      <c r="F47" s="52">
        <v>29293</v>
      </c>
      <c r="G47" s="52">
        <v>41364</v>
      </c>
      <c r="H47" s="52">
        <v>37564</v>
      </c>
      <c r="I47" s="52">
        <v>31409</v>
      </c>
    </row>
    <row r="48" spans="1:9" x14ac:dyDescent="0.25">
      <c r="A48" s="11" t="s">
        <v>47</v>
      </c>
      <c r="B48" s="10" t="s">
        <v>70</v>
      </c>
      <c r="C48" s="52">
        <v>417</v>
      </c>
      <c r="D48" s="52">
        <v>809</v>
      </c>
      <c r="E48" s="52">
        <v>938</v>
      </c>
      <c r="F48" s="52">
        <v>881</v>
      </c>
      <c r="G48" s="52">
        <v>1232</v>
      </c>
      <c r="H48" s="52">
        <v>1227</v>
      </c>
      <c r="I48" s="52">
        <v>1061</v>
      </c>
    </row>
    <row r="49" spans="1:9" x14ac:dyDescent="0.25">
      <c r="A49" s="11" t="s">
        <v>48</v>
      </c>
      <c r="B49" s="10" t="s">
        <v>70</v>
      </c>
      <c r="C49" s="52">
        <v>6190</v>
      </c>
      <c r="D49" s="52">
        <v>11272</v>
      </c>
      <c r="E49" s="52">
        <v>11818</v>
      </c>
      <c r="F49" s="52">
        <v>12521</v>
      </c>
      <c r="G49" s="52">
        <v>17471</v>
      </c>
      <c r="H49" s="52">
        <v>15417</v>
      </c>
      <c r="I49" s="52">
        <v>12236</v>
      </c>
    </row>
    <row r="50" spans="1:9" x14ac:dyDescent="0.25">
      <c r="A50" s="11" t="s">
        <v>49</v>
      </c>
      <c r="B50" s="10" t="s">
        <v>70</v>
      </c>
      <c r="C50" s="52">
        <v>2021</v>
      </c>
      <c r="D50" s="52">
        <v>3651</v>
      </c>
      <c r="E50" s="52">
        <v>4620</v>
      </c>
      <c r="F50" s="52">
        <v>4811</v>
      </c>
      <c r="G50" s="52">
        <v>6226</v>
      </c>
      <c r="H50" s="52">
        <v>5951</v>
      </c>
      <c r="I50" s="52">
        <v>4668</v>
      </c>
    </row>
    <row r="51" spans="1:9" x14ac:dyDescent="0.25">
      <c r="A51" s="11" t="s">
        <v>50</v>
      </c>
      <c r="B51" s="10" t="s">
        <v>70</v>
      </c>
      <c r="C51" s="52">
        <v>1427</v>
      </c>
      <c r="D51" s="52">
        <v>2638</v>
      </c>
      <c r="E51" s="52">
        <v>3035</v>
      </c>
      <c r="F51" s="52">
        <v>3259</v>
      </c>
      <c r="G51" s="52">
        <v>4268</v>
      </c>
      <c r="H51" s="52">
        <v>3783</v>
      </c>
      <c r="I51" s="52">
        <v>2585</v>
      </c>
    </row>
    <row r="52" spans="1:9" x14ac:dyDescent="0.25">
      <c r="A52" s="11" t="s">
        <v>51</v>
      </c>
      <c r="B52" s="10" t="s">
        <v>70</v>
      </c>
      <c r="C52" s="52">
        <v>10072</v>
      </c>
      <c r="D52" s="52">
        <v>25943</v>
      </c>
      <c r="E52" s="52">
        <v>23620</v>
      </c>
      <c r="F52" s="52">
        <v>18683</v>
      </c>
      <c r="G52" s="52">
        <v>20729</v>
      </c>
      <c r="H52" s="52">
        <v>18084</v>
      </c>
      <c r="I52" s="52">
        <v>14296</v>
      </c>
    </row>
    <row r="53" spans="1:9" x14ac:dyDescent="0.25">
      <c r="A53" s="11" t="s">
        <v>52</v>
      </c>
      <c r="B53" s="10" t="s">
        <v>70</v>
      </c>
      <c r="C53" s="52">
        <v>1254</v>
      </c>
      <c r="D53" s="52">
        <v>2417</v>
      </c>
      <c r="E53" s="52">
        <v>2976</v>
      </c>
      <c r="F53" s="52">
        <v>3251</v>
      </c>
      <c r="G53" s="52">
        <v>5231</v>
      </c>
      <c r="H53" s="52">
        <v>4650</v>
      </c>
      <c r="I53" s="52">
        <v>3210</v>
      </c>
    </row>
    <row r="54" spans="1:9" x14ac:dyDescent="0.25">
      <c r="A54" s="11" t="s">
        <v>53</v>
      </c>
      <c r="B54" s="10" t="s">
        <v>70</v>
      </c>
      <c r="C54" s="52">
        <v>514</v>
      </c>
      <c r="D54" s="52">
        <v>922</v>
      </c>
      <c r="E54" s="52">
        <v>1044</v>
      </c>
      <c r="F54" s="52">
        <v>1081</v>
      </c>
      <c r="G54" s="52">
        <v>1561</v>
      </c>
      <c r="H54" s="52">
        <v>1609</v>
      </c>
      <c r="I54" s="52">
        <v>1298</v>
      </c>
    </row>
    <row r="55" spans="1:9" x14ac:dyDescent="0.25">
      <c r="A55" s="11" t="s">
        <v>54</v>
      </c>
      <c r="B55" s="10" t="s">
        <v>70</v>
      </c>
      <c r="C55" s="52">
        <v>3695</v>
      </c>
      <c r="D55" s="52">
        <v>6294</v>
      </c>
      <c r="E55" s="52">
        <v>7365</v>
      </c>
      <c r="F55" s="52">
        <v>8386</v>
      </c>
      <c r="G55" s="52">
        <v>10550</v>
      </c>
      <c r="H55" s="52">
        <v>9602</v>
      </c>
      <c r="I55" s="52">
        <v>7252</v>
      </c>
    </row>
    <row r="56" spans="1:9" x14ac:dyDescent="0.25">
      <c r="A56" s="11" t="s">
        <v>55</v>
      </c>
      <c r="B56" s="10" t="s">
        <v>70</v>
      </c>
      <c r="C56" s="52">
        <v>1248</v>
      </c>
      <c r="D56" s="52">
        <v>1868</v>
      </c>
      <c r="E56" s="52">
        <v>2242</v>
      </c>
      <c r="F56" s="52">
        <v>2372</v>
      </c>
      <c r="G56" s="52">
        <v>3042</v>
      </c>
      <c r="H56" s="52">
        <v>2815</v>
      </c>
      <c r="I56" s="52">
        <v>2369</v>
      </c>
    </row>
    <row r="57" spans="1:9" x14ac:dyDescent="0.25">
      <c r="A57" s="11" t="s">
        <v>56</v>
      </c>
      <c r="B57" s="10" t="s">
        <v>70</v>
      </c>
      <c r="C57" s="52">
        <v>2301</v>
      </c>
      <c r="D57" s="52">
        <v>3934</v>
      </c>
      <c r="E57" s="52">
        <v>4374</v>
      </c>
      <c r="F57" s="52">
        <v>4915</v>
      </c>
      <c r="G57" s="52">
        <v>6284</v>
      </c>
      <c r="H57" s="52">
        <v>6298</v>
      </c>
      <c r="I57" s="52">
        <v>4713</v>
      </c>
    </row>
    <row r="58" spans="1:9" x14ac:dyDescent="0.25">
      <c r="A58" s="11" t="s">
        <v>57</v>
      </c>
      <c r="B58" s="10" t="s">
        <v>70</v>
      </c>
      <c r="C58" s="52">
        <v>155</v>
      </c>
      <c r="D58" s="52">
        <v>265</v>
      </c>
      <c r="E58" s="52">
        <v>358</v>
      </c>
      <c r="F58" s="52">
        <v>377</v>
      </c>
      <c r="G58" s="52">
        <v>564</v>
      </c>
      <c r="H58" s="52">
        <v>657</v>
      </c>
      <c r="I58" s="52">
        <v>469</v>
      </c>
    </row>
    <row r="59" spans="1:9" x14ac:dyDescent="0.25">
      <c r="A59" s="11" t="s">
        <v>58</v>
      </c>
      <c r="B59" s="10" t="s">
        <v>70</v>
      </c>
      <c r="C59" s="52">
        <v>1150</v>
      </c>
      <c r="D59" s="52">
        <v>2163</v>
      </c>
      <c r="E59" s="52">
        <v>2393</v>
      </c>
      <c r="F59" s="52">
        <v>2390</v>
      </c>
      <c r="G59" s="52">
        <v>3473</v>
      </c>
      <c r="H59" s="52">
        <v>3349</v>
      </c>
      <c r="I59" s="52">
        <v>2650</v>
      </c>
    </row>
    <row r="60" spans="1:9" x14ac:dyDescent="0.25">
      <c r="A60" s="11" t="s">
        <v>59</v>
      </c>
      <c r="B60" s="10" t="s">
        <v>70</v>
      </c>
      <c r="C60" s="52">
        <v>1105</v>
      </c>
      <c r="D60" s="52">
        <v>1972</v>
      </c>
      <c r="E60" s="52">
        <v>2450</v>
      </c>
      <c r="F60" s="52">
        <v>2549</v>
      </c>
      <c r="G60" s="52">
        <v>3485</v>
      </c>
      <c r="H60" s="52">
        <v>3599</v>
      </c>
      <c r="I60" s="52">
        <v>2953</v>
      </c>
    </row>
    <row r="61" spans="1:9" x14ac:dyDescent="0.25">
      <c r="A61" s="11" t="s">
        <v>60</v>
      </c>
      <c r="B61" s="10" t="s">
        <v>70</v>
      </c>
      <c r="C61" s="52">
        <v>1361</v>
      </c>
      <c r="D61" s="52">
        <v>1757</v>
      </c>
      <c r="E61" s="52">
        <v>1909</v>
      </c>
      <c r="F61" s="52">
        <v>1982</v>
      </c>
      <c r="G61" s="52">
        <v>2627</v>
      </c>
      <c r="H61" s="52">
        <v>2421</v>
      </c>
      <c r="I61" s="52">
        <v>2350</v>
      </c>
    </row>
    <row r="62" spans="1:9" x14ac:dyDescent="0.25">
      <c r="A62" s="11" t="s">
        <v>61</v>
      </c>
      <c r="B62" s="10" t="s">
        <v>70</v>
      </c>
      <c r="C62" s="52">
        <v>1247</v>
      </c>
      <c r="D62" s="52">
        <v>2226</v>
      </c>
      <c r="E62" s="52">
        <v>2718</v>
      </c>
      <c r="F62" s="52">
        <v>3043</v>
      </c>
      <c r="G62" s="52">
        <v>3888</v>
      </c>
      <c r="H62" s="52">
        <v>4034</v>
      </c>
      <c r="I62" s="52">
        <v>3018</v>
      </c>
    </row>
    <row r="63" spans="1:9" x14ac:dyDescent="0.25">
      <c r="A63" s="11" t="s">
        <v>62</v>
      </c>
      <c r="B63" s="10" t="s">
        <v>70</v>
      </c>
      <c r="C63" s="52">
        <v>992</v>
      </c>
      <c r="D63" s="52">
        <v>1732</v>
      </c>
      <c r="E63" s="52">
        <v>2064</v>
      </c>
      <c r="F63" s="52">
        <v>2167</v>
      </c>
      <c r="G63" s="52">
        <v>3088</v>
      </c>
      <c r="H63" s="52">
        <v>3035</v>
      </c>
      <c r="I63" s="52">
        <v>2185</v>
      </c>
    </row>
    <row r="64" spans="1:9" x14ac:dyDescent="0.25">
      <c r="A64" s="11" t="s">
        <v>63</v>
      </c>
      <c r="B64" s="10" t="s">
        <v>70</v>
      </c>
      <c r="C64" s="52">
        <v>5371</v>
      </c>
      <c r="D64" s="52">
        <v>9712</v>
      </c>
      <c r="E64" s="52">
        <v>11140</v>
      </c>
      <c r="F64" s="52">
        <v>11568</v>
      </c>
      <c r="G64" s="52">
        <v>13875</v>
      </c>
      <c r="H64" s="52">
        <v>12518</v>
      </c>
      <c r="I64" s="52">
        <v>8772</v>
      </c>
    </row>
    <row r="65" spans="1:9" x14ac:dyDescent="0.25">
      <c r="A65" s="11" t="s">
        <v>64</v>
      </c>
      <c r="B65" s="10" t="s">
        <v>70</v>
      </c>
      <c r="C65" s="52">
        <v>1311</v>
      </c>
      <c r="D65" s="52">
        <v>2489</v>
      </c>
      <c r="E65" s="52">
        <v>2775</v>
      </c>
      <c r="F65" s="52">
        <v>2898</v>
      </c>
      <c r="G65" s="52">
        <v>4526</v>
      </c>
      <c r="H65" s="52">
        <v>4387</v>
      </c>
      <c r="I65" s="52">
        <v>3331</v>
      </c>
    </row>
    <row r="66" spans="1:9" x14ac:dyDescent="0.25">
      <c r="A66" s="11" t="s">
        <v>65</v>
      </c>
      <c r="B66" s="10" t="s">
        <v>70</v>
      </c>
      <c r="C66" s="52">
        <v>8967</v>
      </c>
      <c r="D66" s="52">
        <v>16497</v>
      </c>
      <c r="E66" s="52">
        <v>18328</v>
      </c>
      <c r="F66" s="52">
        <v>19274</v>
      </c>
      <c r="G66" s="52">
        <v>25950</v>
      </c>
      <c r="H66" s="52">
        <v>23758</v>
      </c>
      <c r="I66" s="52">
        <v>18145</v>
      </c>
    </row>
    <row r="67" spans="1:9" x14ac:dyDescent="0.25">
      <c r="A67" s="11" t="s">
        <v>66</v>
      </c>
      <c r="B67" s="10" t="s">
        <v>70</v>
      </c>
      <c r="C67" s="52">
        <v>751</v>
      </c>
      <c r="D67" s="52">
        <v>1375</v>
      </c>
      <c r="E67" s="52">
        <v>1544</v>
      </c>
      <c r="F67" s="52">
        <v>1740</v>
      </c>
      <c r="G67" s="52">
        <v>2154</v>
      </c>
      <c r="H67" s="52">
        <v>2060</v>
      </c>
      <c r="I67" s="52">
        <v>1716</v>
      </c>
    </row>
    <row r="68" spans="1:9" ht="13.8" thickBot="1" x14ac:dyDescent="0.3">
      <c r="A68" s="13" t="s">
        <v>67</v>
      </c>
      <c r="B68" s="12" t="s">
        <v>70</v>
      </c>
      <c r="C68" s="52">
        <v>11242</v>
      </c>
      <c r="D68" s="52">
        <v>21483</v>
      </c>
      <c r="E68" s="52">
        <v>25200</v>
      </c>
      <c r="F68" s="52">
        <v>25500</v>
      </c>
      <c r="G68" s="52">
        <v>34423</v>
      </c>
      <c r="H68" s="52">
        <v>28903</v>
      </c>
      <c r="I68" s="52">
        <v>21580</v>
      </c>
    </row>
    <row r="69" spans="1:9" x14ac:dyDescent="0.25">
      <c r="A69" s="32" t="s">
        <v>68</v>
      </c>
      <c r="C69" s="14">
        <f>SUM(C2:C68)</f>
        <v>257026</v>
      </c>
      <c r="D69" s="14">
        <f t="shared" ref="D69:I69" si="0">SUM(D2:D68)</f>
        <v>471021</v>
      </c>
      <c r="E69" s="14">
        <f t="shared" si="0"/>
        <v>514940</v>
      </c>
      <c r="F69" s="14">
        <f t="shared" si="0"/>
        <v>531415</v>
      </c>
      <c r="G69" s="14">
        <f t="shared" si="0"/>
        <v>707111</v>
      </c>
      <c r="H69" s="14">
        <f t="shared" si="0"/>
        <v>649982</v>
      </c>
      <c r="I69" s="14">
        <f t="shared" si="0"/>
        <v>509646</v>
      </c>
    </row>
    <row r="70" spans="1:9" x14ac:dyDescent="0.25">
      <c r="C70" s="17">
        <f>C69/$C$72</f>
        <v>7.0589411396043161E-2</v>
      </c>
      <c r="D70" s="17">
        <f t="shared" ref="D70:I70" si="1">D69/$C$72</f>
        <v>0.12936082398347112</v>
      </c>
      <c r="E70" s="17">
        <f t="shared" si="1"/>
        <v>0.14142270238916868</v>
      </c>
      <c r="F70" s="17">
        <f t="shared" si="1"/>
        <v>0.1459473829769295</v>
      </c>
      <c r="G70" s="17">
        <f t="shared" si="1"/>
        <v>0.19420038938343778</v>
      </c>
      <c r="H70" s="17">
        <f t="shared" si="1"/>
        <v>0.17851052733195447</v>
      </c>
      <c r="I70" s="17">
        <f t="shared" si="1"/>
        <v>0.13996876253899534</v>
      </c>
    </row>
    <row r="72" spans="1:9" x14ac:dyDescent="0.25">
      <c r="A72" s="32" t="s">
        <v>80</v>
      </c>
      <c r="C72" s="16">
        <f>SUM(C69:I69)</f>
        <v>3641141</v>
      </c>
    </row>
    <row r="75" spans="1:9" x14ac:dyDescent="0.25">
      <c r="I75" s="10"/>
    </row>
    <row r="80" spans="1:9" x14ac:dyDescent="0.25">
      <c r="H80" s="11"/>
    </row>
    <row r="81" spans="3:8" x14ac:dyDescent="0.25">
      <c r="H81" s="11"/>
    </row>
    <row r="82" spans="3:8" x14ac:dyDescent="0.25">
      <c r="H82" s="11"/>
    </row>
    <row r="83" spans="3:8" x14ac:dyDescent="0.25">
      <c r="H83" s="11"/>
    </row>
    <row r="84" spans="3:8" x14ac:dyDescent="0.25">
      <c r="H84" s="11"/>
    </row>
    <row r="85" spans="3:8" x14ac:dyDescent="0.25">
      <c r="H85" s="11"/>
    </row>
    <row r="86" spans="3:8" x14ac:dyDescent="0.25">
      <c r="C86" s="11"/>
    </row>
    <row r="87" spans="3:8" x14ac:dyDescent="0.25">
      <c r="C87" s="11"/>
    </row>
    <row r="88" spans="3:8" x14ac:dyDescent="0.25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E92" sqref="E92"/>
    </sheetView>
  </sheetViews>
  <sheetFormatPr defaultColWidth="9.109375" defaultRowHeight="13.2" x14ac:dyDescent="0.25"/>
  <cols>
    <col min="1" max="1" width="19.109375" style="11" bestFit="1" customWidth="1"/>
    <col min="2" max="5" width="14.109375" style="10" customWidth="1"/>
    <col min="6" max="6" width="15.33203125" style="11" customWidth="1"/>
    <col min="7" max="7" width="18.5546875" style="37" customWidth="1"/>
    <col min="8" max="9" width="9.109375" style="11"/>
    <col min="10" max="10" width="12" style="11" bestFit="1" customWidth="1"/>
    <col min="11" max="11" width="10" style="11" bestFit="1" customWidth="1"/>
    <col min="12" max="12" width="11.33203125" style="11" bestFit="1" customWidth="1"/>
    <col min="13" max="13" width="9.5546875" style="11" bestFit="1" customWidth="1"/>
    <col min="14" max="14" width="10.88671875" style="11" bestFit="1" customWidth="1"/>
    <col min="15" max="16384" width="9.109375" style="11"/>
  </cols>
  <sheetData>
    <row r="1" spans="1:7" x14ac:dyDescent="0.25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5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5">
      <c r="A3" s="11" t="s">
        <v>1</v>
      </c>
      <c r="B3" s="69">
        <v>17771</v>
      </c>
      <c r="C3" s="70">
        <v>1379</v>
      </c>
      <c r="D3" s="69">
        <v>42157</v>
      </c>
      <c r="E3" s="70">
        <v>1856</v>
      </c>
      <c r="F3" s="72">
        <v>12046</v>
      </c>
      <c r="G3" s="74">
        <v>1211</v>
      </c>
    </row>
    <row r="4" spans="1:7" x14ac:dyDescent="0.25">
      <c r="A4" s="11" t="s">
        <v>2</v>
      </c>
      <c r="B4" s="69">
        <v>471078</v>
      </c>
      <c r="C4" s="70">
        <v>31240</v>
      </c>
      <c r="D4" s="69">
        <v>252763</v>
      </c>
      <c r="E4" s="70">
        <v>10999</v>
      </c>
      <c r="F4" s="72">
        <v>136037</v>
      </c>
      <c r="G4" s="75">
        <v>13019</v>
      </c>
    </row>
    <row r="5" spans="1:7" x14ac:dyDescent="0.25">
      <c r="A5" s="11" t="s">
        <v>3</v>
      </c>
      <c r="B5" s="69">
        <v>10267</v>
      </c>
      <c r="C5" s="70">
        <v>413</v>
      </c>
      <c r="D5" s="69">
        <v>27024</v>
      </c>
      <c r="E5" s="70">
        <v>612</v>
      </c>
      <c r="F5" s="72">
        <v>4996</v>
      </c>
      <c r="G5" s="75">
        <v>263</v>
      </c>
    </row>
    <row r="6" spans="1:7" x14ac:dyDescent="0.25">
      <c r="A6" s="11" t="s">
        <v>4</v>
      </c>
      <c r="B6" s="69">
        <v>43717</v>
      </c>
      <c r="C6" s="70">
        <v>2126</v>
      </c>
      <c r="D6" s="69">
        <v>50216</v>
      </c>
      <c r="E6" s="70">
        <v>1735</v>
      </c>
      <c r="F6" s="72">
        <v>15222</v>
      </c>
      <c r="G6" s="75">
        <v>1212</v>
      </c>
    </row>
    <row r="7" spans="1:7" x14ac:dyDescent="0.25">
      <c r="A7" s="11" t="s">
        <v>5</v>
      </c>
      <c r="B7" s="69">
        <v>5103</v>
      </c>
      <c r="C7" s="70">
        <v>179</v>
      </c>
      <c r="D7" s="69">
        <v>24153</v>
      </c>
      <c r="E7" s="70">
        <v>414</v>
      </c>
      <c r="F7" s="72">
        <v>3026</v>
      </c>
      <c r="G7" s="75">
        <v>146</v>
      </c>
    </row>
    <row r="8" spans="1:7" x14ac:dyDescent="0.25">
      <c r="A8" s="11" t="s">
        <v>6</v>
      </c>
      <c r="B8" s="69">
        <v>98320</v>
      </c>
      <c r="C8" s="70">
        <v>5862</v>
      </c>
      <c r="D8" s="69">
        <v>114658</v>
      </c>
      <c r="E8" s="70">
        <v>3484</v>
      </c>
      <c r="F8" s="72">
        <v>47552</v>
      </c>
      <c r="G8" s="75">
        <v>3497</v>
      </c>
    </row>
    <row r="9" spans="1:7" x14ac:dyDescent="0.25">
      <c r="A9" s="11" t="s">
        <v>7</v>
      </c>
      <c r="B9" s="69">
        <v>18391</v>
      </c>
      <c r="C9" s="70">
        <v>1378</v>
      </c>
      <c r="D9" s="69">
        <v>48817</v>
      </c>
      <c r="E9" s="70">
        <v>1894</v>
      </c>
      <c r="F9" s="72">
        <v>10039</v>
      </c>
      <c r="G9" s="75">
        <v>1052</v>
      </c>
    </row>
    <row r="10" spans="1:7" x14ac:dyDescent="0.25">
      <c r="A10" s="11" t="s">
        <v>8</v>
      </c>
      <c r="B10" s="69">
        <v>7357</v>
      </c>
      <c r="C10" s="70">
        <v>456</v>
      </c>
      <c r="D10" s="69">
        <v>24738</v>
      </c>
      <c r="E10" s="70">
        <v>908</v>
      </c>
      <c r="F10" s="72">
        <v>4967</v>
      </c>
      <c r="G10" s="75">
        <v>391</v>
      </c>
    </row>
    <row r="11" spans="1:7" x14ac:dyDescent="0.25">
      <c r="A11" s="11" t="s">
        <v>9</v>
      </c>
      <c r="B11" s="69">
        <v>180573</v>
      </c>
      <c r="C11" s="70">
        <v>13231</v>
      </c>
      <c r="D11" s="69">
        <v>192686</v>
      </c>
      <c r="E11" s="70">
        <v>9710</v>
      </c>
      <c r="F11" s="72">
        <v>80022</v>
      </c>
      <c r="G11" s="75">
        <v>7654</v>
      </c>
    </row>
    <row r="12" spans="1:7" x14ac:dyDescent="0.25">
      <c r="A12" s="11" t="s">
        <v>10</v>
      </c>
      <c r="B12" s="69">
        <v>37352</v>
      </c>
      <c r="C12" s="70">
        <v>1749</v>
      </c>
      <c r="D12" s="69">
        <v>80329</v>
      </c>
      <c r="E12" s="70">
        <v>2543</v>
      </c>
      <c r="F12" s="72">
        <v>19878</v>
      </c>
      <c r="G12" s="75">
        <v>1430</v>
      </c>
    </row>
    <row r="13" spans="1:7" x14ac:dyDescent="0.25">
      <c r="A13" s="11" t="s">
        <v>11</v>
      </c>
      <c r="B13" s="69">
        <v>28341</v>
      </c>
      <c r="C13" s="70">
        <v>1151</v>
      </c>
      <c r="D13" s="69">
        <v>45447</v>
      </c>
      <c r="E13" s="70">
        <v>1079</v>
      </c>
      <c r="F13" s="72">
        <v>9282</v>
      </c>
      <c r="G13" s="75">
        <v>613</v>
      </c>
    </row>
    <row r="14" spans="1:7" x14ac:dyDescent="0.25">
      <c r="A14" s="11" t="s">
        <v>12</v>
      </c>
      <c r="B14" s="69">
        <v>637</v>
      </c>
      <c r="C14" s="70">
        <v>28</v>
      </c>
      <c r="D14" s="69">
        <v>1785</v>
      </c>
      <c r="E14" s="70">
        <v>53</v>
      </c>
      <c r="F14" s="72">
        <v>352</v>
      </c>
      <c r="G14" s="75">
        <v>22</v>
      </c>
    </row>
    <row r="15" spans="1:7" x14ac:dyDescent="0.25">
      <c r="A15" s="11" t="s">
        <v>13</v>
      </c>
      <c r="B15" s="69">
        <v>13319</v>
      </c>
      <c r="C15" s="70">
        <v>745</v>
      </c>
      <c r="D15" s="69">
        <v>23006</v>
      </c>
      <c r="E15" s="70">
        <v>845</v>
      </c>
      <c r="F15" s="72">
        <v>7075</v>
      </c>
      <c r="G15" s="75">
        <v>563</v>
      </c>
    </row>
    <row r="16" spans="1:7" x14ac:dyDescent="0.25">
      <c r="A16" s="11" t="s">
        <v>14</v>
      </c>
      <c r="B16" s="69">
        <v>35467</v>
      </c>
      <c r="C16" s="70">
        <v>6012</v>
      </c>
      <c r="D16" s="69">
        <v>38479</v>
      </c>
      <c r="E16" s="70">
        <v>3428</v>
      </c>
      <c r="F16" s="72">
        <v>15556</v>
      </c>
      <c r="G16" s="75">
        <v>3137</v>
      </c>
    </row>
    <row r="17" spans="1:7" x14ac:dyDescent="0.25">
      <c r="A17" s="11" t="s">
        <v>15</v>
      </c>
      <c r="B17" s="69">
        <v>152752</v>
      </c>
      <c r="C17" s="70">
        <v>7667</v>
      </c>
      <c r="D17" s="69">
        <v>146855</v>
      </c>
      <c r="E17" s="70">
        <v>5283</v>
      </c>
      <c r="F17" s="72">
        <v>71822</v>
      </c>
      <c r="G17" s="75">
        <v>4298</v>
      </c>
    </row>
    <row r="18" spans="1:7" x14ac:dyDescent="0.25">
      <c r="A18" s="11" t="s">
        <v>16</v>
      </c>
      <c r="B18" s="69">
        <v>4720</v>
      </c>
      <c r="C18" s="70">
        <v>346</v>
      </c>
      <c r="D18" s="69">
        <v>14945</v>
      </c>
      <c r="E18" s="70">
        <v>621</v>
      </c>
      <c r="F18" s="72">
        <v>2461</v>
      </c>
      <c r="G18" s="75">
        <v>257</v>
      </c>
    </row>
    <row r="19" spans="1:7" x14ac:dyDescent="0.25">
      <c r="A19" s="11" t="s">
        <v>17</v>
      </c>
      <c r="B19" s="69">
        <v>11268</v>
      </c>
      <c r="C19" s="70">
        <v>785</v>
      </c>
      <c r="D19" s="69">
        <v>30103</v>
      </c>
      <c r="E19" s="70">
        <v>1329</v>
      </c>
      <c r="F19" s="72">
        <v>5453</v>
      </c>
      <c r="G19" s="75">
        <v>613</v>
      </c>
    </row>
    <row r="20" spans="1:7" x14ac:dyDescent="0.25">
      <c r="A20" s="11" t="s">
        <v>18</v>
      </c>
      <c r="B20" s="69">
        <v>5787</v>
      </c>
      <c r="C20" s="70">
        <v>277</v>
      </c>
      <c r="D20" s="69">
        <v>12937</v>
      </c>
      <c r="E20" s="70">
        <v>382</v>
      </c>
      <c r="F20" s="72">
        <v>2931</v>
      </c>
      <c r="G20" s="75">
        <v>210</v>
      </c>
    </row>
    <row r="21" spans="1:7" x14ac:dyDescent="0.25">
      <c r="A21" s="11" t="s">
        <v>19</v>
      </c>
      <c r="B21" s="69">
        <v>11172</v>
      </c>
      <c r="C21" s="70">
        <v>646</v>
      </c>
      <c r="D21" s="69">
        <v>21829</v>
      </c>
      <c r="E21" s="70">
        <v>615</v>
      </c>
      <c r="F21" s="72">
        <v>5874</v>
      </c>
      <c r="G21" s="75">
        <v>449</v>
      </c>
    </row>
    <row r="22" spans="1:7" x14ac:dyDescent="0.25">
      <c r="A22" s="11" t="s">
        <v>20</v>
      </c>
      <c r="B22" s="69">
        <v>13446</v>
      </c>
      <c r="C22" s="70">
        <v>1015</v>
      </c>
      <c r="D22" s="69">
        <v>30747</v>
      </c>
      <c r="E22" s="70">
        <v>1108</v>
      </c>
      <c r="F22" s="72">
        <v>6157</v>
      </c>
      <c r="G22" s="75">
        <v>591</v>
      </c>
    </row>
    <row r="23" spans="1:7" x14ac:dyDescent="0.25">
      <c r="A23" s="11" t="s">
        <v>21</v>
      </c>
      <c r="B23" s="69">
        <v>57604</v>
      </c>
      <c r="C23" s="70">
        <v>3610</v>
      </c>
      <c r="D23" s="69">
        <v>85136</v>
      </c>
      <c r="E23" s="70">
        <v>3310</v>
      </c>
      <c r="F23" s="72">
        <v>30627</v>
      </c>
      <c r="G23" s="75">
        <v>2482</v>
      </c>
    </row>
    <row r="24" spans="1:7" x14ac:dyDescent="0.25">
      <c r="A24" s="11" t="s">
        <v>22</v>
      </c>
      <c r="B24" s="69">
        <v>77868</v>
      </c>
      <c r="C24" s="70">
        <v>7829</v>
      </c>
      <c r="D24" s="69">
        <v>71813</v>
      </c>
      <c r="E24" s="70">
        <v>4428</v>
      </c>
      <c r="F24" s="72">
        <v>33342</v>
      </c>
      <c r="G24" s="75">
        <v>4409</v>
      </c>
    </row>
    <row r="25" spans="1:7" x14ac:dyDescent="0.25">
      <c r="A25" s="11" t="s">
        <v>23</v>
      </c>
      <c r="B25" s="69">
        <v>181699</v>
      </c>
      <c r="C25" s="70">
        <v>20644</v>
      </c>
      <c r="D25" s="69">
        <v>133627</v>
      </c>
      <c r="E25" s="70">
        <v>9755</v>
      </c>
      <c r="F25" s="72">
        <v>56171</v>
      </c>
      <c r="G25" s="75">
        <v>8052</v>
      </c>
    </row>
    <row r="26" spans="1:7" x14ac:dyDescent="0.25">
      <c r="A26" s="11" t="s">
        <v>24</v>
      </c>
      <c r="B26" s="69">
        <v>5591</v>
      </c>
      <c r="C26" s="70">
        <v>219</v>
      </c>
      <c r="D26" s="69">
        <v>11878</v>
      </c>
      <c r="E26" s="70">
        <v>259</v>
      </c>
      <c r="F26" s="72">
        <v>2388</v>
      </c>
      <c r="G26" s="75">
        <v>162</v>
      </c>
    </row>
    <row r="27" spans="1:7" x14ac:dyDescent="0.25">
      <c r="A27" s="11" t="s">
        <v>25</v>
      </c>
      <c r="B27" s="69">
        <v>71895</v>
      </c>
      <c r="C27" s="70">
        <v>4594</v>
      </c>
      <c r="D27" s="69">
        <v>67945</v>
      </c>
      <c r="E27" s="70">
        <v>2999</v>
      </c>
      <c r="F27" s="72">
        <v>24737</v>
      </c>
      <c r="G27" s="75">
        <v>2573</v>
      </c>
    </row>
    <row r="28" spans="1:7" x14ac:dyDescent="0.25">
      <c r="A28" s="11" t="s">
        <v>26</v>
      </c>
      <c r="B28" s="69">
        <v>28155</v>
      </c>
      <c r="C28" s="70">
        <v>1461</v>
      </c>
      <c r="D28" s="69">
        <v>40131</v>
      </c>
      <c r="E28" s="70">
        <v>1155</v>
      </c>
      <c r="F28" s="72">
        <v>8005</v>
      </c>
      <c r="G28" s="75">
        <v>666</v>
      </c>
    </row>
    <row r="29" spans="1:7" x14ac:dyDescent="0.25">
      <c r="A29" s="11" t="s">
        <v>27</v>
      </c>
      <c r="B29" s="69">
        <v>716</v>
      </c>
      <c r="C29" s="70">
        <v>57</v>
      </c>
      <c r="D29" s="69">
        <v>1938</v>
      </c>
      <c r="E29" s="70">
        <v>94</v>
      </c>
      <c r="F29" s="72">
        <v>348</v>
      </c>
      <c r="G29" s="75">
        <v>42</v>
      </c>
    </row>
    <row r="30" spans="1:7" x14ac:dyDescent="0.25">
      <c r="A30" s="11" t="s">
        <v>28</v>
      </c>
      <c r="B30" s="69">
        <v>21650</v>
      </c>
      <c r="C30" s="70">
        <v>1815</v>
      </c>
      <c r="D30" s="69">
        <v>61635</v>
      </c>
      <c r="E30" s="70">
        <v>2780</v>
      </c>
      <c r="F30" s="72">
        <v>15627</v>
      </c>
      <c r="G30" s="75">
        <v>1577</v>
      </c>
    </row>
    <row r="31" spans="1:7" x14ac:dyDescent="0.25">
      <c r="A31" s="11" t="s">
        <v>29</v>
      </c>
      <c r="B31" s="69">
        <v>1354</v>
      </c>
      <c r="C31" s="70">
        <v>121</v>
      </c>
      <c r="D31" s="69">
        <v>7170</v>
      </c>
      <c r="E31" s="70">
        <v>308</v>
      </c>
      <c r="F31" s="72">
        <v>1008</v>
      </c>
      <c r="G31" s="75">
        <v>146</v>
      </c>
    </row>
    <row r="32" spans="1:7" x14ac:dyDescent="0.25">
      <c r="A32" s="11" t="s">
        <v>30</v>
      </c>
      <c r="B32" s="69">
        <v>7024</v>
      </c>
      <c r="C32" s="70">
        <v>387</v>
      </c>
      <c r="D32" s="69">
        <v>11703</v>
      </c>
      <c r="E32" s="70">
        <v>413</v>
      </c>
      <c r="F32" s="72">
        <v>2024</v>
      </c>
      <c r="G32" s="75">
        <v>201</v>
      </c>
    </row>
    <row r="33" spans="1:7" x14ac:dyDescent="0.25">
      <c r="A33" s="11" t="s">
        <v>31</v>
      </c>
      <c r="B33" s="69">
        <v>5531</v>
      </c>
      <c r="C33" s="70">
        <v>507</v>
      </c>
      <c r="D33" s="69">
        <v>18310</v>
      </c>
      <c r="E33" s="70">
        <v>625</v>
      </c>
      <c r="F33" s="72">
        <v>2683</v>
      </c>
      <c r="G33" s="75">
        <v>268</v>
      </c>
    </row>
    <row r="34" spans="1:7" x14ac:dyDescent="0.25">
      <c r="A34" s="11" t="s">
        <v>32</v>
      </c>
      <c r="B34" s="69">
        <v>13599</v>
      </c>
      <c r="C34" s="70">
        <v>369</v>
      </c>
      <c r="D34" s="69">
        <v>28542</v>
      </c>
      <c r="E34" s="70">
        <v>355</v>
      </c>
      <c r="F34" s="72">
        <v>6134</v>
      </c>
      <c r="G34" s="75">
        <v>178</v>
      </c>
    </row>
    <row r="35" spans="1:7" x14ac:dyDescent="0.25">
      <c r="A35" s="11" t="s">
        <v>33</v>
      </c>
      <c r="B35" s="69">
        <v>5196</v>
      </c>
      <c r="C35" s="70">
        <v>236</v>
      </c>
      <c r="D35" s="69">
        <v>18952</v>
      </c>
      <c r="E35" s="70">
        <v>505</v>
      </c>
      <c r="F35" s="72">
        <v>3011</v>
      </c>
      <c r="G35" s="75">
        <v>196</v>
      </c>
    </row>
    <row r="36" spans="1:7" x14ac:dyDescent="0.25">
      <c r="A36" s="11" t="s">
        <v>34</v>
      </c>
      <c r="B36" s="69">
        <v>2416</v>
      </c>
      <c r="C36" s="70">
        <v>128</v>
      </c>
      <c r="D36" s="69">
        <v>9829</v>
      </c>
      <c r="E36" s="70">
        <v>212</v>
      </c>
      <c r="F36" s="72">
        <v>1406</v>
      </c>
      <c r="G36" s="75">
        <v>91</v>
      </c>
    </row>
    <row r="37" spans="1:7" x14ac:dyDescent="0.25">
      <c r="A37" s="11" t="s">
        <v>35</v>
      </c>
      <c r="B37" s="69">
        <v>70830</v>
      </c>
      <c r="C37" s="70">
        <v>5442</v>
      </c>
      <c r="D37" s="69">
        <v>48895</v>
      </c>
      <c r="E37" s="70">
        <v>3386</v>
      </c>
      <c r="F37" s="72">
        <v>17893</v>
      </c>
      <c r="G37" s="75">
        <v>2542</v>
      </c>
    </row>
    <row r="38" spans="1:7" x14ac:dyDescent="0.25">
      <c r="A38" s="11" t="s">
        <v>36</v>
      </c>
      <c r="B38" s="69">
        <v>106672</v>
      </c>
      <c r="C38" s="70">
        <v>5861</v>
      </c>
      <c r="D38" s="69">
        <v>178471</v>
      </c>
      <c r="E38" s="70">
        <v>5517</v>
      </c>
      <c r="F38" s="72">
        <v>62472</v>
      </c>
      <c r="G38" s="75">
        <v>4406</v>
      </c>
    </row>
    <row r="39" spans="1:7" x14ac:dyDescent="0.25">
      <c r="A39" s="11" t="s">
        <v>37</v>
      </c>
      <c r="B39" s="69">
        <v>18751</v>
      </c>
      <c r="C39" s="70">
        <v>983</v>
      </c>
      <c r="D39" s="69">
        <v>29291</v>
      </c>
      <c r="E39" s="70">
        <v>904</v>
      </c>
      <c r="F39" s="72">
        <v>6952</v>
      </c>
      <c r="G39" s="75">
        <v>539</v>
      </c>
    </row>
    <row r="40" spans="1:7" x14ac:dyDescent="0.25">
      <c r="A40" s="11" t="s">
        <v>38</v>
      </c>
      <c r="B40" s="69">
        <v>23660</v>
      </c>
      <c r="C40" s="70">
        <v>1648</v>
      </c>
      <c r="D40" s="69">
        <v>51018</v>
      </c>
      <c r="E40" s="70">
        <v>1586</v>
      </c>
      <c r="F40" s="72">
        <v>14473</v>
      </c>
      <c r="G40" s="75">
        <v>1276</v>
      </c>
    </row>
    <row r="41" spans="1:7" x14ac:dyDescent="0.25">
      <c r="A41" s="11" t="s">
        <v>39</v>
      </c>
      <c r="B41" s="69">
        <v>103938</v>
      </c>
      <c r="C41" s="70">
        <v>6992</v>
      </c>
      <c r="D41" s="69">
        <v>86310</v>
      </c>
      <c r="E41" s="70">
        <v>3418</v>
      </c>
      <c r="F41" s="72">
        <v>48082</v>
      </c>
      <c r="G41" s="75">
        <v>4255</v>
      </c>
    </row>
    <row r="42" spans="1:7" x14ac:dyDescent="0.25">
      <c r="A42" s="11" t="s">
        <v>40</v>
      </c>
      <c r="B42" s="69">
        <v>79438</v>
      </c>
      <c r="C42" s="70">
        <v>4672</v>
      </c>
      <c r="D42" s="69">
        <v>87821</v>
      </c>
      <c r="E42" s="70">
        <v>3383</v>
      </c>
      <c r="F42" s="72">
        <v>28316</v>
      </c>
      <c r="G42" s="75">
        <v>2598</v>
      </c>
    </row>
    <row r="43" spans="1:7" x14ac:dyDescent="0.25">
      <c r="A43" s="11" t="s">
        <v>41</v>
      </c>
      <c r="B43" s="69">
        <v>16686</v>
      </c>
      <c r="C43" s="70">
        <v>1484</v>
      </c>
      <c r="D43" s="69">
        <v>42061</v>
      </c>
      <c r="E43" s="70">
        <v>1801</v>
      </c>
      <c r="F43" s="72">
        <v>9493</v>
      </c>
      <c r="G43" s="75">
        <v>1053</v>
      </c>
    </row>
    <row r="44" spans="1:7" x14ac:dyDescent="0.25">
      <c r="A44" s="11" t="s">
        <v>42</v>
      </c>
      <c r="B44" s="69">
        <v>4984</v>
      </c>
      <c r="C44" s="70">
        <v>300</v>
      </c>
      <c r="D44" s="69">
        <v>15568</v>
      </c>
      <c r="E44" s="70">
        <v>597</v>
      </c>
      <c r="F44" s="72">
        <v>3381</v>
      </c>
      <c r="G44" s="75">
        <v>344</v>
      </c>
    </row>
    <row r="45" spans="1:7" x14ac:dyDescent="0.25">
      <c r="A45" s="11" t="s">
        <v>43</v>
      </c>
      <c r="B45" s="69">
        <v>21855</v>
      </c>
      <c r="C45" s="70">
        <v>1296</v>
      </c>
      <c r="D45" s="69">
        <v>36984</v>
      </c>
      <c r="E45" s="70">
        <v>1324</v>
      </c>
      <c r="F45" s="72">
        <v>9629</v>
      </c>
      <c r="G45" s="75">
        <v>759</v>
      </c>
    </row>
    <row r="46" spans="1:7" x14ac:dyDescent="0.25">
      <c r="A46" s="11" t="s">
        <v>44</v>
      </c>
      <c r="B46" s="69">
        <v>5074</v>
      </c>
      <c r="C46" s="70">
        <v>291</v>
      </c>
      <c r="D46" s="69">
        <v>18058</v>
      </c>
      <c r="E46" s="70">
        <v>583</v>
      </c>
      <c r="F46" s="72">
        <v>2904</v>
      </c>
      <c r="G46" s="75">
        <v>215</v>
      </c>
    </row>
    <row r="47" spans="1:7" x14ac:dyDescent="0.25">
      <c r="A47" s="11" t="s">
        <v>45</v>
      </c>
      <c r="B47" s="69">
        <v>42603</v>
      </c>
      <c r="C47" s="70">
        <v>5825</v>
      </c>
      <c r="D47" s="69">
        <v>40007</v>
      </c>
      <c r="E47" s="70">
        <v>3251</v>
      </c>
      <c r="F47" s="72">
        <v>22165</v>
      </c>
      <c r="G47" s="75">
        <v>3215</v>
      </c>
    </row>
    <row r="48" spans="1:7" x14ac:dyDescent="0.25">
      <c r="A48" s="11" t="s">
        <v>46</v>
      </c>
      <c r="B48" s="69">
        <v>287092</v>
      </c>
      <c r="C48" s="70">
        <v>17511</v>
      </c>
      <c r="D48" s="69">
        <v>198752</v>
      </c>
      <c r="E48" s="70">
        <v>9347</v>
      </c>
      <c r="F48" s="72">
        <v>100510</v>
      </c>
      <c r="G48" s="75">
        <v>8819</v>
      </c>
    </row>
    <row r="49" spans="1:7" x14ac:dyDescent="0.25">
      <c r="A49" s="11" t="s">
        <v>47</v>
      </c>
      <c r="B49" s="69">
        <v>3566</v>
      </c>
      <c r="C49" s="70">
        <v>193</v>
      </c>
      <c r="D49" s="69">
        <v>6361</v>
      </c>
      <c r="E49" s="70">
        <v>204</v>
      </c>
      <c r="F49" s="72">
        <v>1846</v>
      </c>
      <c r="G49" s="75">
        <v>156</v>
      </c>
    </row>
    <row r="50" spans="1:7" x14ac:dyDescent="0.25">
      <c r="A50" s="11" t="s">
        <v>48</v>
      </c>
      <c r="B50" s="69">
        <v>89194</v>
      </c>
      <c r="C50" s="70">
        <v>6407</v>
      </c>
      <c r="D50" s="69">
        <v>83121</v>
      </c>
      <c r="E50" s="70">
        <v>3804</v>
      </c>
      <c r="F50" s="72">
        <v>44486</v>
      </c>
      <c r="G50" s="75">
        <v>4214</v>
      </c>
    </row>
    <row r="51" spans="1:7" x14ac:dyDescent="0.25">
      <c r="A51" s="11" t="s">
        <v>49</v>
      </c>
      <c r="B51" s="69">
        <v>14217</v>
      </c>
      <c r="C51" s="70">
        <v>1101</v>
      </c>
      <c r="D51" s="69">
        <v>30516</v>
      </c>
      <c r="E51" s="70">
        <v>1434</v>
      </c>
      <c r="F51" s="72">
        <v>7261</v>
      </c>
      <c r="G51" s="75">
        <v>758</v>
      </c>
    </row>
    <row r="52" spans="1:7" x14ac:dyDescent="0.25">
      <c r="A52" s="11" t="s">
        <v>50</v>
      </c>
      <c r="B52" s="69">
        <v>5855</v>
      </c>
      <c r="C52" s="70">
        <v>136</v>
      </c>
      <c r="D52" s="69">
        <v>20657</v>
      </c>
      <c r="E52" s="70">
        <v>338</v>
      </c>
      <c r="F52" s="72">
        <v>4043</v>
      </c>
      <c r="G52" s="75">
        <v>172</v>
      </c>
    </row>
    <row r="53" spans="1:7" x14ac:dyDescent="0.25">
      <c r="A53" s="11" t="s">
        <v>51</v>
      </c>
      <c r="B53" s="69">
        <v>690188</v>
      </c>
      <c r="C53" s="70">
        <v>84172</v>
      </c>
      <c r="D53" s="69">
        <v>118497</v>
      </c>
      <c r="E53" s="70">
        <v>12930</v>
      </c>
      <c r="F53" s="72">
        <v>151616</v>
      </c>
      <c r="G53" s="75">
        <v>23252</v>
      </c>
    </row>
    <row r="54" spans="1:7" x14ac:dyDescent="0.25">
      <c r="A54" s="11" t="s">
        <v>52</v>
      </c>
      <c r="B54" s="69">
        <v>12537</v>
      </c>
      <c r="C54" s="70">
        <v>1038</v>
      </c>
      <c r="D54" s="69">
        <v>21781</v>
      </c>
      <c r="E54" s="70">
        <v>1208</v>
      </c>
      <c r="F54" s="72">
        <v>9613</v>
      </c>
      <c r="G54" s="75">
        <v>941</v>
      </c>
    </row>
    <row r="55" spans="1:7" x14ac:dyDescent="0.25">
      <c r="A55" s="11" t="s">
        <v>53</v>
      </c>
      <c r="B55" s="69">
        <v>1654</v>
      </c>
      <c r="C55" s="70">
        <v>89</v>
      </c>
      <c r="D55" s="69">
        <v>7753</v>
      </c>
      <c r="E55" s="70">
        <v>276</v>
      </c>
      <c r="F55" s="72">
        <v>1162</v>
      </c>
      <c r="G55" s="75">
        <v>102</v>
      </c>
    </row>
    <row r="56" spans="1:7" x14ac:dyDescent="0.25">
      <c r="A56" s="11" t="s">
        <v>54</v>
      </c>
      <c r="B56" s="69">
        <v>23551</v>
      </c>
      <c r="C56" s="70">
        <v>1783</v>
      </c>
      <c r="D56" s="69">
        <v>50952</v>
      </c>
      <c r="E56" s="70">
        <v>2192</v>
      </c>
      <c r="F56" s="72">
        <v>12418</v>
      </c>
      <c r="G56" s="75">
        <v>1298</v>
      </c>
    </row>
    <row r="57" spans="1:7" x14ac:dyDescent="0.25">
      <c r="A57" s="11" t="s">
        <v>55</v>
      </c>
      <c r="B57" s="69">
        <v>4562</v>
      </c>
      <c r="C57" s="70">
        <v>324</v>
      </c>
      <c r="D57" s="69">
        <v>15521</v>
      </c>
      <c r="E57" s="70">
        <v>435</v>
      </c>
      <c r="F57" s="72">
        <v>2748</v>
      </c>
      <c r="G57" s="75">
        <v>257</v>
      </c>
    </row>
    <row r="58" spans="1:7" x14ac:dyDescent="0.25">
      <c r="A58" s="11" t="s">
        <v>56</v>
      </c>
      <c r="B58" s="69">
        <v>10109</v>
      </c>
      <c r="C58" s="70">
        <v>391</v>
      </c>
      <c r="D58" s="69">
        <v>32186</v>
      </c>
      <c r="E58" s="70">
        <v>633</v>
      </c>
      <c r="F58" s="72">
        <v>4855</v>
      </c>
      <c r="G58" s="75">
        <v>258</v>
      </c>
    </row>
    <row r="59" spans="1:7" x14ac:dyDescent="0.25">
      <c r="A59" s="11" t="s">
        <v>57</v>
      </c>
      <c r="B59" s="69">
        <v>1026</v>
      </c>
      <c r="C59" s="70">
        <v>37</v>
      </c>
      <c r="D59" s="69">
        <v>2780</v>
      </c>
      <c r="E59" s="70">
        <v>65</v>
      </c>
      <c r="F59" s="72">
        <v>498</v>
      </c>
      <c r="G59" s="75">
        <v>34</v>
      </c>
    </row>
    <row r="60" spans="1:7" x14ac:dyDescent="0.25">
      <c r="A60" s="11" t="s">
        <v>58</v>
      </c>
      <c r="B60" s="69">
        <v>5742</v>
      </c>
      <c r="C60" s="70">
        <v>515</v>
      </c>
      <c r="D60" s="69">
        <v>16688</v>
      </c>
      <c r="E60" s="70">
        <v>880</v>
      </c>
      <c r="F60" s="72">
        <v>3682</v>
      </c>
      <c r="G60" s="75">
        <v>390</v>
      </c>
    </row>
    <row r="61" spans="1:7" x14ac:dyDescent="0.25">
      <c r="A61" s="11" t="s">
        <v>59</v>
      </c>
      <c r="B61" s="69">
        <v>4701</v>
      </c>
      <c r="C61" s="70">
        <v>224</v>
      </c>
      <c r="D61" s="69">
        <v>17551</v>
      </c>
      <c r="E61" s="70">
        <v>562</v>
      </c>
      <c r="F61" s="72">
        <v>3448</v>
      </c>
      <c r="G61" s="75">
        <v>264</v>
      </c>
    </row>
    <row r="62" spans="1:7" x14ac:dyDescent="0.25">
      <c r="A62" s="11" t="s">
        <v>60</v>
      </c>
      <c r="B62" s="69">
        <v>7055</v>
      </c>
      <c r="C62" s="70">
        <v>705</v>
      </c>
      <c r="D62" s="69">
        <v>13776</v>
      </c>
      <c r="E62" s="70">
        <v>631</v>
      </c>
      <c r="F62" s="72">
        <v>3719</v>
      </c>
      <c r="G62" s="75">
        <v>463</v>
      </c>
    </row>
    <row r="63" spans="1:7" x14ac:dyDescent="0.25">
      <c r="A63" s="11" t="s">
        <v>61</v>
      </c>
      <c r="B63" s="69">
        <v>7684</v>
      </c>
      <c r="C63" s="70">
        <v>368</v>
      </c>
      <c r="D63" s="69">
        <v>19563</v>
      </c>
      <c r="E63" s="70">
        <v>611</v>
      </c>
      <c r="F63" s="72">
        <v>4282</v>
      </c>
      <c r="G63" s="75">
        <v>302</v>
      </c>
    </row>
    <row r="64" spans="1:7" x14ac:dyDescent="0.25">
      <c r="A64" s="11" t="s">
        <v>62</v>
      </c>
      <c r="B64" s="69">
        <v>6142</v>
      </c>
      <c r="C64" s="70">
        <v>218</v>
      </c>
      <c r="D64" s="69">
        <v>14834</v>
      </c>
      <c r="E64" s="70">
        <v>429</v>
      </c>
      <c r="F64" s="72">
        <v>3636</v>
      </c>
      <c r="G64" s="75">
        <v>173</v>
      </c>
    </row>
    <row r="65" spans="1:7" x14ac:dyDescent="0.25">
      <c r="A65" s="11" t="s">
        <v>63</v>
      </c>
      <c r="B65" s="69">
        <v>49215</v>
      </c>
      <c r="C65" s="70">
        <v>3668</v>
      </c>
      <c r="D65" s="69">
        <v>69574</v>
      </c>
      <c r="E65" s="70">
        <v>3382</v>
      </c>
      <c r="F65" s="72">
        <v>17627</v>
      </c>
      <c r="G65" s="75">
        <v>2006</v>
      </c>
    </row>
    <row r="66" spans="1:7" x14ac:dyDescent="0.25">
      <c r="A66" s="11" t="s">
        <v>64</v>
      </c>
      <c r="B66" s="69">
        <v>7946</v>
      </c>
      <c r="C66" s="70">
        <v>730</v>
      </c>
      <c r="D66" s="69">
        <v>20497</v>
      </c>
      <c r="E66" s="70">
        <v>1220</v>
      </c>
      <c r="F66" s="72">
        <v>5486</v>
      </c>
      <c r="G66" s="75">
        <v>675</v>
      </c>
    </row>
    <row r="67" spans="1:7" x14ac:dyDescent="0.25">
      <c r="A67" s="11" t="s">
        <v>65</v>
      </c>
      <c r="B67" s="69">
        <v>83452</v>
      </c>
      <c r="C67" s="70">
        <v>3449</v>
      </c>
      <c r="D67" s="69">
        <v>127268</v>
      </c>
      <c r="E67" s="70">
        <v>3651</v>
      </c>
      <c r="F67" s="72">
        <v>30881</v>
      </c>
      <c r="G67" s="75">
        <v>1938</v>
      </c>
    </row>
    <row r="68" spans="1:7" x14ac:dyDescent="0.25">
      <c r="A68" s="11" t="s">
        <v>66</v>
      </c>
      <c r="B68" s="69">
        <v>4354</v>
      </c>
      <c r="C68" s="70">
        <v>329</v>
      </c>
      <c r="D68" s="69">
        <v>10784</v>
      </c>
      <c r="E68" s="70">
        <v>556</v>
      </c>
      <c r="F68" s="72">
        <v>2187</v>
      </c>
      <c r="G68" s="75">
        <v>260</v>
      </c>
    </row>
    <row r="69" spans="1:7" x14ac:dyDescent="0.25">
      <c r="A69" s="19" t="s">
        <v>67</v>
      </c>
      <c r="B69" s="68">
        <v>89889</v>
      </c>
      <c r="C69" s="71">
        <v>6078</v>
      </c>
      <c r="D69" s="68">
        <v>161635</v>
      </c>
      <c r="E69" s="71">
        <v>6696</v>
      </c>
      <c r="F69" s="73">
        <v>56829</v>
      </c>
      <c r="G69" s="76">
        <v>4717</v>
      </c>
    </row>
    <row r="70" spans="1:7" x14ac:dyDescent="0.25">
      <c r="A70" s="32" t="s">
        <v>68</v>
      </c>
      <c r="B70" s="14">
        <f>SUM(B3:B69)</f>
        <v>3551358</v>
      </c>
      <c r="C70" s="14">
        <f t="shared" ref="C70:G70" si="0">SUM(C3:C69)</f>
        <v>282922</v>
      </c>
      <c r="D70" s="14">
        <f t="shared" si="0"/>
        <v>3487814</v>
      </c>
      <c r="E70" s="14">
        <f t="shared" si="0"/>
        <v>153330</v>
      </c>
      <c r="F70" s="14">
        <f t="shared" si="0"/>
        <v>1346852</v>
      </c>
      <c r="G70" s="14">
        <f t="shared" si="0"/>
        <v>134322</v>
      </c>
    </row>
    <row r="71" spans="1:7" x14ac:dyDescent="0.25">
      <c r="G71" s="11"/>
    </row>
    <row r="72" spans="1:7" x14ac:dyDescent="0.25">
      <c r="G72" s="11"/>
    </row>
    <row r="73" spans="1:7" x14ac:dyDescent="0.25">
      <c r="A73" s="32" t="s">
        <v>80</v>
      </c>
      <c r="B73" s="14">
        <f>SUM(B70:G70)</f>
        <v>8956598</v>
      </c>
      <c r="D73" s="11"/>
      <c r="E73" s="11"/>
      <c r="G73" s="11"/>
    </row>
    <row r="74" spans="1:7" x14ac:dyDescent="0.25">
      <c r="D74" s="11"/>
      <c r="E74" s="11"/>
      <c r="G74" s="11"/>
    </row>
    <row r="75" spans="1:7" x14ac:dyDescent="0.25">
      <c r="D75" s="11"/>
      <c r="E75" s="11"/>
      <c r="G75" s="11"/>
    </row>
    <row r="76" spans="1:7" x14ac:dyDescent="0.25">
      <c r="D76" s="11"/>
      <c r="E76" s="11"/>
      <c r="G76" s="11"/>
    </row>
    <row r="77" spans="1:7" x14ac:dyDescent="0.25">
      <c r="D77" s="11"/>
      <c r="E77" s="11"/>
      <c r="G77" s="11"/>
    </row>
    <row r="78" spans="1:7" x14ac:dyDescent="0.25">
      <c r="D78" s="11"/>
      <c r="E78" s="11"/>
      <c r="G78" s="11"/>
    </row>
    <row r="79" spans="1:7" x14ac:dyDescent="0.25">
      <c r="D79" s="11"/>
      <c r="E79" s="11"/>
      <c r="G79" s="11"/>
    </row>
    <row r="80" spans="1:7" x14ac:dyDescent="0.25">
      <c r="D80" s="11"/>
      <c r="E80" s="11"/>
      <c r="G80" s="11"/>
    </row>
    <row r="81" spans="2:7" x14ac:dyDescent="0.25">
      <c r="D81" s="11"/>
      <c r="E81" s="11"/>
      <c r="G81" s="11"/>
    </row>
    <row r="82" spans="2:7" x14ac:dyDescent="0.25">
      <c r="B82" s="11"/>
      <c r="G82" s="11"/>
    </row>
    <row r="83" spans="2:7" x14ac:dyDescent="0.25">
      <c r="B83" s="11"/>
      <c r="G83" s="11"/>
    </row>
    <row r="84" spans="2:7" x14ac:dyDescent="0.25">
      <c r="G84" s="11"/>
    </row>
    <row r="85" spans="2:7" x14ac:dyDescent="0.25">
      <c r="B85" s="11"/>
      <c r="G85" s="11"/>
    </row>
    <row r="86" spans="2:7" x14ac:dyDescent="0.25">
      <c r="B86" s="11"/>
      <c r="G86" s="11"/>
    </row>
    <row r="87" spans="2:7" x14ac:dyDescent="0.25">
      <c r="G87" s="11"/>
    </row>
    <row r="88" spans="2:7" x14ac:dyDescent="0.25">
      <c r="G88" s="11"/>
    </row>
    <row r="89" spans="2:7" x14ac:dyDescent="0.25">
      <c r="G89" s="11"/>
    </row>
    <row r="90" spans="2:7" x14ac:dyDescent="0.25">
      <c r="G90" s="11"/>
    </row>
    <row r="91" spans="2:7" x14ac:dyDescent="0.25">
      <c r="G91" s="11"/>
    </row>
    <row r="92" spans="2:7" x14ac:dyDescent="0.25">
      <c r="G92" s="11"/>
    </row>
    <row r="93" spans="2:7" x14ac:dyDescent="0.25">
      <c r="G93" s="11"/>
    </row>
    <row r="94" spans="2:7" x14ac:dyDescent="0.25">
      <c r="G94" s="11"/>
    </row>
    <row r="95" spans="2:7" x14ac:dyDescent="0.25">
      <c r="G95" s="11"/>
    </row>
    <row r="96" spans="2:7" x14ac:dyDescent="0.25">
      <c r="G96" s="11"/>
    </row>
    <row r="97" spans="7:7" x14ac:dyDescent="0.25">
      <c r="G97" s="11"/>
    </row>
    <row r="98" spans="7:7" x14ac:dyDescent="0.25">
      <c r="G98" s="11"/>
    </row>
    <row r="99" spans="7:7" x14ac:dyDescent="0.25">
      <c r="G99" s="11"/>
    </row>
    <row r="100" spans="7:7" x14ac:dyDescent="0.25">
      <c r="G100" s="11"/>
    </row>
    <row r="101" spans="7:7" x14ac:dyDescent="0.25">
      <c r="G101" s="11"/>
    </row>
    <row r="102" spans="7:7" x14ac:dyDescent="0.25">
      <c r="G102" s="11"/>
    </row>
    <row r="103" spans="7:7" x14ac:dyDescent="0.25">
      <c r="G103" s="11"/>
    </row>
    <row r="104" spans="7:7" x14ac:dyDescent="0.25">
      <c r="G104" s="11"/>
    </row>
    <row r="105" spans="7:7" x14ac:dyDescent="0.25">
      <c r="G105" s="11"/>
    </row>
    <row r="106" spans="7:7" x14ac:dyDescent="0.25">
      <c r="G106" s="11"/>
    </row>
    <row r="107" spans="7:7" x14ac:dyDescent="0.25">
      <c r="G107" s="11"/>
    </row>
    <row r="108" spans="7:7" x14ac:dyDescent="0.25">
      <c r="G108" s="11"/>
    </row>
    <row r="109" spans="7:7" x14ac:dyDescent="0.25">
      <c r="G109" s="11"/>
    </row>
    <row r="110" spans="7:7" x14ac:dyDescent="0.25">
      <c r="G110" s="11"/>
    </row>
    <row r="111" spans="7:7" x14ac:dyDescent="0.25">
      <c r="G111" s="11"/>
    </row>
    <row r="112" spans="7:7" x14ac:dyDescent="0.25">
      <c r="G112" s="11"/>
    </row>
    <row r="113" spans="7:7" x14ac:dyDescent="0.25">
      <c r="G113" s="11"/>
    </row>
    <row r="114" spans="7:7" x14ac:dyDescent="0.25">
      <c r="G114" s="11"/>
    </row>
    <row r="115" spans="7:7" x14ac:dyDescent="0.25">
      <c r="G115" s="11"/>
    </row>
    <row r="116" spans="7:7" x14ac:dyDescent="0.25">
      <c r="G116" s="11"/>
    </row>
    <row r="117" spans="7:7" x14ac:dyDescent="0.25">
      <c r="G117" s="11"/>
    </row>
    <row r="118" spans="7:7" x14ac:dyDescent="0.25">
      <c r="G118" s="11"/>
    </row>
    <row r="119" spans="7:7" x14ac:dyDescent="0.25">
      <c r="G119" s="11"/>
    </row>
    <row r="120" spans="7:7" x14ac:dyDescent="0.25">
      <c r="G120" s="11"/>
    </row>
    <row r="121" spans="7:7" x14ac:dyDescent="0.25">
      <c r="G121" s="11"/>
    </row>
    <row r="122" spans="7:7" x14ac:dyDescent="0.25">
      <c r="G122" s="11"/>
    </row>
    <row r="123" spans="7:7" x14ac:dyDescent="0.25">
      <c r="G123" s="11"/>
    </row>
    <row r="124" spans="7:7" x14ac:dyDescent="0.25">
      <c r="G124" s="11"/>
    </row>
    <row r="125" spans="7:7" x14ac:dyDescent="0.25">
      <c r="G125" s="11"/>
    </row>
    <row r="126" spans="7:7" x14ac:dyDescent="0.25">
      <c r="G126" s="11"/>
    </row>
    <row r="127" spans="7:7" x14ac:dyDescent="0.25">
      <c r="G127" s="11"/>
    </row>
    <row r="128" spans="7:7" x14ac:dyDescent="0.25">
      <c r="G128" s="11"/>
    </row>
    <row r="129" spans="7:7" x14ac:dyDescent="0.25">
      <c r="G129" s="11"/>
    </row>
    <row r="130" spans="7:7" x14ac:dyDescent="0.25">
      <c r="G130" s="11"/>
    </row>
    <row r="131" spans="7:7" x14ac:dyDescent="0.25">
      <c r="G131" s="11"/>
    </row>
    <row r="132" spans="7:7" x14ac:dyDescent="0.25">
      <c r="G132" s="11"/>
    </row>
    <row r="133" spans="7:7" x14ac:dyDescent="0.25">
      <c r="G133" s="11"/>
    </row>
    <row r="134" spans="7:7" x14ac:dyDescent="0.25">
      <c r="G134" s="11"/>
    </row>
    <row r="135" spans="7:7" x14ac:dyDescent="0.25">
      <c r="G135" s="11"/>
    </row>
    <row r="136" spans="7:7" x14ac:dyDescent="0.25">
      <c r="G136" s="11"/>
    </row>
    <row r="137" spans="7:7" x14ac:dyDescent="0.25">
      <c r="G137" s="11"/>
    </row>
    <row r="138" spans="7:7" x14ac:dyDescent="0.25">
      <c r="G138" s="11"/>
    </row>
    <row r="139" spans="7:7" x14ac:dyDescent="0.25">
      <c r="G139" s="11"/>
    </row>
    <row r="140" spans="7:7" x14ac:dyDescent="0.25">
      <c r="G140" s="11"/>
    </row>
    <row r="141" spans="7:7" x14ac:dyDescent="0.25">
      <c r="G141" s="11"/>
    </row>
    <row r="142" spans="7:7" x14ac:dyDescent="0.25">
      <c r="G142" s="11"/>
    </row>
    <row r="143" spans="7:7" x14ac:dyDescent="0.25">
      <c r="G143" s="11"/>
    </row>
    <row r="144" spans="7:7" x14ac:dyDescent="0.25">
      <c r="G144" s="11"/>
    </row>
    <row r="145" spans="7:7" x14ac:dyDescent="0.25">
      <c r="G145" s="11"/>
    </row>
    <row r="146" spans="7:7" x14ac:dyDescent="0.25">
      <c r="G146" s="11"/>
    </row>
    <row r="147" spans="7:7" x14ac:dyDescent="0.25">
      <c r="G147" s="11"/>
    </row>
    <row r="148" spans="7:7" x14ac:dyDescent="0.25">
      <c r="G148" s="11"/>
    </row>
    <row r="149" spans="7:7" x14ac:dyDescent="0.25">
      <c r="G149" s="11"/>
    </row>
    <row r="150" spans="7:7" x14ac:dyDescent="0.25">
      <c r="G150" s="11"/>
    </row>
    <row r="151" spans="7:7" x14ac:dyDescent="0.25">
      <c r="G151" s="11"/>
    </row>
    <row r="152" spans="7:7" x14ac:dyDescent="0.25">
      <c r="G152" s="11"/>
    </row>
    <row r="153" spans="7:7" x14ac:dyDescent="0.25">
      <c r="G153" s="11"/>
    </row>
    <row r="154" spans="7:7" x14ac:dyDescent="0.25">
      <c r="G154" s="11"/>
    </row>
    <row r="155" spans="7:7" x14ac:dyDescent="0.25">
      <c r="G155" s="11"/>
    </row>
    <row r="156" spans="7:7" x14ac:dyDescent="0.25">
      <c r="G156" s="11"/>
    </row>
    <row r="157" spans="7:7" x14ac:dyDescent="0.25">
      <c r="G157" s="11"/>
    </row>
    <row r="158" spans="7:7" x14ac:dyDescent="0.25">
      <c r="G158" s="11"/>
    </row>
    <row r="159" spans="7:7" x14ac:dyDescent="0.25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3.8" x14ac:dyDescent="0.25"/>
  <cols>
    <col min="1" max="1" width="19.88671875" style="24" customWidth="1"/>
    <col min="2" max="2" width="9" style="10" customWidth="1"/>
    <col min="3" max="8" width="12.33203125" style="10" customWidth="1"/>
    <col min="10" max="10" width="6.44140625" customWidth="1"/>
    <col min="12" max="12" width="5.33203125" customWidth="1"/>
  </cols>
  <sheetData>
    <row r="1" spans="1:9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5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5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5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5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5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5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5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5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5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5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5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5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5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5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5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5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5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5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5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5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5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5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5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5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5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5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5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5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5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5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5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5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5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5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5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5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5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5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5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5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5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5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5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5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5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5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5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5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5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5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5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5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5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5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5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5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5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5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5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5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5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5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5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5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5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4.4" thickBot="1" x14ac:dyDescent="0.3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5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Yake, Adam</cp:lastModifiedBy>
  <cp:lastPrinted>2013-07-08T13:20:55Z</cp:lastPrinted>
  <dcterms:created xsi:type="dcterms:W3CDTF">2008-03-11T20:46:20Z</dcterms:created>
  <dcterms:modified xsi:type="dcterms:W3CDTF">2026-06-08T12:14:37Z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