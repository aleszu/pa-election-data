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C93999F1-2285-4506-8610-6C5EF26C24EB}" xr6:coauthVersionLast="47" xr6:coauthVersionMax="47" xr10:uidLastSave="{00000000-0000-0000-0000-000000000000}"/>
  <bookViews>
    <workbookView xWindow="-28920" yWindow="-6885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<sst xmlns="http://schemas.openxmlformats.org/spreadsheetml/2006/main" count="1139" uniqueCount="131">
  <si>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</si>
  <si>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</si>
  <si>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</si>
  <si>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</si>
  <si>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</si>
  <si>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</si>
  <si>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</si>
  <si>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</si>
  <si>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</si>
  <si>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</si>
  <si>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</si>
  <si>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</si>
  <si>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</si>
  <si>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</si>
  <si>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</si>
  <si>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</si>
  <si>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</si>
  <si>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</si>
  <si>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</si>
  <si>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</si>
  <si>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</si>
  <si>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</si>
  <si>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</si>
  <si>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</si>
  <si>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</si>
  <si>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</si>
  <si>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</si>
  <si>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</si>
  <si>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</si>
  <si>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</si>
  <si>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</si>
  <si>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</si>
  <si>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</si>
  <si>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</si>
  <si>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</si>
  <si>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</si>
  <si>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</si>
  <si>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</si>
  <si>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</si>
  <si>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</si>
  <si>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</si>
  <si>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</si>
  <si>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</si>
  <si>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</si>
  <si>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</si>
  <si>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</si>
  <si>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</si>
  <si>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</si>
  <si>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</si>
  <si>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</si>
  <si>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</si>
  <si>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</si>
  <si>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</si>
  <si>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</si>
  <si>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</si>
  <si>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</si>
  <si>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</si>
  <si>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</si>
  <si>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</si>
  <si>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</si>
  <si>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</si>
  <si>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</si>
  <si>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</si>
  <si>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</si>
  <si>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</si>
  <si>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</si>
  <si>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</si>
  <si>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</si>
  <si>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</si>
  <si>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</si>
  <si>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</si>
  <si>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</si>
  <si>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</si>
  <si>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</si>
  <si>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</si>
  <si>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</si>
  <si>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</si>
  <si>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</si>
  <si>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</si>
  <si>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</si>
  <si>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</si>
  <si>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</si>
  <si>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</si>
  <si>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</si>
  <si>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</si>
  <si>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</si>
  <si>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</si>
  <si>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</si>
  <si>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</si>
  <si>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</si>
  <si>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</si>
  <si>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</si>
  <si>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</si>
  <si>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</si>
  <si>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</si>
  <si>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</si>
  <si>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</si>
  <si>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</si>
  <si>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</si>
  <si>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</si>
  <si>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</si>
  <si>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</si>
  <si>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</si>
  <si>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</si>
  <si>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</si>
  <si>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</si>
  <si>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</si>
  <si>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</si>
  <si>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</si>
  <si>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</si>
  <si>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</si>
  <si>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</si>
  <si>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</si>
  <si>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</si>
  <si>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</si>
  <si>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</si>
  <si>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</si>
  <si>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</si>
  <si>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</si>
  <si>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</si>
  <si>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</si>
  <si>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</si>
  <si>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</si>
  <si>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</si>
  <si>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</si>
  <si>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</si>
  <si>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</si>
  <si>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</si>
  <si>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</si>
  <si>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06/29/2026</t>
  </si>
  <si>
    <t>Week Of 06-22-2026 to 06-29-2026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</si>
</sst>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1" sqref="L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19183</v>
      </c>
      <c r="D3"/>
      <c r="E3">
        <v>44018</v>
      </c>
      <c r="F3"/>
      <c r="G3">
        <v>10526</v>
      </c>
      <c r="H3"/>
      <c r="I3">
        <v>2797</v>
      </c>
      <c r="K3" s="10">
        <f t="shared" ref="K3:K34" si="0">SUM(C3+E3+G3+I3)</f>
        <v>76524</v>
      </c>
    </row>
    <row r="4" spans="1:12" x14ac:dyDescent="0.25">
      <c r="A4" t="s">
        <v>2</v>
      </c>
      <c r="B4" s="1">
        <v>2291</v>
      </c>
      <c r="C4">
        <v>503291</v>
      </c>
      <c r="D4"/>
      <c r="E4">
        <v>263829</v>
      </c>
      <c r="F4"/>
      <c r="G4">
        <v>112957</v>
      </c>
      <c r="H4"/>
      <c r="I4">
        <v>36947</v>
      </c>
      <c r="K4" s="10">
        <f t="shared" si="0"/>
        <v>917024</v>
      </c>
    </row>
    <row r="5" spans="1:12" x14ac:dyDescent="0.25">
      <c r="A5" t="s">
        <v>3</v>
      </c>
      <c r="B5" s="1">
        <v>2292</v>
      </c>
      <c r="C5">
        <v>10659</v>
      </c>
      <c r="D5"/>
      <c r="E5">
        <v>27621</v>
      </c>
      <c r="F5"/>
      <c r="G5">
        <v>3683</v>
      </c>
      <c r="H5"/>
      <c r="I5">
        <v>1582</v>
      </c>
      <c r="K5" s="10">
        <f t="shared" si="0"/>
        <v>43545</v>
      </c>
    </row>
    <row r="6" spans="1:12" x14ac:dyDescent="0.25">
      <c r="A6" t="s">
        <v>4</v>
      </c>
      <c r="B6" s="1">
        <v>2293</v>
      </c>
      <c r="C6">
        <v>45804</v>
      </c>
      <c r="D6"/>
      <c r="E6">
        <v>51897</v>
      </c>
      <c r="F6"/>
      <c r="G6">
        <v>11728</v>
      </c>
      <c r="H6"/>
      <c r="I6">
        <v>4725</v>
      </c>
      <c r="K6" s="10">
        <f t="shared" si="0"/>
        <v>114154</v>
      </c>
    </row>
    <row r="7" spans="1:12" x14ac:dyDescent="0.25">
      <c r="A7" t="s">
        <v>5</v>
      </c>
      <c r="B7" s="1">
        <v>2294</v>
      </c>
      <c r="C7">
        <v>5284</v>
      </c>
      <c r="D7"/>
      <c r="E7">
        <v>24578</v>
      </c>
      <c r="F7"/>
      <c r="G7">
        <v>2297</v>
      </c>
      <c r="H7"/>
      <c r="I7">
        <v>891</v>
      </c>
      <c r="K7" s="10">
        <f t="shared" si="0"/>
        <v>33050</v>
      </c>
    </row>
    <row r="8" spans="1:12" x14ac:dyDescent="0.25">
      <c r="A8" t="s">
        <v>6</v>
      </c>
      <c r="B8" s="1">
        <v>2295</v>
      </c>
      <c r="C8">
        <v>104280</v>
      </c>
      <c r="D8"/>
      <c r="E8">
        <v>118122</v>
      </c>
      <c r="F8"/>
      <c r="G8">
        <v>40831</v>
      </c>
      <c r="H8"/>
      <c r="I8">
        <v>10405</v>
      </c>
      <c r="K8" s="10">
        <f t="shared" si="0"/>
        <v>273638</v>
      </c>
    </row>
    <row r="9" spans="1:12" x14ac:dyDescent="0.25">
      <c r="A9" t="s">
        <v>7</v>
      </c>
      <c r="B9" s="1">
        <v>2296</v>
      </c>
      <c r="C9">
        <v>19762</v>
      </c>
      <c r="D9"/>
      <c r="E9">
        <v>50656</v>
      </c>
      <c r="F9"/>
      <c r="G9">
        <v>8402</v>
      </c>
      <c r="H9"/>
      <c r="I9">
        <v>2713</v>
      </c>
      <c r="K9" s="10">
        <f t="shared" si="0"/>
        <v>81533</v>
      </c>
    </row>
    <row r="10" spans="1:12" x14ac:dyDescent="0.25">
      <c r="A10" t="s">
        <v>8</v>
      </c>
      <c r="B10" s="1">
        <v>2297</v>
      </c>
      <c r="C10">
        <v>7811</v>
      </c>
      <c r="D10"/>
      <c r="E10">
        <v>25643</v>
      </c>
      <c r="F10"/>
      <c r="G10">
        <v>3849</v>
      </c>
      <c r="H10"/>
      <c r="I10">
        <v>1527</v>
      </c>
      <c r="K10" s="10">
        <f t="shared" si="0"/>
        <v>38830</v>
      </c>
    </row>
    <row r="11" spans="1:12" x14ac:dyDescent="0.25">
      <c r="A11" t="s">
        <v>9</v>
      </c>
      <c r="B11" s="1">
        <v>2298</v>
      </c>
      <c r="C11">
        <v>193893</v>
      </c>
      <c r="D11"/>
      <c r="E11">
        <v>202275</v>
      </c>
      <c r="F11"/>
      <c r="G11">
        <v>69610</v>
      </c>
      <c r="H11"/>
      <c r="I11">
        <v>18396</v>
      </c>
      <c r="K11" s="10">
        <f t="shared" si="0"/>
        <v>484174</v>
      </c>
    </row>
    <row r="12" spans="1:12" x14ac:dyDescent="0.25">
      <c r="A12" t="s">
        <v>10</v>
      </c>
      <c r="B12" s="1">
        <v>2299</v>
      </c>
      <c r="C12">
        <v>39069</v>
      </c>
      <c r="D12"/>
      <c r="E12">
        <v>82797</v>
      </c>
      <c r="F12"/>
      <c r="G12">
        <v>16171</v>
      </c>
      <c r="H12"/>
      <c r="I12">
        <v>5155</v>
      </c>
      <c r="K12" s="10">
        <f t="shared" si="0"/>
        <v>143192</v>
      </c>
    </row>
    <row r="13" spans="1:12" x14ac:dyDescent="0.25">
      <c r="A13" t="s">
        <v>11</v>
      </c>
      <c r="B13" s="1">
        <v>2300</v>
      </c>
      <c r="C13">
        <v>29461</v>
      </c>
      <c r="D13"/>
      <c r="E13">
        <v>46545</v>
      </c>
      <c r="F13"/>
      <c r="G13">
        <v>7811</v>
      </c>
      <c r="H13"/>
      <c r="I13">
        <v>2127</v>
      </c>
      <c r="K13" s="10">
        <f t="shared" si="0"/>
        <v>85944</v>
      </c>
    </row>
    <row r="14" spans="1:12" x14ac:dyDescent="0.25">
      <c r="A14" t="s">
        <v>12</v>
      </c>
      <c r="B14" s="1">
        <v>2301</v>
      </c>
      <c r="C14">
        <v>664</v>
      </c>
      <c r="D14"/>
      <c r="E14">
        <v>1835</v>
      </c>
      <c r="F14"/>
      <c r="G14">
        <v>252</v>
      </c>
      <c r="H14"/>
      <c r="I14">
        <v>123</v>
      </c>
      <c r="K14" s="10">
        <f t="shared" si="0"/>
        <v>2874</v>
      </c>
    </row>
    <row r="15" spans="1:12" x14ac:dyDescent="0.25">
      <c r="A15" t="s">
        <v>13</v>
      </c>
      <c r="B15" s="1">
        <v>2302</v>
      </c>
      <c r="C15">
        <v>14122</v>
      </c>
      <c r="D15"/>
      <c r="E15">
        <v>23909</v>
      </c>
      <c r="F15"/>
      <c r="G15">
        <v>5792</v>
      </c>
      <c r="H15"/>
      <c r="I15">
        <v>1926</v>
      </c>
      <c r="K15" s="10">
        <f t="shared" si="0"/>
        <v>45749</v>
      </c>
    </row>
    <row r="16" spans="1:12" x14ac:dyDescent="0.25">
      <c r="A16" t="s">
        <v>14</v>
      </c>
      <c r="B16" s="1">
        <v>2303</v>
      </c>
      <c r="C16">
        <v>41513</v>
      </c>
      <c r="D16"/>
      <c r="E16">
        <v>41934</v>
      </c>
      <c r="F16"/>
      <c r="G16">
        <v>16082</v>
      </c>
      <c r="H16"/>
      <c r="I16">
        <v>2692</v>
      </c>
      <c r="K16" s="10">
        <f t="shared" si="0"/>
        <v>102221</v>
      </c>
    </row>
    <row r="17" spans="1:11" x14ac:dyDescent="0.25">
      <c r="A17" t="s">
        <v>15</v>
      </c>
      <c r="B17" s="1">
        <v>2304</v>
      </c>
      <c r="C17">
        <v>160484</v>
      </c>
      <c r="D17"/>
      <c r="E17">
        <v>152013</v>
      </c>
      <c r="F17"/>
      <c r="G17">
        <v>58168</v>
      </c>
      <c r="H17"/>
      <c r="I17">
        <v>17995</v>
      </c>
      <c r="K17" s="10">
        <f t="shared" si="0"/>
        <v>388660</v>
      </c>
    </row>
    <row r="18" spans="1:11" x14ac:dyDescent="0.25">
      <c r="A18" t="s">
        <v>16</v>
      </c>
      <c r="B18" s="1">
        <v>2305</v>
      </c>
      <c r="C18">
        <v>5066</v>
      </c>
      <c r="D18"/>
      <c r="E18">
        <v>15566</v>
      </c>
      <c r="F18"/>
      <c r="G18">
        <v>2072</v>
      </c>
      <c r="H18"/>
      <c r="I18">
        <v>646</v>
      </c>
      <c r="K18" s="10">
        <f t="shared" si="0"/>
        <v>23350</v>
      </c>
    </row>
    <row r="19" spans="1:11" x14ac:dyDescent="0.25">
      <c r="A19" t="s">
        <v>17</v>
      </c>
      <c r="B19" s="1">
        <v>2306</v>
      </c>
      <c r="C19">
        <v>12048</v>
      </c>
      <c r="D19"/>
      <c r="E19">
        <v>31425</v>
      </c>
      <c r="F19"/>
      <c r="G19">
        <v>4288</v>
      </c>
      <c r="H19"/>
      <c r="I19">
        <v>1790</v>
      </c>
      <c r="K19" s="10">
        <f t="shared" si="0"/>
        <v>49551</v>
      </c>
    </row>
    <row r="20" spans="1:11" x14ac:dyDescent="0.25">
      <c r="A20" t="s">
        <v>18</v>
      </c>
      <c r="B20" s="1">
        <v>2307</v>
      </c>
      <c r="C20">
        <v>6064</v>
      </c>
      <c r="D20"/>
      <c r="E20">
        <v>13300</v>
      </c>
      <c r="F20"/>
      <c r="G20">
        <v>2401</v>
      </c>
      <c r="H20"/>
      <c r="I20">
        <v>742</v>
      </c>
      <c r="K20" s="10">
        <f t="shared" si="0"/>
        <v>22507</v>
      </c>
    </row>
    <row r="21" spans="1:11" x14ac:dyDescent="0.25">
      <c r="A21" t="s">
        <v>19</v>
      </c>
      <c r="B21" s="1">
        <v>2308</v>
      </c>
      <c r="C21">
        <v>11808</v>
      </c>
      <c r="D21"/>
      <c r="E21">
        <v>22445</v>
      </c>
      <c r="F21"/>
      <c r="G21">
        <v>4841</v>
      </c>
      <c r="H21"/>
      <c r="I21">
        <v>1487</v>
      </c>
      <c r="K21" s="10">
        <f t="shared" si="0"/>
        <v>40581</v>
      </c>
    </row>
    <row r="22" spans="1:11" x14ac:dyDescent="0.25">
      <c r="A22" t="s">
        <v>20</v>
      </c>
      <c r="B22" s="1">
        <v>2309</v>
      </c>
      <c r="C22">
        <v>14459</v>
      </c>
      <c r="D22"/>
      <c r="E22">
        <v>31885</v>
      </c>
      <c r="F22"/>
      <c r="G22">
        <v>4934</v>
      </c>
      <c r="H22"/>
      <c r="I22">
        <v>1840</v>
      </c>
      <c r="K22" s="10">
        <f t="shared" si="0"/>
        <v>53118</v>
      </c>
    </row>
    <row r="23" spans="1:11" x14ac:dyDescent="0.25">
      <c r="A23" t="s">
        <v>21</v>
      </c>
      <c r="B23" s="1">
        <v>2310</v>
      </c>
      <c r="C23">
        <v>61378</v>
      </c>
      <c r="D23"/>
      <c r="E23">
        <v>88377</v>
      </c>
      <c r="F23"/>
      <c r="G23">
        <v>26705</v>
      </c>
      <c r="H23"/>
      <c r="I23">
        <v>6501</v>
      </c>
      <c r="K23" s="10">
        <f t="shared" si="0"/>
        <v>182961</v>
      </c>
    </row>
    <row r="24" spans="1:11" x14ac:dyDescent="0.25">
      <c r="A24" t="s">
        <v>22</v>
      </c>
      <c r="B24" s="1">
        <v>2311</v>
      </c>
      <c r="C24">
        <v>86022</v>
      </c>
      <c r="D24"/>
      <c r="E24">
        <v>76123</v>
      </c>
      <c r="F24"/>
      <c r="G24">
        <v>30674</v>
      </c>
      <c r="H24"/>
      <c r="I24">
        <v>7239</v>
      </c>
      <c r="K24" s="10">
        <f t="shared" si="0"/>
        <v>200058</v>
      </c>
    </row>
    <row r="25" spans="1:11" x14ac:dyDescent="0.25">
      <c r="A25" t="s">
        <v>23</v>
      </c>
      <c r="B25" s="1">
        <v>2312</v>
      </c>
      <c r="C25">
        <v>202556</v>
      </c>
      <c r="D25"/>
      <c r="E25">
        <v>143184</v>
      </c>
      <c r="F25"/>
      <c r="G25">
        <v>48743</v>
      </c>
      <c r="H25"/>
      <c r="I25">
        <v>15719</v>
      </c>
      <c r="K25" s="10">
        <f t="shared" si="0"/>
        <v>410202</v>
      </c>
    </row>
    <row r="26" spans="1:11" x14ac:dyDescent="0.25">
      <c r="A26" t="s">
        <v>24</v>
      </c>
      <c r="B26" s="1">
        <v>2313</v>
      </c>
      <c r="C26">
        <v>5799</v>
      </c>
      <c r="D26"/>
      <c r="E26">
        <v>12137</v>
      </c>
      <c r="F26"/>
      <c r="G26">
        <v>1767</v>
      </c>
      <c r="H26"/>
      <c r="I26">
        <v>786</v>
      </c>
      <c r="K26" s="10">
        <f t="shared" si="0"/>
        <v>20489</v>
      </c>
    </row>
    <row r="27" spans="1:11" x14ac:dyDescent="0.25">
      <c r="A27" t="s">
        <v>25</v>
      </c>
      <c r="B27" s="1">
        <v>2314</v>
      </c>
      <c r="C27">
        <v>76543</v>
      </c>
      <c r="D27"/>
      <c r="E27">
        <v>70982</v>
      </c>
      <c r="F27"/>
      <c r="G27">
        <v>20755</v>
      </c>
      <c r="H27"/>
      <c r="I27">
        <v>6672</v>
      </c>
      <c r="K27" s="10">
        <f t="shared" si="0"/>
        <v>174952</v>
      </c>
    </row>
    <row r="28" spans="1:11" x14ac:dyDescent="0.25">
      <c r="A28" t="s">
        <v>26</v>
      </c>
      <c r="B28" s="1">
        <v>2315</v>
      </c>
      <c r="C28">
        <v>29570</v>
      </c>
      <c r="D28"/>
      <c r="E28">
        <v>41321</v>
      </c>
      <c r="F28"/>
      <c r="G28">
        <v>6649</v>
      </c>
      <c r="H28"/>
      <c r="I28">
        <v>2069</v>
      </c>
      <c r="K28" s="10">
        <f t="shared" si="0"/>
        <v>79609</v>
      </c>
    </row>
    <row r="29" spans="1:11" x14ac:dyDescent="0.25">
      <c r="A29" t="s">
        <v>27</v>
      </c>
      <c r="B29" s="1">
        <v>2316</v>
      </c>
      <c r="C29">
        <v>774</v>
      </c>
      <c r="D29"/>
      <c r="E29">
        <v>2041</v>
      </c>
      <c r="F29"/>
      <c r="G29">
        <v>273</v>
      </c>
      <c r="H29"/>
      <c r="I29">
        <v>123</v>
      </c>
      <c r="K29" s="10">
        <f t="shared" si="0"/>
        <v>3211</v>
      </c>
    </row>
    <row r="30" spans="1:11" x14ac:dyDescent="0.25">
      <c r="A30" t="s">
        <v>28</v>
      </c>
      <c r="B30" s="1">
        <v>2317</v>
      </c>
      <c r="C30">
        <v>23475</v>
      </c>
      <c r="D30"/>
      <c r="E30">
        <v>64410</v>
      </c>
      <c r="F30"/>
      <c r="G30">
        <v>13882</v>
      </c>
      <c r="H30"/>
      <c r="I30">
        <v>3418</v>
      </c>
      <c r="K30" s="10">
        <f t="shared" si="0"/>
        <v>105185</v>
      </c>
    </row>
    <row r="31" spans="1:11" x14ac:dyDescent="0.25">
      <c r="A31" t="s">
        <v>29</v>
      </c>
      <c r="B31" s="1">
        <v>2318</v>
      </c>
      <c r="C31">
        <v>1475</v>
      </c>
      <c r="D31"/>
      <c r="E31">
        <v>7492</v>
      </c>
      <c r="F31"/>
      <c r="G31">
        <v>899</v>
      </c>
      <c r="H31"/>
      <c r="I31">
        <v>266</v>
      </c>
      <c r="K31" s="10">
        <f t="shared" si="0"/>
        <v>10132</v>
      </c>
    </row>
    <row r="32" spans="1:11" x14ac:dyDescent="0.25">
      <c r="A32" t="s">
        <v>30</v>
      </c>
      <c r="B32" s="1">
        <v>2319</v>
      </c>
      <c r="C32">
        <v>7398</v>
      </c>
      <c r="D32"/>
      <c r="E32">
        <v>12154</v>
      </c>
      <c r="F32"/>
      <c r="G32">
        <v>1641</v>
      </c>
      <c r="H32"/>
      <c r="I32">
        <v>605</v>
      </c>
      <c r="K32" s="10">
        <f t="shared" si="0"/>
        <v>21798</v>
      </c>
    </row>
    <row r="33" spans="1:11" x14ac:dyDescent="0.25">
      <c r="A33" t="s">
        <v>31</v>
      </c>
      <c r="B33" s="1">
        <v>2320</v>
      </c>
      <c r="C33">
        <v>6021</v>
      </c>
      <c r="D33"/>
      <c r="E33">
        <v>18894</v>
      </c>
      <c r="F33"/>
      <c r="G33">
        <v>2359</v>
      </c>
      <c r="H33"/>
      <c r="I33">
        <v>597</v>
      </c>
      <c r="K33" s="10">
        <f t="shared" si="0"/>
        <v>27871</v>
      </c>
    </row>
    <row r="34" spans="1:11" x14ac:dyDescent="0.25">
      <c r="A34" t="s">
        <v>32</v>
      </c>
      <c r="B34" s="1">
        <v>2321</v>
      </c>
      <c r="C34">
        <v>13944</v>
      </c>
      <c r="D34"/>
      <c r="E34">
        <v>28891</v>
      </c>
      <c r="F34"/>
      <c r="G34">
        <v>4642</v>
      </c>
      <c r="H34"/>
      <c r="I34">
        <v>1683</v>
      </c>
      <c r="K34" s="10">
        <f t="shared" si="0"/>
        <v>49160</v>
      </c>
    </row>
    <row r="35" spans="1:11" x14ac:dyDescent="0.25">
      <c r="A35" t="s">
        <v>33</v>
      </c>
      <c r="B35" s="1">
        <v>2322</v>
      </c>
      <c r="C35">
        <v>5432</v>
      </c>
      <c r="D35"/>
      <c r="E35">
        <v>19457</v>
      </c>
      <c r="F35"/>
      <c r="G35">
        <v>2279</v>
      </c>
      <c r="H35"/>
      <c r="I35">
        <v>929</v>
      </c>
      <c r="K35" s="10">
        <f t="shared" ref="K35:K69" si="1">SUM(C35+E35+G35+I35)</f>
        <v>28097</v>
      </c>
    </row>
    <row r="36" spans="1:11" x14ac:dyDescent="0.25">
      <c r="A36" t="s">
        <v>34</v>
      </c>
      <c r="B36" s="1">
        <v>2323</v>
      </c>
      <c r="C36">
        <v>2546</v>
      </c>
      <c r="D36"/>
      <c r="E36">
        <v>10015</v>
      </c>
      <c r="F36"/>
      <c r="G36">
        <v>1172</v>
      </c>
      <c r="H36"/>
      <c r="I36">
        <v>333</v>
      </c>
      <c r="K36" s="10">
        <f t="shared" si="1"/>
        <v>14066</v>
      </c>
    </row>
    <row r="37" spans="1:11" x14ac:dyDescent="0.25">
      <c r="A37" t="s">
        <v>35</v>
      </c>
      <c r="B37" s="1">
        <v>2324</v>
      </c>
      <c r="C37">
        <v>76430</v>
      </c>
      <c r="D37"/>
      <c r="E37">
        <v>52264</v>
      </c>
      <c r="F37"/>
      <c r="G37">
        <v>17129</v>
      </c>
      <c r="H37"/>
      <c r="I37">
        <v>3478</v>
      </c>
      <c r="K37" s="10">
        <f t="shared" si="1"/>
        <v>149301</v>
      </c>
    </row>
    <row r="38" spans="1:11" x14ac:dyDescent="0.25">
      <c r="A38" t="s">
        <v>36</v>
      </c>
      <c r="B38" s="1">
        <v>2325</v>
      </c>
      <c r="C38">
        <v>112625</v>
      </c>
      <c r="D38"/>
      <c r="E38">
        <v>183843</v>
      </c>
      <c r="F38"/>
      <c r="G38">
        <v>51039</v>
      </c>
      <c r="H38"/>
      <c r="I38">
        <v>15971</v>
      </c>
      <c r="K38" s="10">
        <f t="shared" si="1"/>
        <v>363478</v>
      </c>
    </row>
    <row r="39" spans="1:11" x14ac:dyDescent="0.25">
      <c r="A39" t="s">
        <v>37</v>
      </c>
      <c r="B39" s="1">
        <v>2326</v>
      </c>
      <c r="C39">
        <v>19705</v>
      </c>
      <c r="D39"/>
      <c r="E39">
        <v>30157</v>
      </c>
      <c r="F39"/>
      <c r="G39">
        <v>5601</v>
      </c>
      <c r="H39"/>
      <c r="I39">
        <v>1894</v>
      </c>
      <c r="K39" s="10">
        <f t="shared" si="1"/>
        <v>57357</v>
      </c>
    </row>
    <row r="40" spans="1:11" x14ac:dyDescent="0.25">
      <c r="A40" t="s">
        <v>38</v>
      </c>
      <c r="B40" s="1">
        <v>2327</v>
      </c>
      <c r="C40">
        <v>25356</v>
      </c>
      <c r="D40"/>
      <c r="E40">
        <v>52626</v>
      </c>
      <c r="F40"/>
      <c r="G40">
        <v>12179</v>
      </c>
      <c r="H40"/>
      <c r="I40">
        <v>3691</v>
      </c>
      <c r="K40" s="10">
        <f t="shared" si="1"/>
        <v>93852</v>
      </c>
    </row>
    <row r="41" spans="1:11" x14ac:dyDescent="0.25">
      <c r="A41" t="s">
        <v>39</v>
      </c>
      <c r="B41" s="1">
        <v>2328</v>
      </c>
      <c r="C41">
        <v>111228</v>
      </c>
      <c r="D41"/>
      <c r="E41">
        <v>89603</v>
      </c>
      <c r="F41"/>
      <c r="G41">
        <v>45279</v>
      </c>
      <c r="H41"/>
      <c r="I41">
        <v>7313</v>
      </c>
      <c r="K41" s="10">
        <f t="shared" si="1"/>
        <v>253423</v>
      </c>
    </row>
    <row r="42" spans="1:11" x14ac:dyDescent="0.25">
      <c r="A42" t="s">
        <v>40</v>
      </c>
      <c r="B42" s="1">
        <v>2329</v>
      </c>
      <c r="C42">
        <v>84397</v>
      </c>
      <c r="D42"/>
      <c r="E42">
        <v>91173</v>
      </c>
      <c r="F42"/>
      <c r="G42">
        <v>25487</v>
      </c>
      <c r="H42"/>
      <c r="I42">
        <v>5666</v>
      </c>
      <c r="K42" s="10">
        <f t="shared" si="1"/>
        <v>206723</v>
      </c>
    </row>
    <row r="43" spans="1:11" x14ac:dyDescent="0.25">
      <c r="A43" t="s">
        <v>41</v>
      </c>
      <c r="B43" s="1">
        <v>2330</v>
      </c>
      <c r="C43">
        <v>18198</v>
      </c>
      <c r="D43"/>
      <c r="E43">
        <v>43856</v>
      </c>
      <c r="F43"/>
      <c r="G43">
        <v>7872</v>
      </c>
      <c r="H43"/>
      <c r="I43">
        <v>2728</v>
      </c>
      <c r="K43" s="10">
        <f t="shared" si="1"/>
        <v>72654</v>
      </c>
    </row>
    <row r="44" spans="1:11" x14ac:dyDescent="0.25">
      <c r="A44" t="s">
        <v>91</v>
      </c>
      <c r="B44" s="1">
        <v>2331</v>
      </c>
      <c r="C44">
        <v>5284</v>
      </c>
      <c r="D44"/>
      <c r="E44">
        <v>16166</v>
      </c>
      <c r="F44"/>
      <c r="G44">
        <v>2698</v>
      </c>
      <c r="H44"/>
      <c r="I44">
        <v>1026</v>
      </c>
      <c r="K44" s="10">
        <f t="shared" si="1"/>
        <v>25174</v>
      </c>
    </row>
    <row r="45" spans="1:11" x14ac:dyDescent="0.25">
      <c r="A45" t="s">
        <v>43</v>
      </c>
      <c r="B45" s="1">
        <v>2332</v>
      </c>
      <c r="C45">
        <v>23140</v>
      </c>
      <c r="D45"/>
      <c r="E45">
        <v>38302</v>
      </c>
      <c r="F45"/>
      <c r="G45">
        <v>8392</v>
      </c>
      <c r="H45"/>
      <c r="I45">
        <v>2029</v>
      </c>
      <c r="K45" s="10">
        <f t="shared" si="1"/>
        <v>71863</v>
      </c>
    </row>
    <row r="46" spans="1:11" x14ac:dyDescent="0.25">
      <c r="A46" t="s">
        <v>44</v>
      </c>
      <c r="B46" s="1">
        <v>2333</v>
      </c>
      <c r="C46">
        <v>5358</v>
      </c>
      <c r="D46"/>
      <c r="E46">
        <v>18631</v>
      </c>
      <c r="F46"/>
      <c r="G46">
        <v>2506</v>
      </c>
      <c r="H46"/>
      <c r="I46">
        <v>620</v>
      </c>
      <c r="K46" s="10">
        <f t="shared" si="1"/>
        <v>27115</v>
      </c>
    </row>
    <row r="47" spans="1:11" x14ac:dyDescent="0.25">
      <c r="A47" t="s">
        <v>45</v>
      </c>
      <c r="B47" s="1">
        <v>2334</v>
      </c>
      <c r="C47">
        <v>48394</v>
      </c>
      <c r="D47"/>
      <c r="E47">
        <v>43256</v>
      </c>
      <c r="F47"/>
      <c r="G47">
        <v>20425</v>
      </c>
      <c r="H47"/>
      <c r="I47">
        <v>5003</v>
      </c>
      <c r="K47" s="10">
        <f t="shared" si="1"/>
        <v>117078</v>
      </c>
    </row>
    <row r="48" spans="1:11" x14ac:dyDescent="0.25">
      <c r="A48" t="s">
        <v>46</v>
      </c>
      <c r="B48" s="1">
        <v>2335</v>
      </c>
      <c r="C48">
        <v>304746</v>
      </c>
      <c r="D48"/>
      <c r="E48">
        <v>207836</v>
      </c>
      <c r="F48"/>
      <c r="G48">
        <v>83569</v>
      </c>
      <c r="H48"/>
      <c r="I48">
        <v>26082</v>
      </c>
      <c r="K48" s="10">
        <f t="shared" si="1"/>
        <v>622233</v>
      </c>
    </row>
    <row r="49" spans="1:11" x14ac:dyDescent="0.25">
      <c r="A49" t="s">
        <v>47</v>
      </c>
      <c r="B49" s="1">
        <v>2336</v>
      </c>
      <c r="C49">
        <v>3761</v>
      </c>
      <c r="D49"/>
      <c r="E49">
        <v>6548</v>
      </c>
      <c r="F49"/>
      <c r="G49">
        <v>1607</v>
      </c>
      <c r="H49"/>
      <c r="I49">
        <v>411</v>
      </c>
      <c r="K49" s="10">
        <f t="shared" si="1"/>
        <v>12327</v>
      </c>
    </row>
    <row r="50" spans="1:11" x14ac:dyDescent="0.25">
      <c r="A50" t="s">
        <v>48</v>
      </c>
      <c r="B50" s="1">
        <v>2337</v>
      </c>
      <c r="C50">
        <v>95900</v>
      </c>
      <c r="D50"/>
      <c r="E50">
        <v>86928</v>
      </c>
      <c r="F50"/>
      <c r="G50">
        <v>39493</v>
      </c>
      <c r="H50"/>
      <c r="I50">
        <v>9584</v>
      </c>
      <c r="K50" s="10">
        <f t="shared" si="1"/>
        <v>231905</v>
      </c>
    </row>
    <row r="51" spans="1:11" x14ac:dyDescent="0.25">
      <c r="A51" t="s">
        <v>49</v>
      </c>
      <c r="B51" s="1">
        <v>2338</v>
      </c>
      <c r="C51">
        <v>15337</v>
      </c>
      <c r="D51"/>
      <c r="E51">
        <v>31957</v>
      </c>
      <c r="F51"/>
      <c r="G51">
        <v>5796</v>
      </c>
      <c r="H51"/>
      <c r="I51">
        <v>2239</v>
      </c>
      <c r="K51" s="10">
        <f t="shared" si="1"/>
        <v>55329</v>
      </c>
    </row>
    <row r="52" spans="1:11" x14ac:dyDescent="0.25">
      <c r="A52" t="s">
        <v>50</v>
      </c>
      <c r="B52" s="1">
        <v>2339</v>
      </c>
      <c r="C52">
        <v>6011</v>
      </c>
      <c r="D52"/>
      <c r="E52">
        <v>21000</v>
      </c>
      <c r="F52"/>
      <c r="G52">
        <v>3395</v>
      </c>
      <c r="H52"/>
      <c r="I52">
        <v>850</v>
      </c>
      <c r="K52" s="10">
        <f t="shared" si="1"/>
        <v>31256</v>
      </c>
    </row>
    <row r="53" spans="1:11" x14ac:dyDescent="0.25">
      <c r="A53" t="s">
        <v>51</v>
      </c>
      <c r="B53" s="1">
        <v>2340</v>
      </c>
      <c r="C53">
        <v>775797</v>
      </c>
      <c r="D53"/>
      <c r="E53">
        <v>131392</v>
      </c>
      <c r="F53"/>
      <c r="G53">
        <v>149119</v>
      </c>
      <c r="H53"/>
      <c r="I53">
        <v>26324</v>
      </c>
      <c r="K53" s="10">
        <f t="shared" si="1"/>
        <v>1082632</v>
      </c>
    </row>
    <row r="54" spans="1:11" x14ac:dyDescent="0.25">
      <c r="A54" t="s">
        <v>52</v>
      </c>
      <c r="B54" s="1">
        <v>2341</v>
      </c>
      <c r="C54">
        <v>13563</v>
      </c>
      <c r="D54"/>
      <c r="E54">
        <v>22992</v>
      </c>
      <c r="F54"/>
      <c r="G54">
        <v>8424</v>
      </c>
      <c r="H54"/>
      <c r="I54">
        <v>2151</v>
      </c>
      <c r="K54" s="10">
        <f t="shared" si="1"/>
        <v>47130</v>
      </c>
    </row>
    <row r="55" spans="1:11" x14ac:dyDescent="0.25">
      <c r="A55" t="s">
        <v>53</v>
      </c>
      <c r="B55" s="1">
        <v>2342</v>
      </c>
      <c r="C55">
        <v>1746</v>
      </c>
      <c r="D55"/>
      <c r="E55">
        <v>8017</v>
      </c>
      <c r="F55"/>
      <c r="G55">
        <v>995</v>
      </c>
      <c r="H55"/>
      <c r="I55">
        <v>273</v>
      </c>
      <c r="K55" s="10">
        <f t="shared" si="1"/>
        <v>11031</v>
      </c>
    </row>
    <row r="56" spans="1:11" x14ac:dyDescent="0.25">
      <c r="A56" t="s">
        <v>54</v>
      </c>
      <c r="B56" s="1">
        <v>2343</v>
      </c>
      <c r="C56">
        <v>25320</v>
      </c>
      <c r="D56"/>
      <c r="E56">
        <v>53155</v>
      </c>
      <c r="F56"/>
      <c r="G56">
        <v>9998</v>
      </c>
      <c r="H56"/>
      <c r="I56">
        <v>3774</v>
      </c>
      <c r="K56" s="10">
        <f t="shared" si="1"/>
        <v>92247</v>
      </c>
    </row>
    <row r="57" spans="1:11" x14ac:dyDescent="0.25">
      <c r="A57" t="s">
        <v>55</v>
      </c>
      <c r="B57" s="1">
        <v>2344</v>
      </c>
      <c r="C57">
        <v>4886</v>
      </c>
      <c r="D57"/>
      <c r="E57">
        <v>15962</v>
      </c>
      <c r="F57"/>
      <c r="G57">
        <v>2348</v>
      </c>
      <c r="H57"/>
      <c r="I57">
        <v>669</v>
      </c>
      <c r="K57" s="10">
        <f t="shared" si="1"/>
        <v>23865</v>
      </c>
    </row>
    <row r="58" spans="1:11" x14ac:dyDescent="0.25">
      <c r="A58" t="s">
        <v>56</v>
      </c>
      <c r="B58" s="1">
        <v>2345</v>
      </c>
      <c r="C58">
        <v>10495</v>
      </c>
      <c r="D58"/>
      <c r="E58">
        <v>32805</v>
      </c>
      <c r="F58"/>
      <c r="G58">
        <v>4360</v>
      </c>
      <c r="H58"/>
      <c r="I58">
        <v>762</v>
      </c>
      <c r="K58" s="10">
        <f t="shared" si="1"/>
        <v>48422</v>
      </c>
    </row>
    <row r="59" spans="1:11" x14ac:dyDescent="0.25">
      <c r="A59" t="s">
        <v>57</v>
      </c>
      <c r="B59" s="1">
        <v>2346</v>
      </c>
      <c r="C59">
        <v>1063</v>
      </c>
      <c r="D59"/>
      <c r="E59">
        <v>2848</v>
      </c>
      <c r="F59"/>
      <c r="G59">
        <v>376</v>
      </c>
      <c r="H59"/>
      <c r="I59">
        <v>161</v>
      </c>
      <c r="K59" s="10">
        <f t="shared" si="1"/>
        <v>4448</v>
      </c>
    </row>
    <row r="60" spans="1:11" x14ac:dyDescent="0.25">
      <c r="A60" t="s">
        <v>58</v>
      </c>
      <c r="B60" s="1">
        <v>2347</v>
      </c>
      <c r="C60">
        <v>6266</v>
      </c>
      <c r="D60"/>
      <c r="E60">
        <v>17550</v>
      </c>
      <c r="F60"/>
      <c r="G60">
        <v>2926</v>
      </c>
      <c r="H60"/>
      <c r="I60">
        <v>1156</v>
      </c>
      <c r="K60" s="10">
        <f t="shared" si="1"/>
        <v>27898</v>
      </c>
    </row>
    <row r="61" spans="1:11" x14ac:dyDescent="0.25">
      <c r="A61" t="s">
        <v>59</v>
      </c>
      <c r="B61" s="1">
        <v>2348</v>
      </c>
      <c r="C61">
        <v>4934</v>
      </c>
      <c r="D61"/>
      <c r="E61">
        <v>18116</v>
      </c>
      <c r="F61"/>
      <c r="G61">
        <v>2944</v>
      </c>
      <c r="H61"/>
      <c r="I61">
        <v>794</v>
      </c>
      <c r="K61" s="10">
        <f t="shared" si="1"/>
        <v>26788</v>
      </c>
    </row>
    <row r="62" spans="1:11" x14ac:dyDescent="0.25">
      <c r="A62" t="s">
        <v>60</v>
      </c>
      <c r="B62" s="1">
        <v>2349</v>
      </c>
      <c r="C62">
        <v>7772</v>
      </c>
      <c r="D62"/>
      <c r="E62">
        <v>14403</v>
      </c>
      <c r="F62"/>
      <c r="G62">
        <v>3219</v>
      </c>
      <c r="H62"/>
      <c r="I62">
        <v>981</v>
      </c>
      <c r="K62" s="10">
        <f t="shared" si="1"/>
        <v>26375</v>
      </c>
    </row>
    <row r="63" spans="1:11" x14ac:dyDescent="0.25">
      <c r="A63" t="s">
        <v>61</v>
      </c>
      <c r="B63" s="1">
        <v>2350</v>
      </c>
      <c r="C63">
        <v>8046</v>
      </c>
      <c r="D63"/>
      <c r="E63">
        <v>20138</v>
      </c>
      <c r="F63"/>
      <c r="G63">
        <v>3391</v>
      </c>
      <c r="H63"/>
      <c r="I63">
        <v>1216</v>
      </c>
      <c r="K63" s="10">
        <f t="shared" si="1"/>
        <v>32791</v>
      </c>
    </row>
    <row r="64" spans="1:11" x14ac:dyDescent="0.25">
      <c r="A64" t="s">
        <v>62</v>
      </c>
      <c r="B64" s="1">
        <v>2351</v>
      </c>
      <c r="C64">
        <v>6345</v>
      </c>
      <c r="D64"/>
      <c r="E64">
        <v>15251</v>
      </c>
      <c r="F64"/>
      <c r="G64">
        <v>2572</v>
      </c>
      <c r="H64"/>
      <c r="I64">
        <v>1255</v>
      </c>
      <c r="K64" s="10">
        <f t="shared" si="1"/>
        <v>25423</v>
      </c>
    </row>
    <row r="65" spans="1:11" x14ac:dyDescent="0.25">
      <c r="A65" t="s">
        <v>63</v>
      </c>
      <c r="B65" s="1">
        <v>2352</v>
      </c>
      <c r="C65">
        <v>52822</v>
      </c>
      <c r="D65"/>
      <c r="E65">
        <v>72924</v>
      </c>
      <c r="F65"/>
      <c r="G65">
        <v>15904</v>
      </c>
      <c r="H65"/>
      <c r="I65">
        <v>3788</v>
      </c>
      <c r="K65" s="10">
        <f t="shared" si="1"/>
        <v>145438</v>
      </c>
    </row>
    <row r="66" spans="1:11" x14ac:dyDescent="0.25">
      <c r="A66" t="s">
        <v>64</v>
      </c>
      <c r="B66" s="1">
        <v>2353</v>
      </c>
      <c r="C66">
        <v>8689</v>
      </c>
      <c r="D66"/>
      <c r="E66">
        <v>21720</v>
      </c>
      <c r="F66"/>
      <c r="G66">
        <v>5125</v>
      </c>
      <c r="H66"/>
      <c r="I66">
        <v>1051</v>
      </c>
      <c r="K66" s="10">
        <f t="shared" si="1"/>
        <v>36585</v>
      </c>
    </row>
    <row r="67" spans="1:11" x14ac:dyDescent="0.25">
      <c r="A67" t="s">
        <v>65</v>
      </c>
      <c r="B67" s="1">
        <v>2354</v>
      </c>
      <c r="C67">
        <v>87034</v>
      </c>
      <c r="D67"/>
      <c r="E67">
        <v>131048</v>
      </c>
      <c r="F67"/>
      <c r="G67">
        <v>23750</v>
      </c>
      <c r="H67"/>
      <c r="I67">
        <v>9222</v>
      </c>
      <c r="K67" s="10">
        <f t="shared" si="1"/>
        <v>251054</v>
      </c>
    </row>
    <row r="68" spans="1:11" x14ac:dyDescent="0.25">
      <c r="A68" t="s">
        <v>66</v>
      </c>
      <c r="B68" s="1">
        <v>2355</v>
      </c>
      <c r="C68">
        <v>4678</v>
      </c>
      <c r="D68"/>
      <c r="E68">
        <v>11351</v>
      </c>
      <c r="F68"/>
      <c r="G68">
        <v>1799</v>
      </c>
      <c r="H68"/>
      <c r="I68">
        <v>659</v>
      </c>
      <c r="K68" s="10">
        <f t="shared" si="1"/>
        <v>18487</v>
      </c>
    </row>
    <row r="69" spans="1:11" ht="13.8" thickBot="1" x14ac:dyDescent="0.3">
      <c r="A69" s="2" t="s">
        <v>67</v>
      </c>
      <c r="B69" s="5">
        <v>2356</v>
      </c>
      <c r="C69">
        <v>96300</v>
      </c>
      <c r="D69"/>
      <c r="E69">
        <v>168344</v>
      </c>
      <c r="F69"/>
      <c r="G69">
        <v>53274</v>
      </c>
      <c r="H69"/>
      <c r="I69">
        <v>8812</v>
      </c>
      <c r="J69" s="13"/>
      <c r="K69" s="10">
        <f t="shared" si="1"/>
        <v>326730</v>
      </c>
    </row>
    <row r="70" spans="1:11" ht="21.75" customHeight="1" x14ac:dyDescent="0.25">
      <c r="A70" s="6" t="s">
        <v>68</v>
      </c>
      <c r="C70" s="14">
        <f>SUM(C3:C69)</f>
        <v>3839284</v>
      </c>
      <c r="D70" s="14"/>
      <c r="E70" s="14">
        <f>SUM(E3:E69)</f>
        <v>3639933</v>
      </c>
      <c r="F70" s="14"/>
      <c r="G70" s="14">
        <f>SUM(G3:G69)</f>
        <v>1172126</v>
      </c>
      <c r="H70" s="14"/>
      <c r="I70" s="14">
        <f>SUM(I3:I69)</f>
        <v>315079</v>
      </c>
      <c r="J70" s="14"/>
      <c r="K70" s="44">
        <f>SUM(K3:K69)</f>
        <v>8966422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N21" sqref="N21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5</v>
      </c>
      <c r="C4" s="42">
        <v>2</v>
      </c>
      <c r="D4" s="42">
        <v>1</v>
      </c>
      <c r="E4" s="42">
        <v>1</v>
      </c>
      <c r="F4" s="42">
        <v>97</v>
      </c>
      <c r="G4" s="42">
        <v>129</v>
      </c>
      <c r="H4" s="42">
        <v>95</v>
      </c>
      <c r="I4" s="42">
        <v>135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72</v>
      </c>
      <c r="C5" s="42">
        <v>155</v>
      </c>
      <c r="D5" s="42">
        <v>74</v>
      </c>
      <c r="E5" s="42">
        <v>25</v>
      </c>
      <c r="F5" s="42">
        <v>1066</v>
      </c>
      <c r="G5" s="42">
        <v>1868</v>
      </c>
      <c r="H5" s="42">
        <v>1046</v>
      </c>
      <c r="I5" s="42">
        <v>507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1</v>
      </c>
      <c r="C6" s="42">
        <v>1</v>
      </c>
      <c r="D6" s="42">
        <v>0</v>
      </c>
      <c r="E6" s="42">
        <v>0</v>
      </c>
      <c r="F6" s="42">
        <v>31</v>
      </c>
      <c r="G6" s="42">
        <v>33</v>
      </c>
      <c r="H6" s="42">
        <v>84</v>
      </c>
      <c r="I6" s="42">
        <v>34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2</v>
      </c>
      <c r="C7" s="42">
        <v>2</v>
      </c>
      <c r="D7" s="42">
        <v>7</v>
      </c>
      <c r="E7" s="42">
        <v>3</v>
      </c>
      <c r="F7" s="42">
        <v>110</v>
      </c>
      <c r="G7" s="42">
        <v>159</v>
      </c>
      <c r="H7" s="42">
        <v>206</v>
      </c>
      <c r="I7" s="42">
        <v>82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0</v>
      </c>
      <c r="C8" s="42">
        <v>1</v>
      </c>
      <c r="D8" s="42">
        <v>1</v>
      </c>
      <c r="E8" s="42">
        <v>0</v>
      </c>
      <c r="F8" s="42">
        <v>17</v>
      </c>
      <c r="G8" s="42">
        <v>18</v>
      </c>
      <c r="H8" s="42">
        <v>23</v>
      </c>
      <c r="I8" s="42">
        <v>19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46</v>
      </c>
      <c r="C9" s="42">
        <v>59</v>
      </c>
      <c r="D9" s="42">
        <v>53</v>
      </c>
      <c r="E9" s="42">
        <v>36</v>
      </c>
      <c r="F9" s="42">
        <v>410</v>
      </c>
      <c r="G9" s="42">
        <v>604</v>
      </c>
      <c r="H9" s="42">
        <v>502</v>
      </c>
      <c r="I9" s="42">
        <v>396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5</v>
      </c>
      <c r="C10" s="42">
        <v>3</v>
      </c>
      <c r="D10" s="42">
        <v>3</v>
      </c>
      <c r="E10" s="42">
        <v>2</v>
      </c>
      <c r="F10" s="42">
        <v>85</v>
      </c>
      <c r="G10" s="42">
        <v>111</v>
      </c>
      <c r="H10" s="42">
        <v>80</v>
      </c>
      <c r="I10" s="42">
        <v>79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0</v>
      </c>
      <c r="C11" s="42">
        <v>3</v>
      </c>
      <c r="D11" s="42">
        <v>3</v>
      </c>
      <c r="E11" s="42">
        <v>0</v>
      </c>
      <c r="F11" s="42">
        <v>37</v>
      </c>
      <c r="G11" s="42">
        <v>44</v>
      </c>
      <c r="H11" s="42">
        <v>54</v>
      </c>
      <c r="I11" s="42">
        <v>64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19</v>
      </c>
      <c r="C12" s="42">
        <v>29</v>
      </c>
      <c r="D12" s="42">
        <v>19</v>
      </c>
      <c r="E12" s="42">
        <v>24</v>
      </c>
      <c r="F12" s="42">
        <v>819</v>
      </c>
      <c r="G12" s="42">
        <v>1342</v>
      </c>
      <c r="H12" s="42">
        <v>711</v>
      </c>
      <c r="I12" s="42">
        <v>748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1</v>
      </c>
      <c r="C13" s="42">
        <v>2</v>
      </c>
      <c r="D13" s="42">
        <v>2</v>
      </c>
      <c r="E13" s="42">
        <v>4</v>
      </c>
      <c r="F13" s="42">
        <v>171</v>
      </c>
      <c r="G13" s="42">
        <v>213</v>
      </c>
      <c r="H13" s="42">
        <v>132</v>
      </c>
      <c r="I13" s="42">
        <v>153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2</v>
      </c>
      <c r="C14" s="42">
        <v>0</v>
      </c>
      <c r="D14" s="42">
        <v>3</v>
      </c>
      <c r="E14" s="42">
        <v>0</v>
      </c>
      <c r="F14" s="42">
        <v>97</v>
      </c>
      <c r="G14" s="42">
        <v>81</v>
      </c>
      <c r="H14" s="42">
        <v>210</v>
      </c>
      <c r="I14" s="42">
        <v>81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1</v>
      </c>
      <c r="G15" s="42">
        <v>1</v>
      </c>
      <c r="H15" s="42">
        <v>7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12</v>
      </c>
      <c r="C16" s="42">
        <v>12</v>
      </c>
      <c r="D16" s="42">
        <v>14</v>
      </c>
      <c r="E16" s="42">
        <v>11</v>
      </c>
      <c r="F16" s="42">
        <v>47</v>
      </c>
      <c r="G16" s="42">
        <v>84</v>
      </c>
      <c r="H16" s="42">
        <v>71</v>
      </c>
      <c r="I16" s="42">
        <v>55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6</v>
      </c>
      <c r="C17" s="42">
        <v>4</v>
      </c>
      <c r="D17" s="42">
        <v>1</v>
      </c>
      <c r="E17" s="42">
        <v>2</v>
      </c>
      <c r="F17" s="42">
        <v>118</v>
      </c>
      <c r="G17" s="42">
        <v>164</v>
      </c>
      <c r="H17" s="42">
        <v>61</v>
      </c>
      <c r="I17" s="42">
        <v>90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25</v>
      </c>
      <c r="C18" s="42">
        <v>51</v>
      </c>
      <c r="D18" s="42">
        <v>13</v>
      </c>
      <c r="E18" s="42">
        <v>16</v>
      </c>
      <c r="F18" s="42">
        <v>607</v>
      </c>
      <c r="G18" s="42">
        <v>1044</v>
      </c>
      <c r="H18" s="42">
        <v>331</v>
      </c>
      <c r="I18" s="42">
        <v>519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0</v>
      </c>
      <c r="C19" s="42">
        <v>0</v>
      </c>
      <c r="D19" s="42">
        <v>0</v>
      </c>
      <c r="E19" s="42">
        <v>0</v>
      </c>
      <c r="F19" s="42">
        <v>11</v>
      </c>
      <c r="G19" s="42">
        <v>14</v>
      </c>
      <c r="H19" s="42">
        <v>18</v>
      </c>
      <c r="I19" s="42">
        <v>10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2</v>
      </c>
      <c r="C20" s="42">
        <v>3</v>
      </c>
      <c r="D20" s="42">
        <v>0</v>
      </c>
      <c r="E20" s="42">
        <v>2</v>
      </c>
      <c r="F20" s="42">
        <v>30</v>
      </c>
      <c r="G20" s="42">
        <v>43</v>
      </c>
      <c r="H20" s="42">
        <v>87</v>
      </c>
      <c r="I20" s="42">
        <v>55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1</v>
      </c>
      <c r="C21" s="42">
        <v>1</v>
      </c>
      <c r="D21" s="42">
        <v>0</v>
      </c>
      <c r="E21" s="42">
        <v>1</v>
      </c>
      <c r="F21" s="42">
        <v>22</v>
      </c>
      <c r="G21" s="42">
        <v>34</v>
      </c>
      <c r="H21" s="42">
        <v>29</v>
      </c>
      <c r="I21" s="42">
        <v>32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0</v>
      </c>
      <c r="C22" s="42">
        <v>1</v>
      </c>
      <c r="D22" s="42">
        <v>1</v>
      </c>
      <c r="E22" s="42">
        <v>1</v>
      </c>
      <c r="F22" s="42">
        <v>37</v>
      </c>
      <c r="G22" s="42">
        <v>47</v>
      </c>
      <c r="H22" s="42">
        <v>36</v>
      </c>
      <c r="I22" s="42">
        <v>30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3</v>
      </c>
      <c r="C23" s="42">
        <v>10</v>
      </c>
      <c r="D23" s="42">
        <v>7</v>
      </c>
      <c r="E23" s="42">
        <v>6</v>
      </c>
      <c r="F23" s="42">
        <v>47</v>
      </c>
      <c r="G23" s="42">
        <v>42</v>
      </c>
      <c r="H23" s="42">
        <v>56</v>
      </c>
      <c r="I23" s="42">
        <v>38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49</v>
      </c>
      <c r="C24" s="42">
        <v>88</v>
      </c>
      <c r="D24" s="42">
        <v>21</v>
      </c>
      <c r="E24" s="42">
        <v>45</v>
      </c>
      <c r="F24" s="42">
        <v>333</v>
      </c>
      <c r="G24" s="42">
        <v>493</v>
      </c>
      <c r="H24" s="42">
        <v>200</v>
      </c>
      <c r="I24" s="42">
        <v>327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17</v>
      </c>
      <c r="C25" s="42">
        <v>51</v>
      </c>
      <c r="D25" s="42">
        <v>13</v>
      </c>
      <c r="E25" s="42">
        <v>12</v>
      </c>
      <c r="F25" s="42">
        <v>534</v>
      </c>
      <c r="G25" s="42">
        <v>1028</v>
      </c>
      <c r="H25" s="42">
        <v>307</v>
      </c>
      <c r="I25" s="42">
        <v>278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16</v>
      </c>
      <c r="C26" s="42">
        <v>31</v>
      </c>
      <c r="D26" s="42">
        <v>16</v>
      </c>
      <c r="E26" s="42">
        <v>6</v>
      </c>
      <c r="F26" s="42">
        <v>622</v>
      </c>
      <c r="G26" s="42">
        <v>767</v>
      </c>
      <c r="H26" s="42">
        <v>380</v>
      </c>
      <c r="I26" s="42">
        <v>202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0</v>
      </c>
      <c r="C27" s="42">
        <v>0</v>
      </c>
      <c r="D27" s="42">
        <v>0</v>
      </c>
      <c r="E27" s="42">
        <v>1</v>
      </c>
      <c r="F27" s="42">
        <v>18</v>
      </c>
      <c r="G27" s="42">
        <v>15</v>
      </c>
      <c r="H27" s="42">
        <v>37</v>
      </c>
      <c r="I27" s="42">
        <v>13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4</v>
      </c>
      <c r="C28" s="42">
        <v>1</v>
      </c>
      <c r="D28" s="42">
        <v>4</v>
      </c>
      <c r="E28" s="42">
        <v>7</v>
      </c>
      <c r="F28" s="42">
        <v>251</v>
      </c>
      <c r="G28" s="42">
        <v>267</v>
      </c>
      <c r="H28" s="42">
        <v>259</v>
      </c>
      <c r="I28" s="42">
        <v>118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2</v>
      </c>
      <c r="C29" s="42">
        <v>3</v>
      </c>
      <c r="D29" s="42">
        <v>10</v>
      </c>
      <c r="E29" s="42">
        <v>2</v>
      </c>
      <c r="F29" s="42">
        <v>97</v>
      </c>
      <c r="G29" s="42">
        <v>69</v>
      </c>
      <c r="H29" s="42">
        <v>229</v>
      </c>
      <c r="I29" s="42">
        <v>73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2</v>
      </c>
      <c r="G30" s="42">
        <v>0</v>
      </c>
      <c r="H30" s="42">
        <v>4</v>
      </c>
      <c r="I30" s="42">
        <v>2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3</v>
      </c>
      <c r="C31" s="42">
        <v>1</v>
      </c>
      <c r="D31" s="42">
        <v>1</v>
      </c>
      <c r="E31" s="42">
        <v>1</v>
      </c>
      <c r="F31" s="42">
        <v>149</v>
      </c>
      <c r="G31" s="42">
        <v>159</v>
      </c>
      <c r="H31" s="42">
        <v>111</v>
      </c>
      <c r="I31" s="42">
        <v>168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0</v>
      </c>
      <c r="D32" s="42">
        <v>0</v>
      </c>
      <c r="E32" s="42">
        <v>0</v>
      </c>
      <c r="F32" s="42">
        <v>5</v>
      </c>
      <c r="G32" s="42">
        <v>2</v>
      </c>
      <c r="H32" s="42">
        <v>15</v>
      </c>
      <c r="I32" s="42">
        <v>11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0</v>
      </c>
      <c r="C33" s="42">
        <v>0</v>
      </c>
      <c r="D33" s="42">
        <v>0</v>
      </c>
      <c r="E33" s="42">
        <v>2</v>
      </c>
      <c r="F33" s="42">
        <v>16</v>
      </c>
      <c r="G33" s="42">
        <v>11</v>
      </c>
      <c r="H33" s="42">
        <v>86</v>
      </c>
      <c r="I33" s="42">
        <v>42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0</v>
      </c>
      <c r="C34" s="42">
        <v>0</v>
      </c>
      <c r="D34" s="42">
        <v>2</v>
      </c>
      <c r="E34" s="42">
        <v>0</v>
      </c>
      <c r="F34" s="42">
        <v>20</v>
      </c>
      <c r="G34" s="42">
        <v>26</v>
      </c>
      <c r="H34" s="42">
        <v>37</v>
      </c>
      <c r="I34" s="42">
        <v>21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1</v>
      </c>
      <c r="C35" s="42">
        <v>0</v>
      </c>
      <c r="D35" s="42">
        <v>0</v>
      </c>
      <c r="E35" s="42">
        <v>1</v>
      </c>
      <c r="F35" s="42">
        <v>32</v>
      </c>
      <c r="G35" s="42">
        <v>40</v>
      </c>
      <c r="H35" s="42">
        <v>73</v>
      </c>
      <c r="I35" s="42">
        <v>56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0</v>
      </c>
      <c r="D36" s="42">
        <v>0</v>
      </c>
      <c r="E36" s="42">
        <v>0</v>
      </c>
      <c r="F36" s="42">
        <v>15</v>
      </c>
      <c r="G36" s="42">
        <v>22</v>
      </c>
      <c r="H36" s="42">
        <v>11</v>
      </c>
      <c r="I36" s="42">
        <v>15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1</v>
      </c>
      <c r="C37" s="42">
        <v>0</v>
      </c>
      <c r="D37" s="42">
        <v>1</v>
      </c>
      <c r="E37" s="42">
        <v>0</v>
      </c>
      <c r="F37" s="42">
        <v>12</v>
      </c>
      <c r="G37" s="42">
        <v>8</v>
      </c>
      <c r="H37" s="42">
        <v>10</v>
      </c>
      <c r="I37" s="42">
        <v>11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38</v>
      </c>
      <c r="C38" s="42">
        <v>36</v>
      </c>
      <c r="D38" s="42">
        <v>27</v>
      </c>
      <c r="E38" s="42">
        <v>15</v>
      </c>
      <c r="F38" s="42">
        <v>307</v>
      </c>
      <c r="G38" s="42">
        <v>302</v>
      </c>
      <c r="H38" s="42">
        <v>318</v>
      </c>
      <c r="I38" s="42">
        <v>129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15</v>
      </c>
      <c r="C39" s="42">
        <v>37</v>
      </c>
      <c r="D39" s="42">
        <v>18</v>
      </c>
      <c r="E39" s="42">
        <v>23</v>
      </c>
      <c r="F39" s="42">
        <v>650</v>
      </c>
      <c r="G39" s="42">
        <v>979</v>
      </c>
      <c r="H39" s="42">
        <v>473</v>
      </c>
      <c r="I39" s="42">
        <v>663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2</v>
      </c>
      <c r="C40" s="42">
        <v>0</v>
      </c>
      <c r="D40" s="42">
        <v>4</v>
      </c>
      <c r="E40" s="42">
        <v>4</v>
      </c>
      <c r="F40" s="42">
        <v>51</v>
      </c>
      <c r="G40" s="42">
        <v>50</v>
      </c>
      <c r="H40" s="42">
        <v>90</v>
      </c>
      <c r="I40" s="42">
        <v>58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4</v>
      </c>
      <c r="C41" s="42">
        <v>1</v>
      </c>
      <c r="D41" s="42">
        <v>2</v>
      </c>
      <c r="E41" s="42">
        <v>0</v>
      </c>
      <c r="F41" s="42">
        <v>159</v>
      </c>
      <c r="G41" s="42">
        <v>146</v>
      </c>
      <c r="H41" s="42">
        <v>135</v>
      </c>
      <c r="I41" s="42">
        <v>146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36</v>
      </c>
      <c r="C42" s="42">
        <v>46</v>
      </c>
      <c r="D42" s="42">
        <v>35</v>
      </c>
      <c r="E42" s="42">
        <v>16</v>
      </c>
      <c r="F42" s="42">
        <v>555</v>
      </c>
      <c r="G42" s="42">
        <v>793</v>
      </c>
      <c r="H42" s="42">
        <v>338</v>
      </c>
      <c r="I42" s="42">
        <v>264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25</v>
      </c>
      <c r="C43" s="42">
        <v>35</v>
      </c>
      <c r="D43" s="42">
        <v>18</v>
      </c>
      <c r="E43" s="42">
        <v>6</v>
      </c>
      <c r="F43" s="42">
        <v>304</v>
      </c>
      <c r="G43" s="42">
        <v>354</v>
      </c>
      <c r="H43" s="42">
        <v>458</v>
      </c>
      <c r="I43" s="42">
        <v>206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2</v>
      </c>
      <c r="C44" s="42">
        <v>3</v>
      </c>
      <c r="D44" s="42">
        <v>0</v>
      </c>
      <c r="E44" s="42">
        <v>4</v>
      </c>
      <c r="F44" s="42">
        <v>103</v>
      </c>
      <c r="G44" s="42">
        <v>108</v>
      </c>
      <c r="H44" s="42">
        <v>100</v>
      </c>
      <c r="I44" s="42">
        <v>121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0</v>
      </c>
      <c r="D45" s="42">
        <v>0</v>
      </c>
      <c r="E45" s="42">
        <v>1</v>
      </c>
      <c r="F45" s="42">
        <v>16</v>
      </c>
      <c r="G45" s="42">
        <v>10</v>
      </c>
      <c r="H45" s="42">
        <v>7</v>
      </c>
      <c r="I45" s="42">
        <v>8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1</v>
      </c>
      <c r="C46" s="42">
        <v>1</v>
      </c>
      <c r="D46" s="42">
        <v>6</v>
      </c>
      <c r="E46" s="42">
        <v>5</v>
      </c>
      <c r="F46" s="42">
        <v>74</v>
      </c>
      <c r="G46" s="42">
        <v>94</v>
      </c>
      <c r="H46" s="42">
        <v>100</v>
      </c>
      <c r="I46" s="42">
        <v>66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2</v>
      </c>
      <c r="C47" s="42">
        <v>0</v>
      </c>
      <c r="D47" s="42">
        <v>1</v>
      </c>
      <c r="E47" s="42">
        <v>1</v>
      </c>
      <c r="F47" s="42">
        <v>27</v>
      </c>
      <c r="G47" s="42">
        <v>29</v>
      </c>
      <c r="H47" s="42">
        <v>30</v>
      </c>
      <c r="I47" s="42">
        <v>20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5</v>
      </c>
      <c r="C48" s="42">
        <v>7</v>
      </c>
      <c r="D48" s="42">
        <v>7</v>
      </c>
      <c r="E48" s="42">
        <v>8</v>
      </c>
      <c r="F48" s="42">
        <v>123</v>
      </c>
      <c r="G48" s="42">
        <v>256</v>
      </c>
      <c r="H48" s="42">
        <v>162</v>
      </c>
      <c r="I48" s="42">
        <v>185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28</v>
      </c>
      <c r="C49" s="42">
        <v>37</v>
      </c>
      <c r="D49" s="42">
        <v>25</v>
      </c>
      <c r="E49" s="42">
        <v>16</v>
      </c>
      <c r="F49" s="42">
        <v>1117</v>
      </c>
      <c r="G49" s="42">
        <v>1560</v>
      </c>
      <c r="H49" s="42">
        <v>786</v>
      </c>
      <c r="I49" s="42">
        <v>649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0</v>
      </c>
      <c r="C50" s="42">
        <v>0</v>
      </c>
      <c r="D50" s="42">
        <v>0</v>
      </c>
      <c r="E50" s="42">
        <v>1</v>
      </c>
      <c r="F50" s="42">
        <v>12</v>
      </c>
      <c r="G50" s="42">
        <v>9</v>
      </c>
      <c r="H50" s="42">
        <v>8</v>
      </c>
      <c r="I50" s="42">
        <v>6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16</v>
      </c>
      <c r="C51" s="42">
        <v>32</v>
      </c>
      <c r="D51" s="42">
        <v>19</v>
      </c>
      <c r="E51" s="42">
        <v>19</v>
      </c>
      <c r="F51" s="42">
        <v>375</v>
      </c>
      <c r="G51" s="42">
        <v>644</v>
      </c>
      <c r="H51" s="42">
        <v>375</v>
      </c>
      <c r="I51" s="42">
        <v>349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1</v>
      </c>
      <c r="C52" s="42">
        <v>2</v>
      </c>
      <c r="D52" s="42">
        <v>1</v>
      </c>
      <c r="E52" s="42">
        <v>1</v>
      </c>
      <c r="F52" s="42">
        <v>65</v>
      </c>
      <c r="G52" s="42">
        <v>63</v>
      </c>
      <c r="H52" s="42">
        <v>73</v>
      </c>
      <c r="I52" s="42">
        <v>40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7</v>
      </c>
      <c r="C53" s="42">
        <v>5</v>
      </c>
      <c r="D53" s="42">
        <v>5</v>
      </c>
      <c r="E53" s="42">
        <v>0</v>
      </c>
      <c r="F53" s="42">
        <v>35</v>
      </c>
      <c r="G53" s="42">
        <v>52</v>
      </c>
      <c r="H53" s="42">
        <v>38</v>
      </c>
      <c r="I53" s="42">
        <v>43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162</v>
      </c>
      <c r="C54" s="42">
        <v>603</v>
      </c>
      <c r="D54" s="42">
        <v>126</v>
      </c>
      <c r="E54" s="42">
        <v>53</v>
      </c>
      <c r="F54" s="42">
        <v>1273</v>
      </c>
      <c r="G54" s="42">
        <v>3871</v>
      </c>
      <c r="H54" s="42">
        <v>1327</v>
      </c>
      <c r="I54" s="42">
        <v>551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1</v>
      </c>
      <c r="C55" s="42">
        <v>0</v>
      </c>
      <c r="D55" s="42">
        <v>0</v>
      </c>
      <c r="E55" s="42">
        <v>0</v>
      </c>
      <c r="F55" s="42">
        <v>42</v>
      </c>
      <c r="G55" s="42">
        <v>72</v>
      </c>
      <c r="H55" s="42">
        <v>52</v>
      </c>
      <c r="I55" s="42">
        <v>89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1</v>
      </c>
      <c r="D56" s="42">
        <v>0</v>
      </c>
      <c r="E56" s="42">
        <v>0</v>
      </c>
      <c r="F56" s="42">
        <v>5</v>
      </c>
      <c r="G56" s="42">
        <v>4</v>
      </c>
      <c r="H56" s="42">
        <v>9</v>
      </c>
      <c r="I56" s="42">
        <v>9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3</v>
      </c>
      <c r="C57" s="42">
        <v>5</v>
      </c>
      <c r="D57" s="42">
        <v>5</v>
      </c>
      <c r="E57" s="42">
        <v>3</v>
      </c>
      <c r="F57" s="42">
        <v>104</v>
      </c>
      <c r="G57" s="42">
        <v>105</v>
      </c>
      <c r="H57" s="42">
        <v>165</v>
      </c>
      <c r="I57" s="42">
        <v>102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0</v>
      </c>
      <c r="C58" s="42">
        <v>0</v>
      </c>
      <c r="D58" s="42">
        <v>2</v>
      </c>
      <c r="E58" s="42">
        <v>0</v>
      </c>
      <c r="F58" s="42">
        <v>16</v>
      </c>
      <c r="G58" s="42">
        <v>18</v>
      </c>
      <c r="H58" s="42">
        <v>8</v>
      </c>
      <c r="I58" s="42">
        <v>23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1</v>
      </c>
      <c r="C59" s="42">
        <v>1</v>
      </c>
      <c r="D59" s="42">
        <v>0</v>
      </c>
      <c r="E59" s="42">
        <v>0</v>
      </c>
      <c r="F59" s="42">
        <v>47</v>
      </c>
      <c r="G59" s="42">
        <v>41</v>
      </c>
      <c r="H59" s="42">
        <v>107</v>
      </c>
      <c r="I59" s="42">
        <v>77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6</v>
      </c>
      <c r="G60" s="42">
        <v>2</v>
      </c>
      <c r="H60" s="42">
        <v>6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1</v>
      </c>
      <c r="C61" s="42">
        <v>0</v>
      </c>
      <c r="D61" s="42">
        <v>1</v>
      </c>
      <c r="E61" s="42">
        <v>0</v>
      </c>
      <c r="F61" s="42">
        <v>31</v>
      </c>
      <c r="G61" s="42">
        <v>31</v>
      </c>
      <c r="H61" s="42">
        <v>31</v>
      </c>
      <c r="I61" s="42">
        <v>30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3</v>
      </c>
      <c r="C62" s="42">
        <v>2</v>
      </c>
      <c r="D62" s="42">
        <v>5</v>
      </c>
      <c r="E62" s="42">
        <v>4</v>
      </c>
      <c r="F62" s="42">
        <v>32</v>
      </c>
      <c r="G62" s="42">
        <v>34</v>
      </c>
      <c r="H62" s="42">
        <v>36</v>
      </c>
      <c r="I62" s="42">
        <v>40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1</v>
      </c>
      <c r="C63" s="42">
        <v>0</v>
      </c>
      <c r="D63" s="42">
        <v>1</v>
      </c>
      <c r="E63" s="42">
        <v>1</v>
      </c>
      <c r="F63" s="42">
        <v>14</v>
      </c>
      <c r="G63" s="42">
        <v>30</v>
      </c>
      <c r="H63" s="42">
        <v>19</v>
      </c>
      <c r="I63" s="42">
        <v>18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35</v>
      </c>
      <c r="G64" s="42">
        <v>44</v>
      </c>
      <c r="H64" s="42">
        <v>39</v>
      </c>
      <c r="I64" s="42">
        <v>35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0</v>
      </c>
      <c r="C65" s="42">
        <v>0</v>
      </c>
      <c r="D65" s="42">
        <v>0</v>
      </c>
      <c r="E65" s="42">
        <v>0</v>
      </c>
      <c r="F65" s="42">
        <v>27</v>
      </c>
      <c r="G65" s="42">
        <v>37</v>
      </c>
      <c r="H65" s="42">
        <v>25</v>
      </c>
      <c r="I65" s="42">
        <v>28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7</v>
      </c>
      <c r="C66" s="42">
        <v>4</v>
      </c>
      <c r="D66" s="42">
        <v>7</v>
      </c>
      <c r="E66" s="42">
        <v>3</v>
      </c>
      <c r="F66" s="42">
        <v>150</v>
      </c>
      <c r="G66" s="42">
        <v>175</v>
      </c>
      <c r="H66" s="42">
        <v>251</v>
      </c>
      <c r="I66" s="42">
        <v>145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0</v>
      </c>
      <c r="C67" s="42">
        <v>2</v>
      </c>
      <c r="D67" s="42">
        <v>1</v>
      </c>
      <c r="E67" s="42">
        <v>2</v>
      </c>
      <c r="F67" s="42">
        <v>26</v>
      </c>
      <c r="G67" s="42">
        <v>46</v>
      </c>
      <c r="H67" s="42">
        <v>50</v>
      </c>
      <c r="I67" s="42">
        <v>52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22</v>
      </c>
      <c r="C68" s="42">
        <v>21</v>
      </c>
      <c r="D68" s="42">
        <v>34</v>
      </c>
      <c r="E68" s="42">
        <v>17</v>
      </c>
      <c r="F68" s="42">
        <v>259</v>
      </c>
      <c r="G68" s="42">
        <v>297</v>
      </c>
      <c r="H68" s="42">
        <v>375</v>
      </c>
      <c r="I68" s="42">
        <v>207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1</v>
      </c>
      <c r="C69" s="42">
        <v>1</v>
      </c>
      <c r="D69" s="42">
        <v>1</v>
      </c>
      <c r="E69" s="42">
        <v>0</v>
      </c>
      <c r="F69" s="42">
        <v>29</v>
      </c>
      <c r="G69" s="42">
        <v>24</v>
      </c>
      <c r="H69" s="42">
        <v>38</v>
      </c>
      <c r="I69" s="42">
        <v>25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17</v>
      </c>
      <c r="C70" s="42">
        <v>36</v>
      </c>
      <c r="D70" s="42">
        <v>9</v>
      </c>
      <c r="E70" s="42">
        <v>21</v>
      </c>
      <c r="F70" s="42">
        <v>550</v>
      </c>
      <c r="G70" s="42">
        <v>878</v>
      </c>
      <c r="H70" s="42">
        <v>412</v>
      </c>
      <c r="I70" s="42">
        <v>529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696</v>
      </c>
      <c r="C71" s="67">
        <f>SUM(C4:C70)</f>
        <v>1432</v>
      </c>
      <c r="D71" s="67">
        <f>SUM(D4:D70)</f>
        <v>630</v>
      </c>
      <c r="E71" s="67">
        <f>SUM(E4:E70)</f>
        <v>435</v>
      </c>
      <c r="F71" s="67">
        <f t="shared" ref="F71:I71" si="0">SUM(F4:F70)</f>
        <v>12585</v>
      </c>
      <c r="G71" s="67">
        <f t="shared" si="0"/>
        <v>20140</v>
      </c>
      <c r="H71" s="67">
        <f t="shared" si="0"/>
        <v>12039</v>
      </c>
      <c r="I71" s="67">
        <f t="shared" si="0"/>
        <v>9382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5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H22" sqref="H22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0" t="s">
        <v>130</v>
      </c>
      <c r="C1" s="91"/>
      <c r="D1" s="92" t="s">
        <v>126</v>
      </c>
      <c r="E1" s="93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0</v>
      </c>
      <c r="C3" s="53">
        <v>13</v>
      </c>
      <c r="D3" s="53">
        <v>92</v>
      </c>
      <c r="E3" s="53">
        <v>180</v>
      </c>
    </row>
    <row r="4" spans="1:5" x14ac:dyDescent="0.25">
      <c r="A4" s="42" t="s">
        <v>2</v>
      </c>
      <c r="B4" s="53">
        <v>135</v>
      </c>
      <c r="C4" s="53">
        <v>60</v>
      </c>
      <c r="D4" s="53">
        <v>1177</v>
      </c>
      <c r="E4" s="53">
        <v>803</v>
      </c>
    </row>
    <row r="5" spans="1:5" x14ac:dyDescent="0.25">
      <c r="A5" s="42" t="s">
        <v>3</v>
      </c>
      <c r="B5" s="53">
        <v>0</v>
      </c>
      <c r="C5" s="53">
        <v>2</v>
      </c>
      <c r="D5" s="53">
        <v>18</v>
      </c>
      <c r="E5" s="53">
        <v>41</v>
      </c>
    </row>
    <row r="6" spans="1:5" x14ac:dyDescent="0.25">
      <c r="A6" s="42" t="s">
        <v>4</v>
      </c>
      <c r="B6" s="53">
        <v>1</v>
      </c>
      <c r="C6" s="53">
        <v>6</v>
      </c>
      <c r="D6" s="53">
        <v>65</v>
      </c>
      <c r="E6" s="53">
        <v>94</v>
      </c>
    </row>
    <row r="7" spans="1:5" x14ac:dyDescent="0.25">
      <c r="A7" s="42" t="s">
        <v>5</v>
      </c>
      <c r="B7" s="53">
        <v>0</v>
      </c>
      <c r="C7" s="53">
        <v>0</v>
      </c>
      <c r="D7" s="53">
        <v>5</v>
      </c>
      <c r="E7" s="53">
        <v>10</v>
      </c>
    </row>
    <row r="8" spans="1:5" x14ac:dyDescent="0.25">
      <c r="A8" s="42" t="s">
        <v>6</v>
      </c>
      <c r="B8" s="53">
        <v>66</v>
      </c>
      <c r="C8" s="53">
        <v>68</v>
      </c>
      <c r="D8" s="53">
        <v>638</v>
      </c>
      <c r="E8" s="53">
        <v>542</v>
      </c>
    </row>
    <row r="9" spans="1:5" x14ac:dyDescent="0.25">
      <c r="A9" s="42" t="s">
        <v>7</v>
      </c>
      <c r="B9" s="53">
        <v>5</v>
      </c>
      <c r="C9" s="53">
        <v>3</v>
      </c>
      <c r="D9" s="53">
        <v>65</v>
      </c>
      <c r="E9" s="53">
        <v>87</v>
      </c>
    </row>
    <row r="10" spans="1:5" x14ac:dyDescent="0.25">
      <c r="A10" s="42" t="s">
        <v>8</v>
      </c>
      <c r="B10" s="53">
        <v>0</v>
      </c>
      <c r="C10" s="53">
        <v>4</v>
      </c>
      <c r="D10" s="53">
        <v>29</v>
      </c>
      <c r="E10" s="53">
        <v>49</v>
      </c>
    </row>
    <row r="11" spans="1:5" x14ac:dyDescent="0.25">
      <c r="A11" s="42" t="s">
        <v>9</v>
      </c>
      <c r="B11" s="53">
        <v>37</v>
      </c>
      <c r="C11" s="53">
        <v>41</v>
      </c>
      <c r="D11" s="53">
        <v>837</v>
      </c>
      <c r="E11" s="53">
        <v>963</v>
      </c>
    </row>
    <row r="12" spans="1:5" x14ac:dyDescent="0.25">
      <c r="A12" s="42" t="s">
        <v>10</v>
      </c>
      <c r="B12" s="53">
        <v>5</v>
      </c>
      <c r="C12" s="53">
        <v>6</v>
      </c>
      <c r="D12" s="53">
        <v>90</v>
      </c>
      <c r="E12" s="53">
        <v>178</v>
      </c>
    </row>
    <row r="13" spans="1:5" x14ac:dyDescent="0.25">
      <c r="A13" s="42" t="s">
        <v>11</v>
      </c>
      <c r="B13" s="53">
        <v>1</v>
      </c>
      <c r="C13" s="53">
        <v>1</v>
      </c>
      <c r="D13" s="53">
        <v>79</v>
      </c>
      <c r="E13" s="53">
        <v>88</v>
      </c>
    </row>
    <row r="14" spans="1:5" x14ac:dyDescent="0.25">
      <c r="A14" s="42" t="s">
        <v>12</v>
      </c>
      <c r="B14" s="53">
        <v>0</v>
      </c>
      <c r="C14" s="53">
        <v>0</v>
      </c>
      <c r="D14" s="53">
        <v>1</v>
      </c>
      <c r="E14" s="53">
        <v>3</v>
      </c>
    </row>
    <row r="15" spans="1:5" x14ac:dyDescent="0.25">
      <c r="A15" s="42" t="s">
        <v>13</v>
      </c>
      <c r="B15" s="53">
        <v>7</v>
      </c>
      <c r="C15" s="53">
        <v>16</v>
      </c>
      <c r="D15" s="53">
        <v>38</v>
      </c>
      <c r="E15" s="53">
        <v>55</v>
      </c>
    </row>
    <row r="16" spans="1:5" x14ac:dyDescent="0.25">
      <c r="A16" s="42" t="s">
        <v>14</v>
      </c>
      <c r="B16" s="53">
        <v>3</v>
      </c>
      <c r="C16" s="53">
        <v>4</v>
      </c>
      <c r="D16" s="53">
        <v>106</v>
      </c>
      <c r="E16" s="53">
        <v>99</v>
      </c>
    </row>
    <row r="17" spans="1:5" x14ac:dyDescent="0.25">
      <c r="A17" s="42" t="s">
        <v>15</v>
      </c>
      <c r="B17" s="53">
        <v>32</v>
      </c>
      <c r="C17" s="53">
        <v>26</v>
      </c>
      <c r="D17" s="53">
        <v>627</v>
      </c>
      <c r="E17" s="53">
        <v>640</v>
      </c>
    </row>
    <row r="18" spans="1:5" x14ac:dyDescent="0.25">
      <c r="A18" s="42" t="s">
        <v>16</v>
      </c>
      <c r="B18" s="53">
        <v>0</v>
      </c>
      <c r="C18" s="53">
        <v>0</v>
      </c>
      <c r="D18" s="53">
        <v>11</v>
      </c>
      <c r="E18" s="53">
        <v>14</v>
      </c>
    </row>
    <row r="19" spans="1:5" x14ac:dyDescent="0.25">
      <c r="A19" s="42" t="s">
        <v>17</v>
      </c>
      <c r="B19" s="53">
        <v>1</v>
      </c>
      <c r="C19" s="53">
        <v>5</v>
      </c>
      <c r="D19" s="53">
        <v>31</v>
      </c>
      <c r="E19" s="53">
        <v>44</v>
      </c>
    </row>
    <row r="20" spans="1:5" x14ac:dyDescent="0.25">
      <c r="A20" s="42" t="s">
        <v>18</v>
      </c>
      <c r="B20" s="53">
        <v>0</v>
      </c>
      <c r="C20" s="53">
        <v>2</v>
      </c>
      <c r="D20" s="53">
        <v>24</v>
      </c>
      <c r="E20" s="53">
        <v>35</v>
      </c>
    </row>
    <row r="21" spans="1:5" x14ac:dyDescent="0.25">
      <c r="A21" s="42" t="s">
        <v>19</v>
      </c>
      <c r="B21" s="53">
        <v>0</v>
      </c>
      <c r="C21" s="53">
        <v>2</v>
      </c>
      <c r="D21" s="53">
        <v>21</v>
      </c>
      <c r="E21" s="53">
        <v>43</v>
      </c>
    </row>
    <row r="22" spans="1:5" x14ac:dyDescent="0.25">
      <c r="A22" s="42" t="s">
        <v>20</v>
      </c>
      <c r="B22" s="53">
        <v>4</v>
      </c>
      <c r="C22" s="53">
        <v>1</v>
      </c>
      <c r="D22" s="53">
        <v>37</v>
      </c>
      <c r="E22" s="53">
        <v>46</v>
      </c>
    </row>
    <row r="23" spans="1:5" x14ac:dyDescent="0.25">
      <c r="A23" s="42" t="s">
        <v>21</v>
      </c>
      <c r="B23" s="53">
        <v>50</v>
      </c>
      <c r="C23" s="53">
        <v>48</v>
      </c>
      <c r="D23" s="53">
        <v>306</v>
      </c>
      <c r="E23" s="53">
        <v>355</v>
      </c>
    </row>
    <row r="24" spans="1:5" x14ac:dyDescent="0.25">
      <c r="A24" s="42" t="s">
        <v>22</v>
      </c>
      <c r="B24" s="53">
        <v>38</v>
      </c>
      <c r="C24" s="53">
        <v>18</v>
      </c>
      <c r="D24" s="53">
        <v>678</v>
      </c>
      <c r="E24" s="53">
        <v>411</v>
      </c>
    </row>
    <row r="25" spans="1:5" x14ac:dyDescent="0.25">
      <c r="A25" s="42" t="s">
        <v>23</v>
      </c>
      <c r="B25" s="53">
        <v>29</v>
      </c>
      <c r="C25" s="53">
        <v>16</v>
      </c>
      <c r="D25" s="53">
        <v>542</v>
      </c>
      <c r="E25" s="53">
        <v>394</v>
      </c>
    </row>
    <row r="26" spans="1:5" x14ac:dyDescent="0.25">
      <c r="A26" s="42" t="s">
        <v>24</v>
      </c>
      <c r="B26" s="53">
        <v>0</v>
      </c>
      <c r="C26" s="53">
        <v>1</v>
      </c>
      <c r="D26" s="53">
        <v>5</v>
      </c>
      <c r="E26" s="53">
        <v>17</v>
      </c>
    </row>
    <row r="27" spans="1:5" x14ac:dyDescent="0.25">
      <c r="A27" s="42" t="s">
        <v>25</v>
      </c>
      <c r="B27" s="53">
        <v>2</v>
      </c>
      <c r="C27" s="53">
        <v>1</v>
      </c>
      <c r="D27" s="53">
        <v>177</v>
      </c>
      <c r="E27" s="53">
        <v>157</v>
      </c>
    </row>
    <row r="28" spans="1:5" x14ac:dyDescent="0.25">
      <c r="A28" s="42" t="s">
        <v>26</v>
      </c>
      <c r="B28" s="53">
        <v>4</v>
      </c>
      <c r="C28" s="53">
        <v>3</v>
      </c>
      <c r="D28" s="53">
        <v>63</v>
      </c>
      <c r="E28" s="53">
        <v>71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5">
      <c r="A30" s="42" t="s">
        <v>28</v>
      </c>
      <c r="B30" s="53">
        <v>2</v>
      </c>
      <c r="C30" s="53">
        <v>2</v>
      </c>
      <c r="D30" s="53">
        <v>141</v>
      </c>
      <c r="E30" s="53">
        <v>242</v>
      </c>
    </row>
    <row r="31" spans="1:5" x14ac:dyDescent="0.25">
      <c r="A31" s="42" t="s">
        <v>29</v>
      </c>
      <c r="B31" s="53">
        <v>0</v>
      </c>
      <c r="C31" s="53">
        <v>0</v>
      </c>
      <c r="D31" s="53">
        <v>8</v>
      </c>
      <c r="E31" s="53">
        <v>10</v>
      </c>
    </row>
    <row r="32" spans="1:5" x14ac:dyDescent="0.25">
      <c r="A32" s="42" t="s">
        <v>30</v>
      </c>
      <c r="B32" s="53">
        <v>0</v>
      </c>
      <c r="C32" s="53">
        <v>0</v>
      </c>
      <c r="D32" s="53">
        <v>19</v>
      </c>
      <c r="E32" s="53">
        <v>19</v>
      </c>
    </row>
    <row r="33" spans="1:5" x14ac:dyDescent="0.25">
      <c r="A33" s="42" t="s">
        <v>31</v>
      </c>
      <c r="B33" s="53">
        <v>0</v>
      </c>
      <c r="C33" s="53">
        <v>0</v>
      </c>
      <c r="D33" s="53">
        <v>12</v>
      </c>
      <c r="E33" s="53">
        <v>13</v>
      </c>
    </row>
    <row r="34" spans="1:5" x14ac:dyDescent="0.25">
      <c r="A34" s="42" t="s">
        <v>32</v>
      </c>
      <c r="B34" s="53">
        <v>0</v>
      </c>
      <c r="C34" s="53">
        <v>1</v>
      </c>
      <c r="D34" s="53">
        <v>35</v>
      </c>
      <c r="E34" s="53">
        <v>35</v>
      </c>
    </row>
    <row r="35" spans="1:5" x14ac:dyDescent="0.25">
      <c r="A35" s="42" t="s">
        <v>33</v>
      </c>
      <c r="B35" s="53">
        <v>0</v>
      </c>
      <c r="C35" s="53">
        <v>0</v>
      </c>
      <c r="D35" s="53">
        <v>6</v>
      </c>
      <c r="E35" s="53">
        <v>12</v>
      </c>
    </row>
    <row r="36" spans="1:5" x14ac:dyDescent="0.25">
      <c r="A36" s="42" t="s">
        <v>34</v>
      </c>
      <c r="B36" s="53">
        <v>1</v>
      </c>
      <c r="C36" s="53">
        <v>2</v>
      </c>
      <c r="D36" s="53">
        <v>16</v>
      </c>
      <c r="E36" s="53">
        <v>10</v>
      </c>
    </row>
    <row r="37" spans="1:5" x14ac:dyDescent="0.25">
      <c r="A37" s="42" t="s">
        <v>35</v>
      </c>
      <c r="B37" s="53">
        <v>20</v>
      </c>
      <c r="C37" s="53">
        <v>16</v>
      </c>
      <c r="D37" s="53">
        <v>245</v>
      </c>
      <c r="E37" s="53">
        <v>206</v>
      </c>
    </row>
    <row r="38" spans="1:5" x14ac:dyDescent="0.25">
      <c r="A38" s="42" t="s">
        <v>36</v>
      </c>
      <c r="B38" s="53">
        <v>24</v>
      </c>
      <c r="C38" s="53">
        <v>30</v>
      </c>
      <c r="D38" s="53">
        <v>719</v>
      </c>
      <c r="E38" s="53">
        <v>833</v>
      </c>
    </row>
    <row r="39" spans="1:5" x14ac:dyDescent="0.25">
      <c r="A39" s="42" t="s">
        <v>37</v>
      </c>
      <c r="B39" s="53">
        <v>2</v>
      </c>
      <c r="C39" s="53">
        <v>3</v>
      </c>
      <c r="D39" s="53">
        <v>36</v>
      </c>
      <c r="E39" s="53">
        <v>46</v>
      </c>
    </row>
    <row r="40" spans="1:5" x14ac:dyDescent="0.25">
      <c r="A40" s="42" t="s">
        <v>38</v>
      </c>
      <c r="B40" s="53">
        <v>7</v>
      </c>
      <c r="C40" s="53">
        <v>6</v>
      </c>
      <c r="D40" s="53">
        <v>113</v>
      </c>
      <c r="E40" s="53">
        <v>125</v>
      </c>
    </row>
    <row r="41" spans="1:5" x14ac:dyDescent="0.25">
      <c r="A41" s="42" t="s">
        <v>39</v>
      </c>
      <c r="B41" s="53">
        <v>52</v>
      </c>
      <c r="C41" s="53">
        <v>16</v>
      </c>
      <c r="D41" s="53">
        <v>500</v>
      </c>
      <c r="E41" s="53">
        <v>342</v>
      </c>
    </row>
    <row r="42" spans="1:5" x14ac:dyDescent="0.25">
      <c r="A42" s="42" t="s">
        <v>40</v>
      </c>
      <c r="B42" s="53">
        <v>20</v>
      </c>
      <c r="C42" s="53">
        <v>21</v>
      </c>
      <c r="D42" s="53">
        <v>286</v>
      </c>
      <c r="E42" s="53">
        <v>233</v>
      </c>
    </row>
    <row r="43" spans="1:5" x14ac:dyDescent="0.25">
      <c r="A43" s="42" t="s">
        <v>41</v>
      </c>
      <c r="B43" s="53">
        <v>5</v>
      </c>
      <c r="C43" s="53">
        <v>9</v>
      </c>
      <c r="D43" s="53">
        <v>86</v>
      </c>
      <c r="E43" s="53">
        <v>121</v>
      </c>
    </row>
    <row r="44" spans="1:5" x14ac:dyDescent="0.25">
      <c r="A44" s="42" t="s">
        <v>42</v>
      </c>
      <c r="B44" s="53">
        <v>0</v>
      </c>
      <c r="C44" s="53">
        <v>0</v>
      </c>
      <c r="D44" s="53">
        <v>10</v>
      </c>
      <c r="E44" s="53">
        <v>10</v>
      </c>
    </row>
    <row r="45" spans="1:5" x14ac:dyDescent="0.25">
      <c r="A45" s="42" t="s">
        <v>43</v>
      </c>
      <c r="B45" s="53">
        <v>7</v>
      </c>
      <c r="C45" s="53">
        <v>3</v>
      </c>
      <c r="D45" s="53">
        <v>70</v>
      </c>
      <c r="E45" s="53">
        <v>70</v>
      </c>
    </row>
    <row r="46" spans="1:5" x14ac:dyDescent="0.25">
      <c r="A46" s="42" t="s">
        <v>44</v>
      </c>
      <c r="B46" s="53">
        <v>0</v>
      </c>
      <c r="C46" s="53">
        <v>2</v>
      </c>
      <c r="D46" s="53">
        <v>10</v>
      </c>
      <c r="E46" s="53">
        <v>24</v>
      </c>
    </row>
    <row r="47" spans="1:5" x14ac:dyDescent="0.25">
      <c r="A47" s="42" t="s">
        <v>45</v>
      </c>
      <c r="B47" s="53">
        <v>10</v>
      </c>
      <c r="C47" s="53">
        <v>4</v>
      </c>
      <c r="D47" s="53">
        <v>225</v>
      </c>
      <c r="E47" s="53">
        <v>156</v>
      </c>
    </row>
    <row r="48" spans="1:5" x14ac:dyDescent="0.25">
      <c r="A48" s="42" t="s">
        <v>46</v>
      </c>
      <c r="B48" s="53">
        <v>50</v>
      </c>
      <c r="C48" s="53">
        <v>46</v>
      </c>
      <c r="D48" s="53">
        <v>1209</v>
      </c>
      <c r="E48" s="53">
        <v>1030</v>
      </c>
    </row>
    <row r="49" spans="1:5" x14ac:dyDescent="0.25">
      <c r="A49" s="42" t="s">
        <v>47</v>
      </c>
      <c r="B49" s="53">
        <v>1</v>
      </c>
      <c r="C49" s="53">
        <v>0</v>
      </c>
      <c r="D49" s="53">
        <v>5</v>
      </c>
      <c r="E49" s="53">
        <v>10</v>
      </c>
    </row>
    <row r="50" spans="1:5" x14ac:dyDescent="0.25">
      <c r="A50" s="42" t="s">
        <v>48</v>
      </c>
      <c r="B50" s="53">
        <v>28</v>
      </c>
      <c r="C50" s="53">
        <v>22</v>
      </c>
      <c r="D50" s="53">
        <v>472</v>
      </c>
      <c r="E50" s="53">
        <v>402</v>
      </c>
    </row>
    <row r="51" spans="1:5" x14ac:dyDescent="0.25">
      <c r="A51" s="42" t="s">
        <v>49</v>
      </c>
      <c r="B51" s="53">
        <v>1</v>
      </c>
      <c r="C51" s="53">
        <v>2</v>
      </c>
      <c r="D51" s="53">
        <v>46</v>
      </c>
      <c r="E51" s="53">
        <v>54</v>
      </c>
    </row>
    <row r="52" spans="1:5" x14ac:dyDescent="0.25">
      <c r="A52" s="42" t="s">
        <v>50</v>
      </c>
      <c r="B52" s="53">
        <v>3</v>
      </c>
      <c r="C52" s="53">
        <v>3</v>
      </c>
      <c r="D52" s="53">
        <v>38</v>
      </c>
      <c r="E52" s="53">
        <v>60</v>
      </c>
    </row>
    <row r="53" spans="1:5" x14ac:dyDescent="0.25">
      <c r="A53" s="42" t="s">
        <v>51</v>
      </c>
      <c r="B53" s="53">
        <v>375</v>
      </c>
      <c r="C53" s="53">
        <v>96</v>
      </c>
      <c r="D53" s="53">
        <v>2556</v>
      </c>
      <c r="E53" s="53">
        <v>733</v>
      </c>
    </row>
    <row r="54" spans="1:5" x14ac:dyDescent="0.25">
      <c r="A54" s="42" t="s">
        <v>52</v>
      </c>
      <c r="B54" s="53">
        <v>3</v>
      </c>
      <c r="C54" s="53">
        <v>1</v>
      </c>
      <c r="D54" s="53">
        <v>59</v>
      </c>
      <c r="E54" s="53">
        <v>71</v>
      </c>
    </row>
    <row r="55" spans="1:5" x14ac:dyDescent="0.25">
      <c r="A55" s="42" t="s">
        <v>53</v>
      </c>
      <c r="B55" s="53">
        <v>0</v>
      </c>
      <c r="C55" s="53">
        <v>1</v>
      </c>
      <c r="D55" s="53">
        <v>7</v>
      </c>
      <c r="E55" s="53">
        <v>12</v>
      </c>
    </row>
    <row r="56" spans="1:5" x14ac:dyDescent="0.25">
      <c r="A56" s="42" t="s">
        <v>54</v>
      </c>
      <c r="B56" s="53">
        <v>3</v>
      </c>
      <c r="C56" s="53">
        <v>5</v>
      </c>
      <c r="D56" s="53">
        <v>99</v>
      </c>
      <c r="E56" s="53">
        <v>119</v>
      </c>
    </row>
    <row r="57" spans="1:5" x14ac:dyDescent="0.25">
      <c r="A57" s="42" t="s">
        <v>55</v>
      </c>
      <c r="B57" s="53">
        <v>1</v>
      </c>
      <c r="C57" s="53">
        <v>0</v>
      </c>
      <c r="D57" s="53">
        <v>6</v>
      </c>
      <c r="E57" s="53">
        <v>7</v>
      </c>
    </row>
    <row r="58" spans="1:5" x14ac:dyDescent="0.25">
      <c r="A58" s="42" t="s">
        <v>56</v>
      </c>
      <c r="B58" s="53">
        <v>0</v>
      </c>
      <c r="C58" s="53">
        <v>1</v>
      </c>
      <c r="D58" s="53">
        <v>47</v>
      </c>
      <c r="E58" s="53">
        <v>57</v>
      </c>
    </row>
    <row r="59" spans="1:5" x14ac:dyDescent="0.25">
      <c r="A59" s="42" t="s">
        <v>57</v>
      </c>
      <c r="B59" s="53">
        <v>0</v>
      </c>
      <c r="C59" s="53">
        <v>2</v>
      </c>
      <c r="D59" s="53">
        <v>1</v>
      </c>
      <c r="E59" s="53">
        <v>7</v>
      </c>
    </row>
    <row r="60" spans="1:5" x14ac:dyDescent="0.25">
      <c r="A60" s="42" t="s">
        <v>58</v>
      </c>
      <c r="B60" s="53">
        <v>0</v>
      </c>
      <c r="C60" s="53">
        <v>2</v>
      </c>
      <c r="D60" s="53">
        <v>23</v>
      </c>
      <c r="E60" s="53">
        <v>28</v>
      </c>
    </row>
    <row r="61" spans="1:5" x14ac:dyDescent="0.25">
      <c r="A61" s="42" t="s">
        <v>59</v>
      </c>
      <c r="B61" s="53">
        <v>1</v>
      </c>
      <c r="C61" s="53">
        <v>2</v>
      </c>
      <c r="D61" s="53">
        <v>20</v>
      </c>
      <c r="E61" s="53">
        <v>35</v>
      </c>
    </row>
    <row r="62" spans="1:5" x14ac:dyDescent="0.25">
      <c r="A62" s="42" t="s">
        <v>60</v>
      </c>
      <c r="B62" s="53">
        <v>0</v>
      </c>
      <c r="C62" s="53">
        <v>1</v>
      </c>
      <c r="D62" s="53">
        <v>9</v>
      </c>
      <c r="E62" s="53">
        <v>24</v>
      </c>
    </row>
    <row r="63" spans="1:5" x14ac:dyDescent="0.25">
      <c r="A63" s="42" t="s">
        <v>61</v>
      </c>
      <c r="B63" s="53">
        <v>2</v>
      </c>
      <c r="C63" s="53">
        <v>1</v>
      </c>
      <c r="D63" s="53">
        <v>31</v>
      </c>
      <c r="E63" s="53">
        <v>45</v>
      </c>
    </row>
    <row r="64" spans="1:5" x14ac:dyDescent="0.25">
      <c r="A64" s="42" t="s">
        <v>62</v>
      </c>
      <c r="B64" s="53">
        <v>0</v>
      </c>
      <c r="C64" s="53">
        <v>1</v>
      </c>
      <c r="D64" s="53">
        <v>20</v>
      </c>
      <c r="E64" s="53">
        <v>32</v>
      </c>
    </row>
    <row r="65" spans="1:5" x14ac:dyDescent="0.25">
      <c r="A65" s="42" t="s">
        <v>63</v>
      </c>
      <c r="B65" s="53">
        <v>4</v>
      </c>
      <c r="C65" s="53">
        <v>3</v>
      </c>
      <c r="D65" s="53">
        <v>124</v>
      </c>
      <c r="E65" s="53">
        <v>144</v>
      </c>
    </row>
    <row r="66" spans="1:5" x14ac:dyDescent="0.25">
      <c r="A66" s="42" t="s">
        <v>64</v>
      </c>
      <c r="B66" s="53">
        <v>1</v>
      </c>
      <c r="C66" s="53">
        <v>1</v>
      </c>
      <c r="D66" s="53">
        <v>33</v>
      </c>
      <c r="E66" s="53">
        <v>32</v>
      </c>
    </row>
    <row r="67" spans="1:5" x14ac:dyDescent="0.25">
      <c r="A67" s="42" t="s">
        <v>65</v>
      </c>
      <c r="B67" s="53">
        <v>17</v>
      </c>
      <c r="C67" s="53">
        <v>32</v>
      </c>
      <c r="D67" s="53">
        <v>195</v>
      </c>
      <c r="E67" s="53">
        <v>218</v>
      </c>
    </row>
    <row r="68" spans="1:5" x14ac:dyDescent="0.25">
      <c r="A68" s="42" t="s">
        <v>66</v>
      </c>
      <c r="B68" s="53">
        <v>0</v>
      </c>
      <c r="C68" s="53">
        <v>0</v>
      </c>
      <c r="D68" s="53">
        <v>25</v>
      </c>
      <c r="E68" s="53">
        <v>36</v>
      </c>
    </row>
    <row r="69" spans="1:5" x14ac:dyDescent="0.25">
      <c r="A69" s="42" t="s">
        <v>67</v>
      </c>
      <c r="B69" s="53">
        <v>39</v>
      </c>
      <c r="C69" s="53">
        <v>21</v>
      </c>
      <c r="D69" s="53">
        <v>626</v>
      </c>
      <c r="E69" s="53">
        <v>682</v>
      </c>
    </row>
    <row r="70" spans="1:5" x14ac:dyDescent="0.25">
      <c r="A70" s="39" t="s">
        <v>68</v>
      </c>
      <c r="B70" s="43">
        <f>SUM(B3:B69)</f>
        <v>1099</v>
      </c>
      <c r="C70" s="43">
        <f>SUM(C3:C69)</f>
        <v>705</v>
      </c>
      <c r="D70" s="43">
        <f t="shared" ref="D70:E70" si="0">SUM(D3:D69)</f>
        <v>13950</v>
      </c>
      <c r="E70" s="43">
        <f t="shared" si="0"/>
        <v>11765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4"/>
      <c r="E137" s="94"/>
    </row>
    <row r="138" spans="4:5" ht="14.4" x14ac:dyDescent="0.25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H3" sqref="AH3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4"/>
      <c r="AA137" s="94"/>
    </row>
    <row r="138" spans="26:27" ht="14.4" x14ac:dyDescent="0.25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6" sqref="L16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6374</v>
      </c>
      <c r="C2" s="11">
        <v>10627</v>
      </c>
      <c r="D2" s="11">
        <v>10860</v>
      </c>
      <c r="E2" s="11">
        <v>10036</v>
      </c>
      <c r="F2" s="11">
        <v>13696</v>
      </c>
      <c r="G2" s="11">
        <v>14015</v>
      </c>
      <c r="H2" s="11">
        <v>10916</v>
      </c>
    </row>
    <row r="3" spans="1:8" x14ac:dyDescent="0.25">
      <c r="A3" s="11" t="s">
        <v>2</v>
      </c>
      <c r="B3" s="11">
        <v>80133</v>
      </c>
      <c r="C3" s="11">
        <v>172076</v>
      </c>
      <c r="D3" s="11">
        <v>161693</v>
      </c>
      <c r="E3" s="11">
        <v>122878</v>
      </c>
      <c r="F3" s="11">
        <v>132356</v>
      </c>
      <c r="G3" s="11">
        <v>139556</v>
      </c>
      <c r="H3" s="11">
        <v>108332</v>
      </c>
    </row>
    <row r="4" spans="1:8" x14ac:dyDescent="0.25">
      <c r="A4" s="11" t="s">
        <v>3</v>
      </c>
      <c r="B4" s="11">
        <v>3137</v>
      </c>
      <c r="C4" s="11">
        <v>5603</v>
      </c>
      <c r="D4" s="11">
        <v>6153</v>
      </c>
      <c r="E4" s="11">
        <v>6394</v>
      </c>
      <c r="F4" s="11">
        <v>7733</v>
      </c>
      <c r="G4" s="11">
        <v>8224</v>
      </c>
      <c r="H4" s="11">
        <v>6301</v>
      </c>
    </row>
    <row r="5" spans="1:8" x14ac:dyDescent="0.25">
      <c r="A5" s="11" t="s">
        <v>4</v>
      </c>
      <c r="B5" s="11">
        <v>7653</v>
      </c>
      <c r="C5" s="11">
        <v>16074</v>
      </c>
      <c r="D5" s="11">
        <v>17895</v>
      </c>
      <c r="E5" s="11">
        <v>16243</v>
      </c>
      <c r="F5" s="11">
        <v>19669</v>
      </c>
      <c r="G5" s="11">
        <v>20926</v>
      </c>
      <c r="H5" s="11">
        <v>15694</v>
      </c>
    </row>
    <row r="6" spans="1:8" x14ac:dyDescent="0.25">
      <c r="A6" s="11" t="s">
        <v>5</v>
      </c>
      <c r="B6" s="11">
        <v>2280</v>
      </c>
      <c r="C6" s="11">
        <v>4260</v>
      </c>
      <c r="D6" s="11">
        <v>4438</v>
      </c>
      <c r="E6" s="11">
        <v>4818</v>
      </c>
      <c r="F6" s="11">
        <v>6049</v>
      </c>
      <c r="G6" s="11">
        <v>6341</v>
      </c>
      <c r="H6" s="11">
        <v>4864</v>
      </c>
    </row>
    <row r="7" spans="1:8" x14ac:dyDescent="0.25">
      <c r="A7" s="11" t="s">
        <v>6</v>
      </c>
      <c r="B7" s="11">
        <v>23321</v>
      </c>
      <c r="C7" s="11">
        <v>41755</v>
      </c>
      <c r="D7" s="11">
        <v>43891</v>
      </c>
      <c r="E7" s="11">
        <v>40580</v>
      </c>
      <c r="F7" s="11">
        <v>47752</v>
      </c>
      <c r="G7" s="11">
        <v>42796</v>
      </c>
      <c r="H7" s="11">
        <v>33543</v>
      </c>
    </row>
    <row r="8" spans="1:8" x14ac:dyDescent="0.25">
      <c r="A8" s="11" t="s">
        <v>7</v>
      </c>
      <c r="B8" s="11">
        <v>6298</v>
      </c>
      <c r="C8" s="11">
        <v>11274</v>
      </c>
      <c r="D8" s="11">
        <v>12273</v>
      </c>
      <c r="E8" s="11">
        <v>12228</v>
      </c>
      <c r="F8" s="11">
        <v>13636</v>
      </c>
      <c r="G8" s="11">
        <v>13977</v>
      </c>
      <c r="H8" s="11">
        <v>11847</v>
      </c>
    </row>
    <row r="9" spans="1:8" x14ac:dyDescent="0.25">
      <c r="A9" s="11" t="s">
        <v>8</v>
      </c>
      <c r="B9" s="11">
        <v>2929</v>
      </c>
      <c r="C9" s="11">
        <v>5264</v>
      </c>
      <c r="D9" s="11">
        <v>5758</v>
      </c>
      <c r="E9" s="11">
        <v>5399</v>
      </c>
      <c r="F9" s="11">
        <v>6987</v>
      </c>
      <c r="G9" s="11">
        <v>6876</v>
      </c>
      <c r="H9" s="11">
        <v>5617</v>
      </c>
    </row>
    <row r="10" spans="1:8" x14ac:dyDescent="0.25">
      <c r="A10" s="11" t="s">
        <v>9</v>
      </c>
      <c r="B10" s="11">
        <v>39668</v>
      </c>
      <c r="C10" s="11">
        <v>68200</v>
      </c>
      <c r="D10" s="11">
        <v>73682</v>
      </c>
      <c r="E10" s="11">
        <v>71043</v>
      </c>
      <c r="F10" s="11">
        <v>87137</v>
      </c>
      <c r="G10" s="11">
        <v>82161</v>
      </c>
      <c r="H10" s="11">
        <v>62283</v>
      </c>
    </row>
    <row r="11" spans="1:8" x14ac:dyDescent="0.25">
      <c r="A11" s="11" t="s">
        <v>10</v>
      </c>
      <c r="B11" s="11">
        <v>11244</v>
      </c>
      <c r="C11" s="11">
        <v>20311</v>
      </c>
      <c r="D11" s="11">
        <v>22533</v>
      </c>
      <c r="E11" s="11">
        <v>20770</v>
      </c>
      <c r="F11" s="11">
        <v>25124</v>
      </c>
      <c r="G11" s="11">
        <v>24521</v>
      </c>
      <c r="H11" s="11">
        <v>18689</v>
      </c>
    </row>
    <row r="12" spans="1:8" x14ac:dyDescent="0.25">
      <c r="A12" s="11" t="s">
        <v>11</v>
      </c>
      <c r="B12" s="11">
        <v>6406</v>
      </c>
      <c r="C12" s="11">
        <v>11173</v>
      </c>
      <c r="D12" s="11">
        <v>12005</v>
      </c>
      <c r="E12" s="11">
        <v>12665</v>
      </c>
      <c r="F12" s="11">
        <v>14519</v>
      </c>
      <c r="G12" s="11">
        <v>16411</v>
      </c>
      <c r="H12" s="11">
        <v>12765</v>
      </c>
    </row>
    <row r="13" spans="1:8" x14ac:dyDescent="0.25">
      <c r="A13" s="11" t="s">
        <v>12</v>
      </c>
      <c r="B13" s="11">
        <v>146</v>
      </c>
      <c r="C13" s="11">
        <v>293</v>
      </c>
      <c r="D13" s="11">
        <v>359</v>
      </c>
      <c r="E13" s="11">
        <v>353</v>
      </c>
      <c r="F13" s="11">
        <v>548</v>
      </c>
      <c r="G13" s="11">
        <v>653</v>
      </c>
      <c r="H13" s="11">
        <v>522</v>
      </c>
    </row>
    <row r="14" spans="1:8" x14ac:dyDescent="0.25">
      <c r="A14" s="11" t="s">
        <v>13</v>
      </c>
      <c r="B14" s="11">
        <v>3174</v>
      </c>
      <c r="C14" s="11">
        <v>6197</v>
      </c>
      <c r="D14" s="11">
        <v>6817</v>
      </c>
      <c r="E14" s="11">
        <v>6817</v>
      </c>
      <c r="F14" s="11">
        <v>8652</v>
      </c>
      <c r="G14" s="11">
        <v>8263</v>
      </c>
      <c r="H14" s="11">
        <v>5829</v>
      </c>
    </row>
    <row r="15" spans="1:8" x14ac:dyDescent="0.25">
      <c r="A15" s="11" t="s">
        <v>14</v>
      </c>
      <c r="B15" s="11">
        <v>17933</v>
      </c>
      <c r="C15" s="11">
        <v>19328</v>
      </c>
      <c r="D15" s="11">
        <v>13798</v>
      </c>
      <c r="E15" s="11">
        <v>12305</v>
      </c>
      <c r="F15" s="11">
        <v>13940</v>
      </c>
      <c r="G15" s="11">
        <v>13520</v>
      </c>
      <c r="H15" s="11">
        <v>11397</v>
      </c>
    </row>
    <row r="16" spans="1:8" x14ac:dyDescent="0.25">
      <c r="A16" s="11" t="s">
        <v>15</v>
      </c>
      <c r="B16" s="11">
        <v>36990</v>
      </c>
      <c r="C16" s="11">
        <v>60368</v>
      </c>
      <c r="D16" s="11">
        <v>60009</v>
      </c>
      <c r="E16" s="11">
        <v>58786</v>
      </c>
      <c r="F16" s="11">
        <v>66882</v>
      </c>
      <c r="G16" s="11">
        <v>59653</v>
      </c>
      <c r="H16" s="11">
        <v>45972</v>
      </c>
    </row>
    <row r="17" spans="1:8" x14ac:dyDescent="0.25">
      <c r="A17" s="11" t="s">
        <v>16</v>
      </c>
      <c r="B17" s="11">
        <v>1700</v>
      </c>
      <c r="C17" s="11">
        <v>3062</v>
      </c>
      <c r="D17" s="11">
        <v>3278</v>
      </c>
      <c r="E17" s="11">
        <v>3398</v>
      </c>
      <c r="F17" s="11">
        <v>4199</v>
      </c>
      <c r="G17" s="11">
        <v>4316</v>
      </c>
      <c r="H17" s="11">
        <v>3397</v>
      </c>
    </row>
    <row r="18" spans="1:8" x14ac:dyDescent="0.25">
      <c r="A18" s="11" t="s">
        <v>17</v>
      </c>
      <c r="B18" s="11">
        <v>3369</v>
      </c>
      <c r="C18" s="11">
        <v>6452</v>
      </c>
      <c r="D18" s="11">
        <v>7089</v>
      </c>
      <c r="E18" s="11">
        <v>7467</v>
      </c>
      <c r="F18" s="11">
        <v>9160</v>
      </c>
      <c r="G18" s="11">
        <v>9001</v>
      </c>
      <c r="H18" s="11">
        <v>7013</v>
      </c>
    </row>
    <row r="19" spans="1:8" x14ac:dyDescent="0.25">
      <c r="A19" s="11" t="s">
        <v>18</v>
      </c>
      <c r="B19" s="11">
        <v>1724</v>
      </c>
      <c r="C19" s="11">
        <v>3287</v>
      </c>
      <c r="D19" s="11">
        <v>3284</v>
      </c>
      <c r="E19" s="11">
        <v>3344</v>
      </c>
      <c r="F19" s="11">
        <v>3824</v>
      </c>
      <c r="G19" s="11">
        <v>3962</v>
      </c>
      <c r="H19" s="11">
        <v>3082</v>
      </c>
    </row>
    <row r="20" spans="1:8" x14ac:dyDescent="0.25">
      <c r="A20" s="11" t="s">
        <v>19</v>
      </c>
      <c r="B20" s="11">
        <v>3828</v>
      </c>
      <c r="C20" s="11">
        <v>5892</v>
      </c>
      <c r="D20" s="11">
        <v>5896</v>
      </c>
      <c r="E20" s="11">
        <v>5790</v>
      </c>
      <c r="F20" s="11">
        <v>6750</v>
      </c>
      <c r="G20" s="11">
        <v>6945</v>
      </c>
      <c r="H20" s="11">
        <v>5480</v>
      </c>
    </row>
    <row r="21" spans="1:8" x14ac:dyDescent="0.25">
      <c r="A21" s="11" t="s">
        <v>20</v>
      </c>
      <c r="B21" s="11">
        <v>3998</v>
      </c>
      <c r="C21" s="11">
        <v>7025</v>
      </c>
      <c r="D21" s="11">
        <v>7467</v>
      </c>
      <c r="E21" s="11">
        <v>7400</v>
      </c>
      <c r="F21" s="11">
        <v>9345</v>
      </c>
      <c r="G21" s="11">
        <v>9754</v>
      </c>
      <c r="H21" s="11">
        <v>8129</v>
      </c>
    </row>
    <row r="22" spans="1:8" x14ac:dyDescent="0.25">
      <c r="A22" s="11" t="s">
        <v>21</v>
      </c>
      <c r="B22" s="11">
        <v>15974</v>
      </c>
      <c r="C22" s="11">
        <v>27866</v>
      </c>
      <c r="D22" s="11">
        <v>30211</v>
      </c>
      <c r="E22" s="11">
        <v>27212</v>
      </c>
      <c r="F22" s="11">
        <v>29260</v>
      </c>
      <c r="G22" s="11">
        <v>28183</v>
      </c>
      <c r="H22" s="11">
        <v>24255</v>
      </c>
    </row>
    <row r="23" spans="1:8" x14ac:dyDescent="0.25">
      <c r="A23" s="11" t="s">
        <v>22</v>
      </c>
      <c r="B23" s="11">
        <v>16838</v>
      </c>
      <c r="C23" s="11">
        <v>34409</v>
      </c>
      <c r="D23" s="11">
        <v>34472</v>
      </c>
      <c r="E23" s="11">
        <v>29900</v>
      </c>
      <c r="F23" s="11">
        <v>32512</v>
      </c>
      <c r="G23" s="11">
        <v>30298</v>
      </c>
      <c r="H23" s="11">
        <v>21629</v>
      </c>
    </row>
    <row r="24" spans="1:8" x14ac:dyDescent="0.25">
      <c r="A24" s="11" t="s">
        <v>23</v>
      </c>
      <c r="B24" s="11">
        <v>38013</v>
      </c>
      <c r="C24" s="11">
        <v>66258</v>
      </c>
      <c r="D24" s="11">
        <v>72297</v>
      </c>
      <c r="E24" s="11">
        <v>60695</v>
      </c>
      <c r="F24" s="11">
        <v>65439</v>
      </c>
      <c r="G24" s="11">
        <v>61945</v>
      </c>
      <c r="H24" s="11">
        <v>45555</v>
      </c>
    </row>
    <row r="25" spans="1:8" x14ac:dyDescent="0.25">
      <c r="A25" s="11" t="s">
        <v>24</v>
      </c>
      <c r="B25" s="11">
        <v>1486</v>
      </c>
      <c r="C25" s="11">
        <v>2550</v>
      </c>
      <c r="D25" s="11">
        <v>2749</v>
      </c>
      <c r="E25" s="11">
        <v>2843</v>
      </c>
      <c r="F25" s="11">
        <v>3916</v>
      </c>
      <c r="G25" s="11">
        <v>3936</v>
      </c>
      <c r="H25" s="11">
        <v>3009</v>
      </c>
    </row>
    <row r="26" spans="1:8" x14ac:dyDescent="0.25">
      <c r="A26" s="11" t="s">
        <v>25</v>
      </c>
      <c r="B26" s="11">
        <v>14690</v>
      </c>
      <c r="C26" s="11">
        <v>27150</v>
      </c>
      <c r="D26" s="11">
        <v>27194</v>
      </c>
      <c r="E26" s="11">
        <v>25199</v>
      </c>
      <c r="F26" s="11">
        <v>28778</v>
      </c>
      <c r="G26" s="11">
        <v>29591</v>
      </c>
      <c r="H26" s="11">
        <v>22350</v>
      </c>
    </row>
    <row r="27" spans="1:8" x14ac:dyDescent="0.25">
      <c r="A27" s="11" t="s">
        <v>26</v>
      </c>
      <c r="B27" s="11">
        <v>5137</v>
      </c>
      <c r="C27" s="11">
        <v>10767</v>
      </c>
      <c r="D27" s="11">
        <v>11638</v>
      </c>
      <c r="E27" s="11">
        <v>12086</v>
      </c>
      <c r="F27" s="11">
        <v>14103</v>
      </c>
      <c r="G27" s="11">
        <v>14658</v>
      </c>
      <c r="H27" s="11">
        <v>11220</v>
      </c>
    </row>
    <row r="28" spans="1:8" x14ac:dyDescent="0.25">
      <c r="A28" s="11" t="s">
        <v>27</v>
      </c>
      <c r="B28" s="11">
        <v>146</v>
      </c>
      <c r="C28" s="11">
        <v>242</v>
      </c>
      <c r="D28" s="11">
        <v>295</v>
      </c>
      <c r="E28" s="11">
        <v>390</v>
      </c>
      <c r="F28" s="11">
        <v>664</v>
      </c>
      <c r="G28" s="11">
        <v>838</v>
      </c>
      <c r="H28" s="11">
        <v>636</v>
      </c>
    </row>
    <row r="29" spans="1:8" x14ac:dyDescent="0.25">
      <c r="A29" s="11" t="s">
        <v>28</v>
      </c>
      <c r="B29" s="11">
        <v>8307</v>
      </c>
      <c r="C29" s="11">
        <v>15361</v>
      </c>
      <c r="D29" s="11">
        <v>16053</v>
      </c>
      <c r="E29" s="11">
        <v>15760</v>
      </c>
      <c r="F29" s="11">
        <v>18050</v>
      </c>
      <c r="G29" s="11">
        <v>16919</v>
      </c>
      <c r="H29" s="11">
        <v>14735</v>
      </c>
    </row>
    <row r="30" spans="1:8" x14ac:dyDescent="0.25">
      <c r="A30" s="11" t="s">
        <v>29</v>
      </c>
      <c r="B30" s="11">
        <v>733</v>
      </c>
      <c r="C30" s="11">
        <v>1371</v>
      </c>
      <c r="D30" s="11">
        <v>1387</v>
      </c>
      <c r="E30" s="11">
        <v>1548</v>
      </c>
      <c r="F30" s="11">
        <v>1884</v>
      </c>
      <c r="G30" s="11">
        <v>1753</v>
      </c>
      <c r="H30" s="11">
        <v>1456</v>
      </c>
    </row>
    <row r="31" spans="1:8" x14ac:dyDescent="0.25">
      <c r="A31" s="11" t="s">
        <v>30</v>
      </c>
      <c r="B31" s="11">
        <v>1540</v>
      </c>
      <c r="C31" s="11">
        <v>2993</v>
      </c>
      <c r="D31" s="11">
        <v>3071</v>
      </c>
      <c r="E31" s="11">
        <v>3412</v>
      </c>
      <c r="F31" s="11">
        <v>3800</v>
      </c>
      <c r="G31" s="11">
        <v>3990</v>
      </c>
      <c r="H31" s="11">
        <v>2992</v>
      </c>
    </row>
    <row r="32" spans="1:8" x14ac:dyDescent="0.25">
      <c r="A32" s="11" t="s">
        <v>31</v>
      </c>
      <c r="B32" s="11">
        <v>2332</v>
      </c>
      <c r="C32" s="11">
        <v>3694</v>
      </c>
      <c r="D32" s="11">
        <v>3647</v>
      </c>
      <c r="E32" s="11">
        <v>3986</v>
      </c>
      <c r="F32" s="11">
        <v>4950</v>
      </c>
      <c r="G32" s="11">
        <v>5059</v>
      </c>
      <c r="H32" s="11">
        <v>4203</v>
      </c>
    </row>
    <row r="33" spans="1:8" x14ac:dyDescent="0.25">
      <c r="A33" s="11" t="s">
        <v>32</v>
      </c>
      <c r="B33" s="11">
        <v>4558</v>
      </c>
      <c r="C33" s="11">
        <v>6600</v>
      </c>
      <c r="D33" s="11">
        <v>6757</v>
      </c>
      <c r="E33" s="11">
        <v>6922</v>
      </c>
      <c r="F33" s="11">
        <v>8337</v>
      </c>
      <c r="G33" s="11">
        <v>8998</v>
      </c>
      <c r="H33" s="11">
        <v>6988</v>
      </c>
    </row>
    <row r="34" spans="1:8" x14ac:dyDescent="0.25">
      <c r="A34" s="11" t="s">
        <v>33</v>
      </c>
      <c r="B34" s="11">
        <v>2107</v>
      </c>
      <c r="C34" s="11">
        <v>3564</v>
      </c>
      <c r="D34" s="11">
        <v>4146</v>
      </c>
      <c r="E34" s="11">
        <v>4065</v>
      </c>
      <c r="F34" s="11">
        <v>4919</v>
      </c>
      <c r="G34" s="11">
        <v>5296</v>
      </c>
      <c r="H34" s="11">
        <v>4000</v>
      </c>
    </row>
    <row r="35" spans="1:8" x14ac:dyDescent="0.25">
      <c r="A35" s="11" t="s">
        <v>34</v>
      </c>
      <c r="B35" s="11">
        <v>971</v>
      </c>
      <c r="C35" s="11">
        <v>1758</v>
      </c>
      <c r="D35" s="11">
        <v>1999</v>
      </c>
      <c r="E35" s="11">
        <v>2094</v>
      </c>
      <c r="F35" s="11">
        <v>2608</v>
      </c>
      <c r="G35" s="11">
        <v>2563</v>
      </c>
      <c r="H35" s="11">
        <v>2073</v>
      </c>
    </row>
    <row r="36" spans="1:8" x14ac:dyDescent="0.25">
      <c r="A36" s="11" t="s">
        <v>35</v>
      </c>
      <c r="B36" s="11">
        <v>12067</v>
      </c>
      <c r="C36" s="11">
        <v>22696</v>
      </c>
      <c r="D36" s="11">
        <v>24051</v>
      </c>
      <c r="E36" s="11">
        <v>21614</v>
      </c>
      <c r="F36" s="11">
        <v>24993</v>
      </c>
      <c r="G36" s="11">
        <v>24132</v>
      </c>
      <c r="H36" s="11">
        <v>19748</v>
      </c>
    </row>
    <row r="37" spans="1:8" x14ac:dyDescent="0.25">
      <c r="A37" s="11" t="s">
        <v>36</v>
      </c>
      <c r="B37" s="11">
        <v>30807</v>
      </c>
      <c r="C37" s="11">
        <v>58628</v>
      </c>
      <c r="D37" s="11">
        <v>59385</v>
      </c>
      <c r="E37" s="11">
        <v>50903</v>
      </c>
      <c r="F37" s="11">
        <v>56905</v>
      </c>
      <c r="G37" s="11">
        <v>57373</v>
      </c>
      <c r="H37" s="11">
        <v>49477</v>
      </c>
    </row>
    <row r="38" spans="1:8" x14ac:dyDescent="0.25">
      <c r="A38" s="11" t="s">
        <v>37</v>
      </c>
      <c r="B38" s="11">
        <v>4331</v>
      </c>
      <c r="C38" s="11">
        <v>7847</v>
      </c>
      <c r="D38" s="11">
        <v>8341</v>
      </c>
      <c r="E38" s="11">
        <v>8302</v>
      </c>
      <c r="F38" s="11">
        <v>9794</v>
      </c>
      <c r="G38" s="11">
        <v>10373</v>
      </c>
      <c r="H38" s="11">
        <v>8369</v>
      </c>
    </row>
    <row r="39" spans="1:8" x14ac:dyDescent="0.25">
      <c r="A39" s="11" t="s">
        <v>38</v>
      </c>
      <c r="B39" s="11">
        <v>7259</v>
      </c>
      <c r="C39" s="11">
        <v>13075</v>
      </c>
      <c r="D39" s="11">
        <v>14452</v>
      </c>
      <c r="E39" s="11">
        <v>14067</v>
      </c>
      <c r="F39" s="11">
        <v>15938</v>
      </c>
      <c r="G39" s="11">
        <v>15653</v>
      </c>
      <c r="H39" s="11">
        <v>13408</v>
      </c>
    </row>
    <row r="40" spans="1:8" x14ac:dyDescent="0.25">
      <c r="A40" s="11" t="s">
        <v>39</v>
      </c>
      <c r="B40" s="11">
        <v>21536</v>
      </c>
      <c r="C40" s="11">
        <v>41622</v>
      </c>
      <c r="D40" s="11">
        <v>42368</v>
      </c>
      <c r="E40" s="11">
        <v>38521</v>
      </c>
      <c r="F40" s="11">
        <v>41341</v>
      </c>
      <c r="G40" s="11">
        <v>38338</v>
      </c>
      <c r="H40" s="11">
        <v>29697</v>
      </c>
    </row>
    <row r="41" spans="1:8" x14ac:dyDescent="0.25">
      <c r="A41" s="11" t="s">
        <v>40</v>
      </c>
      <c r="B41" s="11">
        <v>15818</v>
      </c>
      <c r="C41" s="11">
        <v>30654</v>
      </c>
      <c r="D41" s="11">
        <v>33008</v>
      </c>
      <c r="E41" s="11">
        <v>30601</v>
      </c>
      <c r="F41" s="11">
        <v>35948</v>
      </c>
      <c r="G41" s="11">
        <v>33399</v>
      </c>
      <c r="H41" s="11">
        <v>27294</v>
      </c>
    </row>
    <row r="42" spans="1:8" x14ac:dyDescent="0.25">
      <c r="A42" s="11" t="s">
        <v>41</v>
      </c>
      <c r="B42" s="11">
        <v>5581</v>
      </c>
      <c r="C42" s="11">
        <v>10019</v>
      </c>
      <c r="D42" s="11">
        <v>11446</v>
      </c>
      <c r="E42" s="11">
        <v>10441</v>
      </c>
      <c r="F42" s="11">
        <v>12224</v>
      </c>
      <c r="G42" s="11">
        <v>12986</v>
      </c>
      <c r="H42" s="11">
        <v>9957</v>
      </c>
    </row>
    <row r="43" spans="1:8" x14ac:dyDescent="0.25">
      <c r="A43" s="11" t="s">
        <v>91</v>
      </c>
      <c r="B43" s="11">
        <v>1798</v>
      </c>
      <c r="C43" s="11">
        <v>3236</v>
      </c>
      <c r="D43" s="11">
        <v>3652</v>
      </c>
      <c r="E43" s="11">
        <v>3754</v>
      </c>
      <c r="F43" s="11">
        <v>4538</v>
      </c>
      <c r="G43" s="11">
        <v>4649</v>
      </c>
      <c r="H43" s="11">
        <v>3547</v>
      </c>
    </row>
    <row r="44" spans="1:8" x14ac:dyDescent="0.25">
      <c r="A44" s="11" t="s">
        <v>43</v>
      </c>
      <c r="B44" s="11">
        <v>5576</v>
      </c>
      <c r="C44" s="11">
        <v>9814</v>
      </c>
      <c r="D44" s="11">
        <v>9948</v>
      </c>
      <c r="E44" s="11">
        <v>9882</v>
      </c>
      <c r="F44" s="11">
        <v>12367</v>
      </c>
      <c r="G44" s="11">
        <v>13469</v>
      </c>
      <c r="H44" s="11">
        <v>10807</v>
      </c>
    </row>
    <row r="45" spans="1:8" x14ac:dyDescent="0.25">
      <c r="A45" s="11" t="s">
        <v>44</v>
      </c>
      <c r="B45" s="11">
        <v>1736</v>
      </c>
      <c r="C45" s="11">
        <v>3654</v>
      </c>
      <c r="D45" s="11">
        <v>3874</v>
      </c>
      <c r="E45" s="11">
        <v>3904</v>
      </c>
      <c r="F45" s="11">
        <v>5038</v>
      </c>
      <c r="G45" s="11">
        <v>4743</v>
      </c>
      <c r="H45" s="11">
        <v>4166</v>
      </c>
    </row>
    <row r="46" spans="1:8" x14ac:dyDescent="0.25">
      <c r="A46" s="11" t="s">
        <v>45</v>
      </c>
      <c r="B46" s="11">
        <v>9633</v>
      </c>
      <c r="C46" s="11">
        <v>17437</v>
      </c>
      <c r="D46" s="11">
        <v>17627</v>
      </c>
      <c r="E46" s="11">
        <v>17388</v>
      </c>
      <c r="F46" s="11">
        <v>22568</v>
      </c>
      <c r="G46" s="11">
        <v>20118</v>
      </c>
      <c r="H46" s="11">
        <v>12307</v>
      </c>
    </row>
    <row r="47" spans="1:8" x14ac:dyDescent="0.25">
      <c r="A47" s="11" t="s">
        <v>46</v>
      </c>
      <c r="B47" s="11">
        <v>53972</v>
      </c>
      <c r="C47" s="11">
        <v>96245</v>
      </c>
      <c r="D47" s="11">
        <v>104667</v>
      </c>
      <c r="E47" s="11">
        <v>93370</v>
      </c>
      <c r="F47" s="11">
        <v>101793</v>
      </c>
      <c r="G47" s="11">
        <v>95121</v>
      </c>
      <c r="H47" s="11">
        <v>77065</v>
      </c>
    </row>
    <row r="48" spans="1:8" x14ac:dyDescent="0.25">
      <c r="A48" s="11" t="s">
        <v>47</v>
      </c>
      <c r="B48" s="11">
        <v>833</v>
      </c>
      <c r="C48" s="11">
        <v>1853</v>
      </c>
      <c r="D48" s="11">
        <v>2012</v>
      </c>
      <c r="E48" s="11">
        <v>1647</v>
      </c>
      <c r="F48" s="11">
        <v>1987</v>
      </c>
      <c r="G48" s="11">
        <v>2165</v>
      </c>
      <c r="H48" s="11">
        <v>1830</v>
      </c>
    </row>
    <row r="49" spans="1:8" x14ac:dyDescent="0.25">
      <c r="A49" s="11" t="s">
        <v>48</v>
      </c>
      <c r="B49" s="11">
        <v>22637</v>
      </c>
      <c r="C49" s="11">
        <v>36751</v>
      </c>
      <c r="D49" s="11">
        <v>35668</v>
      </c>
      <c r="E49" s="11">
        <v>33132</v>
      </c>
      <c r="F49" s="11">
        <v>38569</v>
      </c>
      <c r="G49" s="11">
        <v>36323</v>
      </c>
      <c r="H49" s="11">
        <v>28825</v>
      </c>
    </row>
    <row r="50" spans="1:8" x14ac:dyDescent="0.25">
      <c r="A50" s="11" t="s">
        <v>49</v>
      </c>
      <c r="B50" s="11">
        <v>3691</v>
      </c>
      <c r="C50" s="11">
        <v>7192</v>
      </c>
      <c r="D50" s="11">
        <v>8545</v>
      </c>
      <c r="E50" s="11">
        <v>8185</v>
      </c>
      <c r="F50" s="11">
        <v>9727</v>
      </c>
      <c r="G50" s="11">
        <v>10027</v>
      </c>
      <c r="H50" s="11">
        <v>7960</v>
      </c>
    </row>
    <row r="51" spans="1:8" x14ac:dyDescent="0.25">
      <c r="A51" s="11" t="s">
        <v>50</v>
      </c>
      <c r="B51" s="11">
        <v>2378</v>
      </c>
      <c r="C51" s="11">
        <v>4316</v>
      </c>
      <c r="D51" s="11">
        <v>4861</v>
      </c>
      <c r="E51" s="11">
        <v>4765</v>
      </c>
      <c r="F51" s="11">
        <v>5822</v>
      </c>
      <c r="G51" s="11">
        <v>5375</v>
      </c>
      <c r="H51" s="11">
        <v>3739</v>
      </c>
    </row>
    <row r="52" spans="1:8" x14ac:dyDescent="0.25">
      <c r="A52" s="11" t="s">
        <v>51</v>
      </c>
      <c r="B52" s="11">
        <v>98262</v>
      </c>
      <c r="C52" s="11">
        <v>257707</v>
      </c>
      <c r="D52" s="11">
        <v>220349</v>
      </c>
      <c r="E52" s="11">
        <v>143369</v>
      </c>
      <c r="F52" s="11">
        <v>144842</v>
      </c>
      <c r="G52" s="11">
        <v>126663</v>
      </c>
      <c r="H52" s="11">
        <v>91440</v>
      </c>
    </row>
    <row r="53" spans="1:8" x14ac:dyDescent="0.25">
      <c r="A53" s="11" t="s">
        <v>52</v>
      </c>
      <c r="B53" s="11">
        <v>3160</v>
      </c>
      <c r="C53" s="11">
        <v>5908</v>
      </c>
      <c r="D53" s="11">
        <v>6454</v>
      </c>
      <c r="E53" s="11">
        <v>6602</v>
      </c>
      <c r="F53" s="11">
        <v>9546</v>
      </c>
      <c r="G53" s="11">
        <v>9159</v>
      </c>
      <c r="H53" s="11">
        <v>6301</v>
      </c>
    </row>
    <row r="54" spans="1:8" x14ac:dyDescent="0.25">
      <c r="A54" s="11" t="s">
        <v>53</v>
      </c>
      <c r="B54" s="11">
        <v>750</v>
      </c>
      <c r="C54" s="11">
        <v>1280</v>
      </c>
      <c r="D54" s="11">
        <v>1463</v>
      </c>
      <c r="E54" s="11">
        <v>1511</v>
      </c>
      <c r="F54" s="11">
        <v>2042</v>
      </c>
      <c r="G54" s="11">
        <v>2221</v>
      </c>
      <c r="H54" s="11">
        <v>1764</v>
      </c>
    </row>
    <row r="55" spans="1:8" x14ac:dyDescent="0.25">
      <c r="A55" s="11" t="s">
        <v>54</v>
      </c>
      <c r="B55" s="11">
        <v>6886</v>
      </c>
      <c r="C55" s="11">
        <v>12402</v>
      </c>
      <c r="D55" s="11">
        <v>13801</v>
      </c>
      <c r="E55" s="11">
        <v>14204</v>
      </c>
      <c r="F55" s="11">
        <v>16650</v>
      </c>
      <c r="G55" s="11">
        <v>16119</v>
      </c>
      <c r="H55" s="11">
        <v>12185</v>
      </c>
    </row>
    <row r="56" spans="1:8" x14ac:dyDescent="0.25">
      <c r="A56" s="11" t="s">
        <v>55</v>
      </c>
      <c r="B56" s="11">
        <v>2276</v>
      </c>
      <c r="C56" s="11">
        <v>3193</v>
      </c>
      <c r="D56" s="11">
        <v>3476</v>
      </c>
      <c r="E56" s="11">
        <v>3436</v>
      </c>
      <c r="F56" s="11">
        <v>4154</v>
      </c>
      <c r="G56" s="11">
        <v>3971</v>
      </c>
      <c r="H56" s="11">
        <v>3359</v>
      </c>
    </row>
    <row r="57" spans="1:8" x14ac:dyDescent="0.25">
      <c r="A57" s="11" t="s">
        <v>56</v>
      </c>
      <c r="B57" s="11">
        <v>3311</v>
      </c>
      <c r="C57" s="11">
        <v>5962</v>
      </c>
      <c r="D57" s="11">
        <v>6724</v>
      </c>
      <c r="E57" s="11">
        <v>7039</v>
      </c>
      <c r="F57" s="11">
        <v>8585</v>
      </c>
      <c r="G57" s="11">
        <v>9362</v>
      </c>
      <c r="H57" s="11">
        <v>7439</v>
      </c>
    </row>
    <row r="58" spans="1:8" x14ac:dyDescent="0.25">
      <c r="A58" s="11" t="s">
        <v>57</v>
      </c>
      <c r="B58" s="11">
        <v>238</v>
      </c>
      <c r="C58" s="11">
        <v>418</v>
      </c>
      <c r="D58" s="11">
        <v>568</v>
      </c>
      <c r="E58" s="11">
        <v>552</v>
      </c>
      <c r="F58" s="11">
        <v>808</v>
      </c>
      <c r="G58" s="11">
        <v>1072</v>
      </c>
      <c r="H58" s="11">
        <v>792</v>
      </c>
    </row>
    <row r="59" spans="1:8" x14ac:dyDescent="0.25">
      <c r="A59" s="11" t="s">
        <v>58</v>
      </c>
      <c r="B59" s="11">
        <v>1906</v>
      </c>
      <c r="C59" s="11">
        <v>3643</v>
      </c>
      <c r="D59" s="11">
        <v>3977</v>
      </c>
      <c r="E59" s="11">
        <v>3703</v>
      </c>
      <c r="F59" s="11">
        <v>5093</v>
      </c>
      <c r="G59" s="11">
        <v>5357</v>
      </c>
      <c r="H59" s="11">
        <v>4219</v>
      </c>
    </row>
    <row r="60" spans="1:8" x14ac:dyDescent="0.25">
      <c r="A60" s="11" t="s">
        <v>59</v>
      </c>
      <c r="B60" s="11">
        <v>1896</v>
      </c>
      <c r="C60" s="11">
        <v>3268</v>
      </c>
      <c r="D60" s="11">
        <v>3913</v>
      </c>
      <c r="E60" s="11">
        <v>3741</v>
      </c>
      <c r="F60" s="11">
        <v>4759</v>
      </c>
      <c r="G60" s="11">
        <v>5076</v>
      </c>
      <c r="H60" s="11">
        <v>4135</v>
      </c>
    </row>
    <row r="61" spans="1:8" x14ac:dyDescent="0.25">
      <c r="A61" s="11" t="s">
        <v>60</v>
      </c>
      <c r="B61" s="11">
        <v>3687</v>
      </c>
      <c r="C61" s="11">
        <v>4010</v>
      </c>
      <c r="D61" s="11">
        <v>3634</v>
      </c>
      <c r="E61" s="11">
        <v>3448</v>
      </c>
      <c r="F61" s="11">
        <v>3998</v>
      </c>
      <c r="G61" s="11">
        <v>3885</v>
      </c>
      <c r="H61" s="11">
        <v>3713</v>
      </c>
    </row>
    <row r="62" spans="1:8" x14ac:dyDescent="0.25">
      <c r="A62" s="11" t="s">
        <v>61</v>
      </c>
      <c r="B62" s="11">
        <v>2218</v>
      </c>
      <c r="C62" s="11">
        <v>3944</v>
      </c>
      <c r="D62" s="11">
        <v>4642</v>
      </c>
      <c r="E62" s="11">
        <v>4761</v>
      </c>
      <c r="F62" s="11">
        <v>5716</v>
      </c>
      <c r="G62" s="11">
        <v>6594</v>
      </c>
      <c r="H62" s="11">
        <v>4916</v>
      </c>
    </row>
    <row r="63" spans="1:8" x14ac:dyDescent="0.25">
      <c r="A63" s="11" t="s">
        <v>62</v>
      </c>
      <c r="B63" s="11">
        <v>1750</v>
      </c>
      <c r="C63" s="11">
        <v>3042</v>
      </c>
      <c r="D63" s="11">
        <v>3610</v>
      </c>
      <c r="E63" s="11">
        <v>3515</v>
      </c>
      <c r="F63" s="11">
        <v>4702</v>
      </c>
      <c r="G63" s="11">
        <v>5010</v>
      </c>
      <c r="H63" s="11">
        <v>3794</v>
      </c>
    </row>
    <row r="64" spans="1:8" x14ac:dyDescent="0.25">
      <c r="A64" s="11" t="s">
        <v>63</v>
      </c>
      <c r="B64" s="11">
        <v>10531</v>
      </c>
      <c r="C64" s="11">
        <v>19757</v>
      </c>
      <c r="D64" s="11">
        <v>22546</v>
      </c>
      <c r="E64" s="11">
        <v>21345</v>
      </c>
      <c r="F64" s="11">
        <v>25169</v>
      </c>
      <c r="G64" s="11">
        <v>26087</v>
      </c>
      <c r="H64" s="11">
        <v>20003</v>
      </c>
    </row>
    <row r="65" spans="1:8" x14ac:dyDescent="0.25">
      <c r="A65" s="11" t="s">
        <v>64</v>
      </c>
      <c r="B65" s="11">
        <v>2234</v>
      </c>
      <c r="C65" s="11">
        <v>4516</v>
      </c>
      <c r="D65" s="11">
        <v>5016</v>
      </c>
      <c r="E65" s="11">
        <v>4899</v>
      </c>
      <c r="F65" s="11">
        <v>6923</v>
      </c>
      <c r="G65" s="11">
        <v>7390</v>
      </c>
      <c r="H65" s="11">
        <v>5607</v>
      </c>
    </row>
    <row r="66" spans="1:8" x14ac:dyDescent="0.25">
      <c r="A66" s="11" t="s">
        <v>65</v>
      </c>
      <c r="B66" s="11">
        <v>17610</v>
      </c>
      <c r="C66" s="11">
        <v>33085</v>
      </c>
      <c r="D66" s="11">
        <v>36324</v>
      </c>
      <c r="E66" s="11">
        <v>35207</v>
      </c>
      <c r="F66" s="11">
        <v>44278</v>
      </c>
      <c r="G66" s="11">
        <v>46619</v>
      </c>
      <c r="H66" s="11">
        <v>37931</v>
      </c>
    </row>
    <row r="67" spans="1:8" x14ac:dyDescent="0.25">
      <c r="A67" s="11" t="s">
        <v>66</v>
      </c>
      <c r="B67" s="11">
        <v>1371</v>
      </c>
      <c r="C67" s="11">
        <v>2485</v>
      </c>
      <c r="D67" s="11">
        <v>2721</v>
      </c>
      <c r="E67" s="11">
        <v>2693</v>
      </c>
      <c r="F67" s="11">
        <v>3237</v>
      </c>
      <c r="G67" s="11">
        <v>3358</v>
      </c>
      <c r="H67" s="11">
        <v>2622</v>
      </c>
    </row>
    <row r="68" spans="1:8" ht="13.8" thickBot="1" x14ac:dyDescent="0.3">
      <c r="A68" s="13" t="s">
        <v>67</v>
      </c>
      <c r="B68" s="13">
        <v>26705</v>
      </c>
      <c r="C68" s="13">
        <v>50060</v>
      </c>
      <c r="D68" s="13">
        <v>54493</v>
      </c>
      <c r="E68" s="13">
        <v>50126</v>
      </c>
      <c r="F68" s="13">
        <v>57075</v>
      </c>
      <c r="G68" s="13">
        <v>50305</v>
      </c>
      <c r="H68" s="13">
        <v>37966</v>
      </c>
    </row>
    <row r="69" spans="1:8" x14ac:dyDescent="0.25">
      <c r="A69" s="32" t="s">
        <v>68</v>
      </c>
      <c r="B69" s="32">
        <f>SUM(B2:B68)</f>
        <v>759581</v>
      </c>
      <c r="C69" s="32">
        <f t="shared" ref="C69:G69" si="0">SUM(C2:C68)</f>
        <v>1462823</v>
      </c>
      <c r="D69" s="32">
        <f t="shared" si="0"/>
        <v>1472710</v>
      </c>
      <c r="E69" s="32">
        <f t="shared" si="0"/>
        <v>1285453</v>
      </c>
      <c r="F69" s="32">
        <f t="shared" si="0"/>
        <v>1464307</v>
      </c>
      <c r="G69" s="32">
        <f t="shared" si="0"/>
        <v>1418390</v>
      </c>
      <c r="H69" s="32">
        <f>SUM(H2:H68)</f>
        <v>1103155</v>
      </c>
    </row>
    <row r="70" spans="1:8" x14ac:dyDescent="0.25">
      <c r="B70" s="17">
        <f t="shared" ref="B70:H70" si="1">B69/$B$72</f>
        <v>8.4713975557020038E-2</v>
      </c>
      <c r="C70" s="17">
        <f>C69/$B$72</f>
        <v>0.16314461771193159</v>
      </c>
      <c r="D70" s="17">
        <f>D69/$B$72</f>
        <v>0.16424728757377946</v>
      </c>
      <c r="E70" s="17">
        <f t="shared" si="1"/>
        <v>0.14336303043611948</v>
      </c>
      <c r="F70" s="17">
        <f t="shared" si="1"/>
        <v>0.16331012414209062</v>
      </c>
      <c r="G70" s="17">
        <f t="shared" si="1"/>
        <v>0.15818912767739274</v>
      </c>
      <c r="H70" s="17">
        <f t="shared" si="1"/>
        <v>0.12303183690166609</v>
      </c>
    </row>
    <row r="72" spans="1:8" x14ac:dyDescent="0.25">
      <c r="A72" s="32" t="s">
        <v>80</v>
      </c>
      <c r="B72" s="16">
        <f>SUM(B69:H69)</f>
        <v>8966419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73" sqref="C73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1980</v>
      </c>
      <c r="D2" s="11">
        <v>2769</v>
      </c>
      <c r="E2" s="11">
        <v>2344</v>
      </c>
      <c r="F2" s="11">
        <v>2122</v>
      </c>
      <c r="G2" s="11">
        <v>2651</v>
      </c>
      <c r="H2" s="11">
        <v>3794</v>
      </c>
      <c r="I2" s="11">
        <v>3523</v>
      </c>
    </row>
    <row r="3" spans="1:9" x14ac:dyDescent="0.25">
      <c r="A3" s="11" t="s">
        <v>2</v>
      </c>
      <c r="B3" s="10" t="s">
        <v>0</v>
      </c>
      <c r="C3" s="11">
        <v>41805</v>
      </c>
      <c r="D3" s="11">
        <v>94542</v>
      </c>
      <c r="E3" s="11">
        <v>89379</v>
      </c>
      <c r="F3" s="11">
        <v>64093</v>
      </c>
      <c r="G3" s="11">
        <v>67789</v>
      </c>
      <c r="H3" s="11">
        <v>80197</v>
      </c>
      <c r="I3" s="11">
        <v>65486</v>
      </c>
    </row>
    <row r="4" spans="1:9" x14ac:dyDescent="0.25">
      <c r="A4" s="11" t="s">
        <v>3</v>
      </c>
      <c r="B4" s="10" t="s">
        <v>0</v>
      </c>
      <c r="C4" s="11">
        <v>610</v>
      </c>
      <c r="D4" s="11">
        <v>1087</v>
      </c>
      <c r="E4" s="11">
        <v>1212</v>
      </c>
      <c r="F4" s="11">
        <v>1261</v>
      </c>
      <c r="G4" s="11">
        <v>1762</v>
      </c>
      <c r="H4" s="11">
        <v>2558</v>
      </c>
      <c r="I4" s="11">
        <v>2169</v>
      </c>
    </row>
    <row r="5" spans="1:9" x14ac:dyDescent="0.25">
      <c r="A5" s="11" t="s">
        <v>4</v>
      </c>
      <c r="B5" s="10" t="s">
        <v>0</v>
      </c>
      <c r="C5" s="11">
        <v>2546</v>
      </c>
      <c r="D5" s="11">
        <v>5673</v>
      </c>
      <c r="E5" s="11">
        <v>6436</v>
      </c>
      <c r="F5" s="11">
        <v>5899</v>
      </c>
      <c r="G5" s="11">
        <v>7362</v>
      </c>
      <c r="H5" s="11">
        <v>9833</v>
      </c>
      <c r="I5" s="11">
        <v>8055</v>
      </c>
    </row>
    <row r="6" spans="1:9" x14ac:dyDescent="0.25">
      <c r="A6" s="11" t="s">
        <v>5</v>
      </c>
      <c r="B6" s="10" t="s">
        <v>0</v>
      </c>
      <c r="C6" s="11">
        <v>308</v>
      </c>
      <c r="D6" s="11">
        <v>528</v>
      </c>
      <c r="E6" s="11">
        <v>578</v>
      </c>
      <c r="F6" s="11">
        <v>630</v>
      </c>
      <c r="G6" s="11">
        <v>862</v>
      </c>
      <c r="H6" s="11">
        <v>1186</v>
      </c>
      <c r="I6" s="11">
        <v>1192</v>
      </c>
    </row>
    <row r="7" spans="1:9" x14ac:dyDescent="0.25">
      <c r="A7" s="11" t="s">
        <v>6</v>
      </c>
      <c r="B7" s="10" t="s">
        <v>0</v>
      </c>
      <c r="C7" s="11">
        <v>8501</v>
      </c>
      <c r="D7" s="11">
        <v>15800</v>
      </c>
      <c r="E7" s="11">
        <v>16335</v>
      </c>
      <c r="F7" s="11">
        <v>14912</v>
      </c>
      <c r="G7" s="11">
        <v>16926</v>
      </c>
      <c r="H7" s="11">
        <v>17322</v>
      </c>
      <c r="I7" s="11">
        <v>14484</v>
      </c>
    </row>
    <row r="8" spans="1:9" x14ac:dyDescent="0.25">
      <c r="A8" s="11" t="s">
        <v>7</v>
      </c>
      <c r="B8" s="10" t="s">
        <v>0</v>
      </c>
      <c r="C8" s="11">
        <v>1537</v>
      </c>
      <c r="D8" s="11">
        <v>3028</v>
      </c>
      <c r="E8" s="11">
        <v>3125</v>
      </c>
      <c r="F8" s="11">
        <v>2564</v>
      </c>
      <c r="G8" s="11">
        <v>2729</v>
      </c>
      <c r="H8" s="11">
        <v>3537</v>
      </c>
      <c r="I8" s="11">
        <v>3242</v>
      </c>
    </row>
    <row r="9" spans="1:9" x14ac:dyDescent="0.25">
      <c r="A9" s="11" t="s">
        <v>8</v>
      </c>
      <c r="B9" s="10" t="s">
        <v>0</v>
      </c>
      <c r="C9" s="11">
        <v>507</v>
      </c>
      <c r="D9" s="11">
        <v>1052</v>
      </c>
      <c r="E9" s="11">
        <v>1074</v>
      </c>
      <c r="F9" s="11">
        <v>901</v>
      </c>
      <c r="G9" s="11">
        <v>1190</v>
      </c>
      <c r="H9" s="11">
        <v>1598</v>
      </c>
      <c r="I9" s="11">
        <v>1489</v>
      </c>
    </row>
    <row r="10" spans="1:9" x14ac:dyDescent="0.25">
      <c r="A10" s="11" t="s">
        <v>9</v>
      </c>
      <c r="B10" s="10" t="s">
        <v>0</v>
      </c>
      <c r="C10" s="11">
        <v>15662</v>
      </c>
      <c r="D10" s="11">
        <v>28154</v>
      </c>
      <c r="E10" s="11">
        <v>30102</v>
      </c>
      <c r="F10" s="11">
        <v>27099</v>
      </c>
      <c r="G10" s="11">
        <v>31276</v>
      </c>
      <c r="H10" s="11">
        <v>34609</v>
      </c>
      <c r="I10" s="11">
        <v>26991</v>
      </c>
    </row>
    <row r="11" spans="1:9" x14ac:dyDescent="0.25">
      <c r="A11" s="11" t="s">
        <v>10</v>
      </c>
      <c r="B11" s="10" t="s">
        <v>0</v>
      </c>
      <c r="C11" s="11">
        <v>2986</v>
      </c>
      <c r="D11" s="11">
        <v>5251</v>
      </c>
      <c r="E11" s="11">
        <v>5927</v>
      </c>
      <c r="F11" s="11">
        <v>4998</v>
      </c>
      <c r="G11" s="11">
        <v>5776</v>
      </c>
      <c r="H11" s="11">
        <v>7562</v>
      </c>
      <c r="I11" s="11">
        <v>6569</v>
      </c>
    </row>
    <row r="12" spans="1:9" x14ac:dyDescent="0.25">
      <c r="A12" s="11" t="s">
        <v>11</v>
      </c>
      <c r="B12" s="10" t="s">
        <v>0</v>
      </c>
      <c r="C12" s="11">
        <v>1742</v>
      </c>
      <c r="D12" s="11">
        <v>3357</v>
      </c>
      <c r="E12" s="11">
        <v>3662</v>
      </c>
      <c r="F12" s="11">
        <v>3717</v>
      </c>
      <c r="G12" s="11">
        <v>4661</v>
      </c>
      <c r="H12" s="11">
        <v>6654</v>
      </c>
      <c r="I12" s="11">
        <v>5668</v>
      </c>
    </row>
    <row r="13" spans="1:9" x14ac:dyDescent="0.25">
      <c r="A13" s="11" t="s">
        <v>12</v>
      </c>
      <c r="B13" s="10" t="s">
        <v>0</v>
      </c>
      <c r="C13" s="11">
        <v>32</v>
      </c>
      <c r="D13" s="11">
        <v>67</v>
      </c>
      <c r="E13" s="11">
        <v>77</v>
      </c>
      <c r="F13" s="11">
        <v>61</v>
      </c>
      <c r="G13" s="11">
        <v>116</v>
      </c>
      <c r="H13" s="11">
        <v>169</v>
      </c>
      <c r="I13" s="11">
        <v>142</v>
      </c>
    </row>
    <row r="14" spans="1:9" x14ac:dyDescent="0.25">
      <c r="A14" s="11" t="s">
        <v>13</v>
      </c>
      <c r="B14" s="10" t="s">
        <v>0</v>
      </c>
      <c r="C14" s="11">
        <v>875</v>
      </c>
      <c r="D14" s="11">
        <v>1793</v>
      </c>
      <c r="E14" s="11">
        <v>1947</v>
      </c>
      <c r="F14" s="11">
        <v>1927</v>
      </c>
      <c r="G14" s="11">
        <v>2445</v>
      </c>
      <c r="H14" s="11">
        <v>2857</v>
      </c>
      <c r="I14" s="11">
        <v>2278</v>
      </c>
    </row>
    <row r="15" spans="1:9" x14ac:dyDescent="0.25">
      <c r="A15" s="11" t="s">
        <v>14</v>
      </c>
      <c r="B15" s="10" t="s">
        <v>0</v>
      </c>
      <c r="C15" s="11">
        <v>7848</v>
      </c>
      <c r="D15" s="11">
        <v>9046</v>
      </c>
      <c r="E15" s="11">
        <v>5732</v>
      </c>
      <c r="F15" s="11">
        <v>4610</v>
      </c>
      <c r="G15" s="11">
        <v>4508</v>
      </c>
      <c r="H15" s="11">
        <v>5100</v>
      </c>
      <c r="I15" s="11">
        <v>4669</v>
      </c>
    </row>
    <row r="16" spans="1:9" x14ac:dyDescent="0.25">
      <c r="A16" s="11" t="s">
        <v>15</v>
      </c>
      <c r="B16" s="10" t="s">
        <v>0</v>
      </c>
      <c r="C16" s="11">
        <v>16576</v>
      </c>
      <c r="D16" s="11">
        <v>27119</v>
      </c>
      <c r="E16" s="11">
        <v>26295</v>
      </c>
      <c r="F16" s="11">
        <v>23313</v>
      </c>
      <c r="G16" s="11">
        <v>24134</v>
      </c>
      <c r="H16" s="11">
        <v>24403</v>
      </c>
      <c r="I16" s="11">
        <v>18644</v>
      </c>
    </row>
    <row r="17" spans="1:9" x14ac:dyDescent="0.25">
      <c r="A17" s="11" t="s">
        <v>16</v>
      </c>
      <c r="B17" s="10" t="s">
        <v>0</v>
      </c>
      <c r="C17" s="11">
        <v>303</v>
      </c>
      <c r="D17" s="11">
        <v>629</v>
      </c>
      <c r="E17" s="11">
        <v>607</v>
      </c>
      <c r="F17" s="11">
        <v>583</v>
      </c>
      <c r="G17" s="11">
        <v>734</v>
      </c>
      <c r="H17" s="11">
        <v>1163</v>
      </c>
      <c r="I17" s="11">
        <v>1047</v>
      </c>
    </row>
    <row r="18" spans="1:9" x14ac:dyDescent="0.25">
      <c r="A18" s="11" t="s">
        <v>17</v>
      </c>
      <c r="B18" s="10" t="s">
        <v>0</v>
      </c>
      <c r="C18" s="11">
        <v>696</v>
      </c>
      <c r="D18" s="11">
        <v>1359</v>
      </c>
      <c r="E18" s="11">
        <v>1469</v>
      </c>
      <c r="F18" s="11">
        <v>1519</v>
      </c>
      <c r="G18" s="11">
        <v>1962</v>
      </c>
      <c r="H18" s="11">
        <v>2574</v>
      </c>
      <c r="I18" s="11">
        <v>2469</v>
      </c>
    </row>
    <row r="19" spans="1:9" x14ac:dyDescent="0.25">
      <c r="A19" s="11" t="s">
        <v>18</v>
      </c>
      <c r="B19" s="10" t="s">
        <v>0</v>
      </c>
      <c r="C19" s="11">
        <v>380</v>
      </c>
      <c r="D19" s="11">
        <v>855</v>
      </c>
      <c r="E19" s="11">
        <v>769</v>
      </c>
      <c r="F19" s="11">
        <v>754</v>
      </c>
      <c r="G19" s="11">
        <v>909</v>
      </c>
      <c r="H19" s="11">
        <v>1288</v>
      </c>
      <c r="I19" s="11">
        <v>1109</v>
      </c>
    </row>
    <row r="20" spans="1:9" x14ac:dyDescent="0.25">
      <c r="A20" s="11" t="s">
        <v>19</v>
      </c>
      <c r="B20" s="10" t="s">
        <v>0</v>
      </c>
      <c r="C20" s="11">
        <v>1219</v>
      </c>
      <c r="D20" s="11">
        <v>1711</v>
      </c>
      <c r="E20" s="11">
        <v>1683</v>
      </c>
      <c r="F20" s="11">
        <v>1474</v>
      </c>
      <c r="G20" s="11">
        <v>1621</v>
      </c>
      <c r="H20" s="11">
        <v>2186</v>
      </c>
      <c r="I20" s="11">
        <v>1914</v>
      </c>
    </row>
    <row r="21" spans="1:9" x14ac:dyDescent="0.25">
      <c r="A21" s="11" t="s">
        <v>20</v>
      </c>
      <c r="B21" s="10" t="s">
        <v>0</v>
      </c>
      <c r="C21" s="11">
        <v>1052</v>
      </c>
      <c r="D21" s="11">
        <v>1818</v>
      </c>
      <c r="E21" s="11">
        <v>1763</v>
      </c>
      <c r="F21" s="11">
        <v>1750</v>
      </c>
      <c r="G21" s="11">
        <v>2172</v>
      </c>
      <c r="H21" s="11">
        <v>3039</v>
      </c>
      <c r="I21" s="11">
        <v>2865</v>
      </c>
    </row>
    <row r="22" spans="1:9" x14ac:dyDescent="0.25">
      <c r="A22" s="11" t="s">
        <v>21</v>
      </c>
      <c r="B22" s="10" t="s">
        <v>0</v>
      </c>
      <c r="C22" s="11">
        <v>6246</v>
      </c>
      <c r="D22" s="11">
        <v>10234</v>
      </c>
      <c r="E22" s="11">
        <v>10878</v>
      </c>
      <c r="F22" s="11">
        <v>8656</v>
      </c>
      <c r="G22" s="11">
        <v>8016</v>
      </c>
      <c r="H22" s="11">
        <v>9061</v>
      </c>
      <c r="I22" s="11">
        <v>8287</v>
      </c>
    </row>
    <row r="23" spans="1:9" x14ac:dyDescent="0.25">
      <c r="A23" s="11" t="s">
        <v>22</v>
      </c>
      <c r="B23" s="10" t="s">
        <v>0</v>
      </c>
      <c r="C23" s="11">
        <v>7271</v>
      </c>
      <c r="D23" s="11">
        <v>15534</v>
      </c>
      <c r="E23" s="11">
        <v>15196</v>
      </c>
      <c r="F23" s="11">
        <v>12823</v>
      </c>
      <c r="G23" s="11">
        <v>13005</v>
      </c>
      <c r="H23" s="11">
        <v>13128</v>
      </c>
      <c r="I23" s="11">
        <v>9065</v>
      </c>
    </row>
    <row r="24" spans="1:9" x14ac:dyDescent="0.25">
      <c r="A24" s="11" t="s">
        <v>23</v>
      </c>
      <c r="B24" s="10" t="s">
        <v>0</v>
      </c>
      <c r="C24" s="11">
        <v>19315</v>
      </c>
      <c r="D24" s="11">
        <v>34953</v>
      </c>
      <c r="E24" s="11">
        <v>38676</v>
      </c>
      <c r="F24" s="11">
        <v>30482</v>
      </c>
      <c r="G24" s="11">
        <v>29427</v>
      </c>
      <c r="H24" s="11">
        <v>29039</v>
      </c>
      <c r="I24" s="11">
        <v>20664</v>
      </c>
    </row>
    <row r="25" spans="1:9" x14ac:dyDescent="0.25">
      <c r="A25" s="11" t="s">
        <v>24</v>
      </c>
      <c r="B25" s="10" t="s">
        <v>0</v>
      </c>
      <c r="C25" s="11">
        <v>320</v>
      </c>
      <c r="D25" s="11">
        <v>603</v>
      </c>
      <c r="E25" s="11">
        <v>656</v>
      </c>
      <c r="F25" s="11">
        <v>650</v>
      </c>
      <c r="G25" s="11">
        <v>1015</v>
      </c>
      <c r="H25" s="11">
        <v>1326</v>
      </c>
      <c r="I25" s="11">
        <v>1229</v>
      </c>
    </row>
    <row r="26" spans="1:9" x14ac:dyDescent="0.25">
      <c r="A26" s="11" t="s">
        <v>25</v>
      </c>
      <c r="B26" s="10" t="s">
        <v>0</v>
      </c>
      <c r="C26" s="11">
        <v>5522</v>
      </c>
      <c r="D26" s="11">
        <v>11277</v>
      </c>
      <c r="E26" s="11">
        <v>11158</v>
      </c>
      <c r="F26" s="11">
        <v>10147</v>
      </c>
      <c r="G26" s="11">
        <v>11770</v>
      </c>
      <c r="H26" s="11">
        <v>14882</v>
      </c>
      <c r="I26" s="11">
        <v>11787</v>
      </c>
    </row>
    <row r="27" spans="1:9" x14ac:dyDescent="0.25">
      <c r="A27" s="11" t="s">
        <v>26</v>
      </c>
      <c r="B27" s="10" t="s">
        <v>0</v>
      </c>
      <c r="C27" s="11">
        <v>1362</v>
      </c>
      <c r="D27" s="11">
        <v>2938</v>
      </c>
      <c r="E27" s="11">
        <v>3500</v>
      </c>
      <c r="F27" s="11">
        <v>3851</v>
      </c>
      <c r="G27" s="11">
        <v>5063</v>
      </c>
      <c r="H27" s="11">
        <v>6881</v>
      </c>
      <c r="I27" s="11">
        <v>5975</v>
      </c>
    </row>
    <row r="28" spans="1:9" x14ac:dyDescent="0.25">
      <c r="A28" s="11" t="s">
        <v>27</v>
      </c>
      <c r="B28" s="10" t="s">
        <v>0</v>
      </c>
      <c r="C28" s="11">
        <v>16</v>
      </c>
      <c r="D28" s="11">
        <v>46</v>
      </c>
      <c r="E28" s="11">
        <v>56</v>
      </c>
      <c r="F28" s="11">
        <v>67</v>
      </c>
      <c r="G28" s="11">
        <v>147</v>
      </c>
      <c r="H28" s="11">
        <v>243</v>
      </c>
      <c r="I28" s="11">
        <v>199</v>
      </c>
    </row>
    <row r="29" spans="1:9" x14ac:dyDescent="0.25">
      <c r="A29" s="11" t="s">
        <v>28</v>
      </c>
      <c r="B29" s="10" t="s">
        <v>0</v>
      </c>
      <c r="C29" s="11">
        <v>2037</v>
      </c>
      <c r="D29" s="11">
        <v>3656</v>
      </c>
      <c r="E29" s="11">
        <v>3457</v>
      </c>
      <c r="F29" s="11">
        <v>3100</v>
      </c>
      <c r="G29" s="11">
        <v>3252</v>
      </c>
      <c r="H29" s="11">
        <v>3966</v>
      </c>
      <c r="I29" s="11">
        <v>4007</v>
      </c>
    </row>
    <row r="30" spans="1:9" x14ac:dyDescent="0.25">
      <c r="A30" s="11" t="s">
        <v>29</v>
      </c>
      <c r="B30" s="10" t="s">
        <v>0</v>
      </c>
      <c r="C30" s="11">
        <v>81</v>
      </c>
      <c r="D30" s="11">
        <v>138</v>
      </c>
      <c r="E30" s="11">
        <v>158</v>
      </c>
      <c r="F30" s="11">
        <v>179</v>
      </c>
      <c r="G30" s="11">
        <v>242</v>
      </c>
      <c r="H30" s="11">
        <v>291</v>
      </c>
      <c r="I30" s="11">
        <v>386</v>
      </c>
    </row>
    <row r="31" spans="1:9" x14ac:dyDescent="0.25">
      <c r="A31" s="11" t="s">
        <v>30</v>
      </c>
      <c r="B31" s="10" t="s">
        <v>0</v>
      </c>
      <c r="C31" s="11">
        <v>300</v>
      </c>
      <c r="D31" s="11">
        <v>680</v>
      </c>
      <c r="E31" s="11">
        <v>825</v>
      </c>
      <c r="F31" s="11">
        <v>953</v>
      </c>
      <c r="G31" s="11">
        <v>1286</v>
      </c>
      <c r="H31" s="11">
        <v>1823</v>
      </c>
      <c r="I31" s="11">
        <v>1531</v>
      </c>
    </row>
    <row r="32" spans="1:9" x14ac:dyDescent="0.25">
      <c r="A32" s="11" t="s">
        <v>31</v>
      </c>
      <c r="B32" s="10" t="s">
        <v>0</v>
      </c>
      <c r="C32" s="11">
        <v>607</v>
      </c>
      <c r="D32" s="11">
        <v>838</v>
      </c>
      <c r="E32" s="11">
        <v>614</v>
      </c>
      <c r="F32" s="11">
        <v>709</v>
      </c>
      <c r="G32" s="11">
        <v>862</v>
      </c>
      <c r="H32" s="11">
        <v>1219</v>
      </c>
      <c r="I32" s="11">
        <v>1172</v>
      </c>
    </row>
    <row r="33" spans="1:9" x14ac:dyDescent="0.25">
      <c r="A33" s="11" t="s">
        <v>32</v>
      </c>
      <c r="B33" s="10" t="s">
        <v>0</v>
      </c>
      <c r="C33" s="11">
        <v>1304</v>
      </c>
      <c r="D33" s="11">
        <v>1823</v>
      </c>
      <c r="E33" s="11">
        <v>1538</v>
      </c>
      <c r="F33" s="11">
        <v>1511</v>
      </c>
      <c r="G33" s="11">
        <v>2099</v>
      </c>
      <c r="H33" s="11">
        <v>3019</v>
      </c>
      <c r="I33" s="11">
        <v>2650</v>
      </c>
    </row>
    <row r="34" spans="1:9" x14ac:dyDescent="0.25">
      <c r="A34" s="11" t="s">
        <v>33</v>
      </c>
      <c r="B34" s="10" t="s">
        <v>0</v>
      </c>
      <c r="C34" s="11">
        <v>351</v>
      </c>
      <c r="D34" s="11">
        <v>614</v>
      </c>
      <c r="E34" s="11">
        <v>658</v>
      </c>
      <c r="F34" s="11">
        <v>665</v>
      </c>
      <c r="G34" s="11">
        <v>799</v>
      </c>
      <c r="H34" s="11">
        <v>1264</v>
      </c>
      <c r="I34" s="11">
        <v>1081</v>
      </c>
    </row>
    <row r="35" spans="1:9" x14ac:dyDescent="0.25">
      <c r="A35" s="11" t="s">
        <v>34</v>
      </c>
      <c r="B35" s="10" t="s">
        <v>0</v>
      </c>
      <c r="C35" s="11">
        <v>141</v>
      </c>
      <c r="D35" s="11">
        <v>247</v>
      </c>
      <c r="E35" s="11">
        <v>297</v>
      </c>
      <c r="F35" s="11">
        <v>318</v>
      </c>
      <c r="G35" s="11">
        <v>408</v>
      </c>
      <c r="H35" s="11">
        <v>605</v>
      </c>
      <c r="I35" s="11">
        <v>530</v>
      </c>
    </row>
    <row r="36" spans="1:9" x14ac:dyDescent="0.25">
      <c r="A36" s="11" t="s">
        <v>35</v>
      </c>
      <c r="B36" s="10" t="s">
        <v>0</v>
      </c>
      <c r="C36" s="11">
        <v>5170</v>
      </c>
      <c r="D36" s="11">
        <v>10516</v>
      </c>
      <c r="E36" s="11">
        <v>11682</v>
      </c>
      <c r="F36" s="11">
        <v>10225</v>
      </c>
      <c r="G36" s="11">
        <v>12584</v>
      </c>
      <c r="H36" s="11">
        <v>14073</v>
      </c>
      <c r="I36" s="11">
        <v>12180</v>
      </c>
    </row>
    <row r="37" spans="1:9" x14ac:dyDescent="0.25">
      <c r="A37" s="11" t="s">
        <v>36</v>
      </c>
      <c r="B37" s="10" t="s">
        <v>0</v>
      </c>
      <c r="C37" s="11">
        <v>9794</v>
      </c>
      <c r="D37" s="11">
        <v>19991</v>
      </c>
      <c r="E37" s="11">
        <v>19621</v>
      </c>
      <c r="F37" s="11">
        <v>15221</v>
      </c>
      <c r="G37" s="11">
        <v>15301</v>
      </c>
      <c r="H37" s="11">
        <v>17393</v>
      </c>
      <c r="I37" s="11">
        <v>15304</v>
      </c>
    </row>
    <row r="38" spans="1:9" x14ac:dyDescent="0.25">
      <c r="A38" s="11" t="s">
        <v>37</v>
      </c>
      <c r="B38" s="10" t="s">
        <v>0</v>
      </c>
      <c r="C38" s="11">
        <v>1183</v>
      </c>
      <c r="D38" s="11">
        <v>2387</v>
      </c>
      <c r="E38" s="11">
        <v>2471</v>
      </c>
      <c r="F38" s="11">
        <v>2477</v>
      </c>
      <c r="G38" s="11">
        <v>3269</v>
      </c>
      <c r="H38" s="11">
        <v>4197</v>
      </c>
      <c r="I38" s="11">
        <v>3721</v>
      </c>
    </row>
    <row r="39" spans="1:9" x14ac:dyDescent="0.25">
      <c r="A39" s="11" t="s">
        <v>38</v>
      </c>
      <c r="B39" s="10" t="s">
        <v>0</v>
      </c>
      <c r="C39" s="11">
        <v>2061</v>
      </c>
      <c r="D39" s="11">
        <v>3732</v>
      </c>
      <c r="E39" s="11">
        <v>4031</v>
      </c>
      <c r="F39" s="11">
        <v>3640</v>
      </c>
      <c r="G39" s="11">
        <v>3853</v>
      </c>
      <c r="H39" s="11">
        <v>4223</v>
      </c>
      <c r="I39" s="11">
        <v>3816</v>
      </c>
    </row>
    <row r="40" spans="1:9" x14ac:dyDescent="0.25">
      <c r="A40" s="11" t="s">
        <v>39</v>
      </c>
      <c r="B40" s="10" t="s">
        <v>0</v>
      </c>
      <c r="C40" s="11">
        <v>9158</v>
      </c>
      <c r="D40" s="11">
        <v>18230</v>
      </c>
      <c r="E40" s="11">
        <v>18607</v>
      </c>
      <c r="F40" s="11">
        <v>16689</v>
      </c>
      <c r="G40" s="11">
        <v>17061</v>
      </c>
      <c r="H40" s="11">
        <v>17444</v>
      </c>
      <c r="I40" s="11">
        <v>14039</v>
      </c>
    </row>
    <row r="41" spans="1:9" x14ac:dyDescent="0.25">
      <c r="A41" s="11" t="s">
        <v>40</v>
      </c>
      <c r="B41" s="10" t="s">
        <v>0</v>
      </c>
      <c r="C41" s="11">
        <v>5780</v>
      </c>
      <c r="D41" s="11">
        <v>12057</v>
      </c>
      <c r="E41" s="11">
        <v>13032</v>
      </c>
      <c r="F41" s="11">
        <v>11874</v>
      </c>
      <c r="G41" s="11">
        <v>13759</v>
      </c>
      <c r="H41" s="11">
        <v>15039</v>
      </c>
      <c r="I41" s="11">
        <v>12856</v>
      </c>
    </row>
    <row r="42" spans="1:9" x14ac:dyDescent="0.25">
      <c r="A42" s="11" t="s">
        <v>41</v>
      </c>
      <c r="B42" s="10" t="s">
        <v>0</v>
      </c>
      <c r="C42" s="11">
        <v>1409</v>
      </c>
      <c r="D42" s="11">
        <v>2901</v>
      </c>
      <c r="E42" s="11">
        <v>2826</v>
      </c>
      <c r="F42" s="11">
        <v>2339</v>
      </c>
      <c r="G42" s="11">
        <v>2603</v>
      </c>
      <c r="H42" s="11">
        <v>3384</v>
      </c>
      <c r="I42" s="11">
        <v>2736</v>
      </c>
    </row>
    <row r="43" spans="1:9" x14ac:dyDescent="0.25">
      <c r="A43" s="11" t="s">
        <v>42</v>
      </c>
      <c r="B43" s="10" t="s">
        <v>0</v>
      </c>
      <c r="C43" s="11">
        <v>367</v>
      </c>
      <c r="D43" s="11">
        <v>721</v>
      </c>
      <c r="E43" s="11">
        <v>692</v>
      </c>
      <c r="F43" s="11">
        <v>647</v>
      </c>
      <c r="G43" s="11">
        <v>781</v>
      </c>
      <c r="H43" s="11">
        <v>1125</v>
      </c>
      <c r="I43" s="11">
        <v>951</v>
      </c>
    </row>
    <row r="44" spans="1:9" x14ac:dyDescent="0.25">
      <c r="A44" s="11" t="s">
        <v>43</v>
      </c>
      <c r="B44" s="10" t="s">
        <v>0</v>
      </c>
      <c r="C44" s="11">
        <v>1388</v>
      </c>
      <c r="D44" s="11">
        <v>2684</v>
      </c>
      <c r="E44" s="11">
        <v>2933</v>
      </c>
      <c r="F44" s="11">
        <v>2779</v>
      </c>
      <c r="G44" s="11">
        <v>3680</v>
      </c>
      <c r="H44" s="11">
        <v>5251</v>
      </c>
      <c r="I44" s="11">
        <v>4425</v>
      </c>
    </row>
    <row r="45" spans="1:9" x14ac:dyDescent="0.25">
      <c r="A45" s="11" t="s">
        <v>44</v>
      </c>
      <c r="B45" s="10" t="s">
        <v>0</v>
      </c>
      <c r="C45" s="11">
        <v>313</v>
      </c>
      <c r="D45" s="11">
        <v>686</v>
      </c>
      <c r="E45" s="11">
        <v>754</v>
      </c>
      <c r="F45" s="11">
        <v>688</v>
      </c>
      <c r="G45" s="11">
        <v>798</v>
      </c>
      <c r="H45" s="11">
        <v>1020</v>
      </c>
      <c r="I45" s="11">
        <v>1099</v>
      </c>
    </row>
    <row r="46" spans="1:9" x14ac:dyDescent="0.25">
      <c r="A46" s="11" t="s">
        <v>45</v>
      </c>
      <c r="B46" s="10" t="s">
        <v>0</v>
      </c>
      <c r="C46" s="11">
        <v>4120</v>
      </c>
      <c r="D46" s="11">
        <v>7314</v>
      </c>
      <c r="E46" s="11">
        <v>6719</v>
      </c>
      <c r="F46" s="11">
        <v>6906</v>
      </c>
      <c r="G46" s="11">
        <v>9110</v>
      </c>
      <c r="H46" s="11">
        <v>8724</v>
      </c>
      <c r="I46" s="11">
        <v>5501</v>
      </c>
    </row>
    <row r="47" spans="1:9" x14ac:dyDescent="0.25">
      <c r="A47" s="11" t="s">
        <v>46</v>
      </c>
      <c r="B47" s="10" t="s">
        <v>0</v>
      </c>
      <c r="C47" s="11">
        <v>26945</v>
      </c>
      <c r="D47" s="11">
        <v>48909</v>
      </c>
      <c r="E47" s="11">
        <v>53847</v>
      </c>
      <c r="F47" s="11">
        <v>45432</v>
      </c>
      <c r="G47" s="11">
        <v>44701</v>
      </c>
      <c r="H47" s="11">
        <v>46368</v>
      </c>
      <c r="I47" s="11">
        <v>38544</v>
      </c>
    </row>
    <row r="48" spans="1:9" x14ac:dyDescent="0.25">
      <c r="A48" s="11" t="s">
        <v>47</v>
      </c>
      <c r="B48" s="10" t="s">
        <v>0</v>
      </c>
      <c r="C48" s="11">
        <v>236</v>
      </c>
      <c r="D48" s="11">
        <v>590</v>
      </c>
      <c r="E48" s="11">
        <v>626</v>
      </c>
      <c r="F48" s="11">
        <v>441</v>
      </c>
      <c r="G48" s="11">
        <v>511</v>
      </c>
      <c r="H48" s="11">
        <v>715</v>
      </c>
      <c r="I48" s="11">
        <v>642</v>
      </c>
    </row>
    <row r="49" spans="1:9" x14ac:dyDescent="0.25">
      <c r="A49" s="11" t="s">
        <v>48</v>
      </c>
      <c r="B49" s="10" t="s">
        <v>0</v>
      </c>
      <c r="C49" s="11">
        <v>9912</v>
      </c>
      <c r="D49" s="11">
        <v>15169</v>
      </c>
      <c r="E49" s="11">
        <v>14313</v>
      </c>
      <c r="F49" s="11">
        <v>12963</v>
      </c>
      <c r="G49" s="11">
        <v>14299</v>
      </c>
      <c r="H49" s="11">
        <v>15819</v>
      </c>
      <c r="I49" s="11">
        <v>13425</v>
      </c>
    </row>
    <row r="50" spans="1:9" x14ac:dyDescent="0.25">
      <c r="A50" s="11" t="s">
        <v>49</v>
      </c>
      <c r="B50" s="10" t="s">
        <v>0</v>
      </c>
      <c r="C50" s="11">
        <v>875</v>
      </c>
      <c r="D50" s="11">
        <v>1898</v>
      </c>
      <c r="E50" s="11">
        <v>2203</v>
      </c>
      <c r="F50" s="11">
        <v>2061</v>
      </c>
      <c r="G50" s="11">
        <v>2381</v>
      </c>
      <c r="H50" s="11">
        <v>3177</v>
      </c>
      <c r="I50" s="11">
        <v>2742</v>
      </c>
    </row>
    <row r="51" spans="1:9" x14ac:dyDescent="0.25">
      <c r="A51" s="11" t="s">
        <v>50</v>
      </c>
      <c r="B51" s="10" t="s">
        <v>0</v>
      </c>
      <c r="C51" s="11">
        <v>468</v>
      </c>
      <c r="D51" s="11">
        <v>807</v>
      </c>
      <c r="E51" s="11">
        <v>905</v>
      </c>
      <c r="F51" s="11">
        <v>818</v>
      </c>
      <c r="G51" s="11">
        <v>960</v>
      </c>
      <c r="H51" s="11">
        <v>1116</v>
      </c>
      <c r="I51" s="11">
        <v>937</v>
      </c>
    </row>
    <row r="52" spans="1:9" x14ac:dyDescent="0.25">
      <c r="A52" s="11" t="s">
        <v>51</v>
      </c>
      <c r="B52" s="10" t="s">
        <v>0</v>
      </c>
      <c r="C52" s="11">
        <v>60978</v>
      </c>
      <c r="D52" s="11">
        <v>177009</v>
      </c>
      <c r="E52" s="11">
        <v>155572</v>
      </c>
      <c r="F52" s="11">
        <v>102735</v>
      </c>
      <c r="G52" s="11">
        <v>109250</v>
      </c>
      <c r="H52" s="11">
        <v>98736</v>
      </c>
      <c r="I52" s="11">
        <v>71517</v>
      </c>
    </row>
    <row r="53" spans="1:9" x14ac:dyDescent="0.25">
      <c r="A53" s="11" t="s">
        <v>52</v>
      </c>
      <c r="B53" s="10" t="s">
        <v>0</v>
      </c>
      <c r="C53" s="11">
        <v>968</v>
      </c>
      <c r="D53" s="11">
        <v>1773</v>
      </c>
      <c r="E53" s="11">
        <v>1716</v>
      </c>
      <c r="F53" s="11">
        <v>1765</v>
      </c>
      <c r="G53" s="11">
        <v>2489</v>
      </c>
      <c r="H53" s="11">
        <v>2802</v>
      </c>
      <c r="I53" s="11">
        <v>2050</v>
      </c>
    </row>
    <row r="54" spans="1:9" x14ac:dyDescent="0.25">
      <c r="A54" s="11" t="s">
        <v>53</v>
      </c>
      <c r="B54" s="10" t="s">
        <v>0</v>
      </c>
      <c r="C54" s="11">
        <v>110</v>
      </c>
      <c r="D54" s="11">
        <v>146</v>
      </c>
      <c r="E54" s="11">
        <v>203</v>
      </c>
      <c r="F54" s="11">
        <v>202</v>
      </c>
      <c r="G54" s="11">
        <v>289</v>
      </c>
      <c r="H54" s="11">
        <v>426</v>
      </c>
      <c r="I54" s="11">
        <v>370</v>
      </c>
    </row>
    <row r="55" spans="1:9" x14ac:dyDescent="0.25">
      <c r="A55" s="11" t="s">
        <v>54</v>
      </c>
      <c r="B55" s="10" t="s">
        <v>0</v>
      </c>
      <c r="C55" s="11">
        <v>1521</v>
      </c>
      <c r="D55" s="11">
        <v>3248</v>
      </c>
      <c r="E55" s="11">
        <v>3633</v>
      </c>
      <c r="F55" s="11">
        <v>3514</v>
      </c>
      <c r="G55" s="11">
        <v>4183</v>
      </c>
      <c r="H55" s="11">
        <v>5109</v>
      </c>
      <c r="I55" s="11">
        <v>4112</v>
      </c>
    </row>
    <row r="56" spans="1:9" x14ac:dyDescent="0.25">
      <c r="A56" s="11" t="s">
        <v>55</v>
      </c>
      <c r="B56" s="10" t="s">
        <v>0</v>
      </c>
      <c r="C56" s="11">
        <v>619</v>
      </c>
      <c r="D56" s="11">
        <v>698</v>
      </c>
      <c r="E56" s="11">
        <v>643</v>
      </c>
      <c r="F56" s="11">
        <v>587</v>
      </c>
      <c r="G56" s="11">
        <v>682</v>
      </c>
      <c r="H56" s="11">
        <v>857</v>
      </c>
      <c r="I56" s="11">
        <v>800</v>
      </c>
    </row>
    <row r="57" spans="1:9" x14ac:dyDescent="0.25">
      <c r="A57" s="11" t="s">
        <v>56</v>
      </c>
      <c r="B57" s="10" t="s">
        <v>0</v>
      </c>
      <c r="C57" s="11">
        <v>495</v>
      </c>
      <c r="D57" s="11">
        <v>1041</v>
      </c>
      <c r="E57" s="11">
        <v>1330</v>
      </c>
      <c r="F57" s="11">
        <v>1247</v>
      </c>
      <c r="G57" s="11">
        <v>1637</v>
      </c>
      <c r="H57" s="11">
        <v>2446</v>
      </c>
      <c r="I57" s="11">
        <v>2299</v>
      </c>
    </row>
    <row r="58" spans="1:9" x14ac:dyDescent="0.25">
      <c r="A58" s="11" t="s">
        <v>57</v>
      </c>
      <c r="B58" s="10" t="s">
        <v>0</v>
      </c>
      <c r="C58" s="11">
        <v>43</v>
      </c>
      <c r="D58" s="11">
        <v>80</v>
      </c>
      <c r="E58" s="11">
        <v>100</v>
      </c>
      <c r="F58" s="11">
        <v>100</v>
      </c>
      <c r="G58" s="11">
        <v>164</v>
      </c>
      <c r="H58" s="11">
        <v>306</v>
      </c>
      <c r="I58" s="11">
        <v>270</v>
      </c>
    </row>
    <row r="59" spans="1:9" x14ac:dyDescent="0.25">
      <c r="A59" s="11" t="s">
        <v>58</v>
      </c>
      <c r="B59" s="10" t="s">
        <v>0</v>
      </c>
      <c r="C59" s="11">
        <v>357</v>
      </c>
      <c r="D59" s="11">
        <v>721</v>
      </c>
      <c r="E59" s="11">
        <v>783</v>
      </c>
      <c r="F59" s="11">
        <v>751</v>
      </c>
      <c r="G59" s="11">
        <v>1050</v>
      </c>
      <c r="H59" s="11">
        <v>1375</v>
      </c>
      <c r="I59" s="11">
        <v>1229</v>
      </c>
    </row>
    <row r="60" spans="1:9" x14ac:dyDescent="0.25">
      <c r="A60" s="11" t="s">
        <v>59</v>
      </c>
      <c r="B60" s="10" t="s">
        <v>0</v>
      </c>
      <c r="C60" s="11">
        <v>392</v>
      </c>
      <c r="D60" s="11">
        <v>605</v>
      </c>
      <c r="E60" s="11">
        <v>621</v>
      </c>
      <c r="F60" s="11">
        <v>607</v>
      </c>
      <c r="G60" s="11">
        <v>738</v>
      </c>
      <c r="H60" s="11">
        <v>1036</v>
      </c>
      <c r="I60" s="11">
        <v>935</v>
      </c>
    </row>
    <row r="61" spans="1:9" x14ac:dyDescent="0.25">
      <c r="A61" s="11" t="s">
        <v>60</v>
      </c>
      <c r="B61" s="10" t="s">
        <v>0</v>
      </c>
      <c r="C61" s="11">
        <v>1468</v>
      </c>
      <c r="D61" s="11">
        <v>1382</v>
      </c>
      <c r="E61" s="11">
        <v>1021</v>
      </c>
      <c r="F61" s="11">
        <v>858</v>
      </c>
      <c r="G61" s="11">
        <v>886</v>
      </c>
      <c r="H61" s="11">
        <v>1076</v>
      </c>
      <c r="I61" s="11">
        <v>1081</v>
      </c>
    </row>
    <row r="62" spans="1:9" x14ac:dyDescent="0.25">
      <c r="A62" s="11" t="s">
        <v>61</v>
      </c>
      <c r="B62" s="10" t="s">
        <v>0</v>
      </c>
      <c r="C62" s="11">
        <v>494</v>
      </c>
      <c r="D62" s="11">
        <v>877</v>
      </c>
      <c r="E62" s="11">
        <v>1020</v>
      </c>
      <c r="F62" s="11">
        <v>948</v>
      </c>
      <c r="G62" s="11">
        <v>1191</v>
      </c>
      <c r="H62" s="11">
        <v>1947</v>
      </c>
      <c r="I62" s="11">
        <v>1569</v>
      </c>
    </row>
    <row r="63" spans="1:9" x14ac:dyDescent="0.25">
      <c r="A63" s="11" t="s">
        <v>62</v>
      </c>
      <c r="B63" s="10" t="s">
        <v>0</v>
      </c>
      <c r="C63" s="11">
        <v>376</v>
      </c>
      <c r="D63" s="11">
        <v>641</v>
      </c>
      <c r="E63" s="11">
        <v>767</v>
      </c>
      <c r="F63" s="11">
        <v>707</v>
      </c>
      <c r="G63" s="11">
        <v>1065</v>
      </c>
      <c r="H63" s="11">
        <v>1484</v>
      </c>
      <c r="I63" s="11">
        <v>1305</v>
      </c>
    </row>
    <row r="64" spans="1:9" x14ac:dyDescent="0.25">
      <c r="A64" s="11" t="s">
        <v>63</v>
      </c>
      <c r="B64" s="10" t="s">
        <v>0</v>
      </c>
      <c r="C64" s="11">
        <v>3094</v>
      </c>
      <c r="D64" s="11">
        <v>5909</v>
      </c>
      <c r="E64" s="11">
        <v>7086</v>
      </c>
      <c r="F64" s="11">
        <v>6605</v>
      </c>
      <c r="G64" s="11">
        <v>8579</v>
      </c>
      <c r="H64" s="11">
        <v>11488</v>
      </c>
      <c r="I64" s="11">
        <v>10061</v>
      </c>
    </row>
    <row r="65" spans="1:9" x14ac:dyDescent="0.25">
      <c r="A65" s="11" t="s">
        <v>64</v>
      </c>
      <c r="B65" s="10" t="s">
        <v>0</v>
      </c>
      <c r="C65" s="11">
        <v>498</v>
      </c>
      <c r="D65" s="11">
        <v>1011</v>
      </c>
      <c r="E65" s="11">
        <v>1183</v>
      </c>
      <c r="F65" s="11">
        <v>1087</v>
      </c>
      <c r="G65" s="11">
        <v>1433</v>
      </c>
      <c r="H65" s="11">
        <v>1911</v>
      </c>
      <c r="I65" s="11">
        <v>1566</v>
      </c>
    </row>
    <row r="66" spans="1:9" x14ac:dyDescent="0.25">
      <c r="A66" s="11" t="s">
        <v>65</v>
      </c>
      <c r="B66" s="10" t="s">
        <v>0</v>
      </c>
      <c r="C66" s="11">
        <v>5266</v>
      </c>
      <c r="D66" s="11">
        <v>10053</v>
      </c>
      <c r="E66" s="11">
        <v>11257</v>
      </c>
      <c r="F66" s="11">
        <v>10610</v>
      </c>
      <c r="G66" s="11">
        <v>13690</v>
      </c>
      <c r="H66" s="11">
        <v>18916</v>
      </c>
      <c r="I66" s="11">
        <v>17242</v>
      </c>
    </row>
    <row r="67" spans="1:9" x14ac:dyDescent="0.25">
      <c r="A67" s="11" t="s">
        <v>66</v>
      </c>
      <c r="B67" s="10" t="s">
        <v>0</v>
      </c>
      <c r="C67" s="11">
        <v>332</v>
      </c>
      <c r="D67" s="11">
        <v>610</v>
      </c>
      <c r="E67" s="11">
        <v>658</v>
      </c>
      <c r="F67" s="11">
        <v>612</v>
      </c>
      <c r="G67" s="11">
        <v>760</v>
      </c>
      <c r="H67" s="11">
        <v>971</v>
      </c>
      <c r="I67" s="11">
        <v>735</v>
      </c>
    </row>
    <row r="68" spans="1:9" ht="13.8" thickBot="1" x14ac:dyDescent="0.3">
      <c r="A68" s="13" t="s">
        <v>67</v>
      </c>
      <c r="B68" s="12" t="s">
        <v>0</v>
      </c>
      <c r="C68" s="11">
        <v>8095</v>
      </c>
      <c r="D68" s="11">
        <v>15180</v>
      </c>
      <c r="E68" s="11">
        <v>15807</v>
      </c>
      <c r="F68" s="11">
        <v>14156</v>
      </c>
      <c r="G68" s="11">
        <v>14440</v>
      </c>
      <c r="H68" s="11">
        <v>15507</v>
      </c>
      <c r="I68" s="11">
        <v>13115</v>
      </c>
    </row>
    <row r="69" spans="1:9" x14ac:dyDescent="0.25">
      <c r="A69" s="32" t="s">
        <v>68</v>
      </c>
      <c r="C69" s="14">
        <f>SUM(C2:C68)</f>
        <v>316323</v>
      </c>
      <c r="D69" s="14">
        <f>SUM(D2:D68)</f>
        <v>658795</v>
      </c>
      <c r="E69" s="14">
        <f t="shared" ref="E69:I69" si="0">SUM(E2:E68)</f>
        <v>646845</v>
      </c>
      <c r="F69" s="14">
        <f t="shared" si="0"/>
        <v>520589</v>
      </c>
      <c r="G69" s="14">
        <f t="shared" si="0"/>
        <v>567153</v>
      </c>
      <c r="H69" s="14">
        <f t="shared" si="0"/>
        <v>623837</v>
      </c>
      <c r="I69" s="14">
        <f t="shared" si="0"/>
        <v>505742</v>
      </c>
    </row>
    <row r="70" spans="1:9" x14ac:dyDescent="0.25">
      <c r="C70" s="17">
        <f>C69/$C$73</f>
        <v>8.239114376534791E-2</v>
      </c>
      <c r="D70" s="17">
        <f t="shared" ref="D70:I70" si="1">D69/$C$73</f>
        <v>0.17159319289742567</v>
      </c>
      <c r="E70" s="17">
        <f t="shared" si="1"/>
        <v>0.16848063336809677</v>
      </c>
      <c r="F70" s="17">
        <f t="shared" si="1"/>
        <v>0.1355953349634984</v>
      </c>
      <c r="G70" s="17">
        <f t="shared" si="1"/>
        <v>0.14772363805334537</v>
      </c>
      <c r="H70" s="17">
        <f t="shared" si="1"/>
        <v>0.16248784929690016</v>
      </c>
      <c r="I70" s="17">
        <f t="shared" si="1"/>
        <v>0.13172820765538573</v>
      </c>
    </row>
    <row r="73" spans="1:9" x14ac:dyDescent="0.25">
      <c r="A73" s="32" t="s">
        <v>80</v>
      </c>
      <c r="C73" s="16">
        <f>SUM(C69:I69)</f>
        <v>3839284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4" sqref="M14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2804</v>
      </c>
      <c r="D2" s="52">
        <v>5239</v>
      </c>
      <c r="E2" s="52">
        <v>5986</v>
      </c>
      <c r="F2" s="52">
        <v>6019</v>
      </c>
      <c r="G2" s="52">
        <v>9155</v>
      </c>
      <c r="H2" s="52">
        <v>8521</v>
      </c>
      <c r="I2" s="52">
        <v>6294</v>
      </c>
      <c r="J2" s="10"/>
    </row>
    <row r="3" spans="1:10" x14ac:dyDescent="0.25">
      <c r="A3" s="11" t="s">
        <v>2</v>
      </c>
      <c r="B3" s="10" t="s">
        <v>70</v>
      </c>
      <c r="C3" s="52">
        <v>18962</v>
      </c>
      <c r="D3" s="52">
        <v>38859</v>
      </c>
      <c r="E3" s="52">
        <v>39211</v>
      </c>
      <c r="F3" s="52">
        <v>36702</v>
      </c>
      <c r="G3" s="52">
        <v>48138</v>
      </c>
      <c r="H3" s="52">
        <v>46656</v>
      </c>
      <c r="I3" s="52">
        <v>35301</v>
      </c>
    </row>
    <row r="4" spans="1:10" x14ac:dyDescent="0.25">
      <c r="A4" s="11" t="s">
        <v>3</v>
      </c>
      <c r="B4" s="10" t="s">
        <v>70</v>
      </c>
      <c r="C4" s="52">
        <v>1989</v>
      </c>
      <c r="D4" s="52">
        <v>3432</v>
      </c>
      <c r="E4" s="52">
        <v>3899</v>
      </c>
      <c r="F4" s="52">
        <v>4208</v>
      </c>
      <c r="G4" s="52">
        <v>5265</v>
      </c>
      <c r="H4" s="52">
        <v>5056</v>
      </c>
      <c r="I4" s="52">
        <v>3772</v>
      </c>
    </row>
    <row r="5" spans="1:10" x14ac:dyDescent="0.25">
      <c r="A5" s="11" t="s">
        <v>4</v>
      </c>
      <c r="B5" s="10" t="s">
        <v>70</v>
      </c>
      <c r="C5" s="52">
        <v>3448</v>
      </c>
      <c r="D5" s="52">
        <v>6729</v>
      </c>
      <c r="E5" s="52">
        <v>7896</v>
      </c>
      <c r="F5" s="52">
        <v>7704</v>
      </c>
      <c r="G5" s="52">
        <v>10059</v>
      </c>
      <c r="H5" s="52">
        <v>9415</v>
      </c>
      <c r="I5" s="52">
        <v>6646</v>
      </c>
    </row>
    <row r="6" spans="1:10" x14ac:dyDescent="0.25">
      <c r="A6" s="11" t="s">
        <v>5</v>
      </c>
      <c r="B6" s="10" t="s">
        <v>70</v>
      </c>
      <c r="C6" s="52">
        <v>1683</v>
      </c>
      <c r="D6" s="52">
        <v>3075</v>
      </c>
      <c r="E6" s="52">
        <v>3259</v>
      </c>
      <c r="F6" s="52">
        <v>3636</v>
      </c>
      <c r="G6" s="52">
        <v>4734</v>
      </c>
      <c r="H6" s="52">
        <v>4743</v>
      </c>
      <c r="I6" s="52">
        <v>3448</v>
      </c>
    </row>
    <row r="7" spans="1:10" x14ac:dyDescent="0.25">
      <c r="A7" s="11" t="s">
        <v>6</v>
      </c>
      <c r="B7" s="10" t="s">
        <v>70</v>
      </c>
      <c r="C7" s="52">
        <v>8158</v>
      </c>
      <c r="D7" s="52">
        <v>14629</v>
      </c>
      <c r="E7" s="52">
        <v>16847</v>
      </c>
      <c r="F7" s="52">
        <v>17505</v>
      </c>
      <c r="G7" s="52">
        <v>23921</v>
      </c>
      <c r="H7" s="52">
        <v>20763</v>
      </c>
      <c r="I7" s="52">
        <v>16299</v>
      </c>
    </row>
    <row r="8" spans="1:10" x14ac:dyDescent="0.25">
      <c r="A8" s="11" t="s">
        <v>7</v>
      </c>
      <c r="B8" s="10" t="s">
        <v>70</v>
      </c>
      <c r="C8" s="52">
        <v>3567</v>
      </c>
      <c r="D8" s="52">
        <v>5859</v>
      </c>
      <c r="E8" s="52">
        <v>6866</v>
      </c>
      <c r="F8" s="52">
        <v>7743</v>
      </c>
      <c r="G8" s="52">
        <v>9485</v>
      </c>
      <c r="H8" s="52">
        <v>9289</v>
      </c>
      <c r="I8" s="52">
        <v>7847</v>
      </c>
    </row>
    <row r="9" spans="1:10" x14ac:dyDescent="0.25">
      <c r="A9" s="11" t="s">
        <v>8</v>
      </c>
      <c r="B9" s="10" t="s">
        <v>70</v>
      </c>
      <c r="C9" s="52">
        <v>1854</v>
      </c>
      <c r="D9" s="52">
        <v>3157</v>
      </c>
      <c r="E9" s="52">
        <v>3617</v>
      </c>
      <c r="F9" s="52">
        <v>3654</v>
      </c>
      <c r="G9" s="52">
        <v>4975</v>
      </c>
      <c r="H9" s="52">
        <v>4618</v>
      </c>
      <c r="I9" s="52">
        <v>3768</v>
      </c>
    </row>
    <row r="10" spans="1:10" x14ac:dyDescent="0.25">
      <c r="A10" s="11" t="s">
        <v>9</v>
      </c>
      <c r="B10" s="10" t="s">
        <v>70</v>
      </c>
      <c r="C10" s="52">
        <v>14137</v>
      </c>
      <c r="D10" s="52">
        <v>24232</v>
      </c>
      <c r="E10" s="52">
        <v>26472</v>
      </c>
      <c r="F10" s="52">
        <v>28662</v>
      </c>
      <c r="G10" s="52">
        <v>42085</v>
      </c>
      <c r="H10" s="52">
        <v>37532</v>
      </c>
      <c r="I10" s="52">
        <v>29155</v>
      </c>
    </row>
    <row r="11" spans="1:10" x14ac:dyDescent="0.25">
      <c r="A11" s="11" t="s">
        <v>10</v>
      </c>
      <c r="B11" s="10" t="s">
        <v>70</v>
      </c>
      <c r="C11" s="52">
        <v>5894</v>
      </c>
      <c r="D11" s="52">
        <v>10840</v>
      </c>
      <c r="E11" s="52">
        <v>12156</v>
      </c>
      <c r="F11" s="52">
        <v>12312</v>
      </c>
      <c r="G11" s="52">
        <v>16358</v>
      </c>
      <c r="H11" s="52">
        <v>14580</v>
      </c>
      <c r="I11" s="52">
        <v>10657</v>
      </c>
    </row>
    <row r="12" spans="1:10" x14ac:dyDescent="0.25">
      <c r="A12" s="11" t="s">
        <v>11</v>
      </c>
      <c r="B12" s="10" t="s">
        <v>70</v>
      </c>
      <c r="C12" s="52">
        <v>3594</v>
      </c>
      <c r="D12" s="52">
        <v>5783</v>
      </c>
      <c r="E12" s="52">
        <v>6340</v>
      </c>
      <c r="F12" s="52">
        <v>7215</v>
      </c>
      <c r="G12" s="52">
        <v>8585</v>
      </c>
      <c r="H12" s="52">
        <v>8564</v>
      </c>
      <c r="I12" s="52">
        <v>6464</v>
      </c>
    </row>
    <row r="13" spans="1:10" x14ac:dyDescent="0.25">
      <c r="A13" s="11" t="s">
        <v>12</v>
      </c>
      <c r="B13" s="10" t="s">
        <v>70</v>
      </c>
      <c r="C13" s="52">
        <v>89</v>
      </c>
      <c r="D13" s="52">
        <v>161</v>
      </c>
      <c r="E13" s="52">
        <v>210</v>
      </c>
      <c r="F13" s="52">
        <v>235</v>
      </c>
      <c r="G13" s="52">
        <v>378</v>
      </c>
      <c r="H13" s="52">
        <v>417</v>
      </c>
      <c r="I13" s="52">
        <v>345</v>
      </c>
    </row>
    <row r="14" spans="1:10" x14ac:dyDescent="0.25">
      <c r="A14" s="11" t="s">
        <v>13</v>
      </c>
      <c r="B14" s="10" t="s">
        <v>70</v>
      </c>
      <c r="C14" s="52">
        <v>1546</v>
      </c>
      <c r="D14" s="52">
        <v>2851</v>
      </c>
      <c r="E14" s="52">
        <v>3315</v>
      </c>
      <c r="F14" s="52">
        <v>3650</v>
      </c>
      <c r="G14" s="52">
        <v>5021</v>
      </c>
      <c r="H14" s="52">
        <v>4464</v>
      </c>
      <c r="I14" s="52">
        <v>3062</v>
      </c>
    </row>
    <row r="15" spans="1:10" x14ac:dyDescent="0.25">
      <c r="A15" s="11" t="s">
        <v>14</v>
      </c>
      <c r="B15" s="10" t="s">
        <v>70</v>
      </c>
      <c r="C15" s="52">
        <v>5551</v>
      </c>
      <c r="D15" s="52">
        <v>5870</v>
      </c>
      <c r="E15" s="52">
        <v>5226</v>
      </c>
      <c r="F15" s="52">
        <v>5294</v>
      </c>
      <c r="G15" s="52">
        <v>7439</v>
      </c>
      <c r="H15" s="52">
        <v>6863</v>
      </c>
      <c r="I15" s="52">
        <v>5691</v>
      </c>
    </row>
    <row r="16" spans="1:10" x14ac:dyDescent="0.25">
      <c r="A16" s="11" t="s">
        <v>15</v>
      </c>
      <c r="B16" s="10" t="s">
        <v>70</v>
      </c>
      <c r="C16" s="52">
        <v>10943</v>
      </c>
      <c r="D16" s="52">
        <v>18992</v>
      </c>
      <c r="E16" s="52">
        <v>19603</v>
      </c>
      <c r="F16" s="52">
        <v>21772</v>
      </c>
      <c r="G16" s="52">
        <v>31314</v>
      </c>
      <c r="H16" s="52">
        <v>27201</v>
      </c>
      <c r="I16" s="52">
        <v>22188</v>
      </c>
    </row>
    <row r="17" spans="1:9" x14ac:dyDescent="0.25">
      <c r="A17" s="11" t="s">
        <v>16</v>
      </c>
      <c r="B17" s="10" t="s">
        <v>70</v>
      </c>
      <c r="C17" s="52">
        <v>1109</v>
      </c>
      <c r="D17" s="52">
        <v>1887</v>
      </c>
      <c r="E17" s="52">
        <v>2127</v>
      </c>
      <c r="F17" s="52">
        <v>2361</v>
      </c>
      <c r="G17" s="52">
        <v>3101</v>
      </c>
      <c r="H17" s="52">
        <v>2803</v>
      </c>
      <c r="I17" s="52">
        <v>2178</v>
      </c>
    </row>
    <row r="18" spans="1:9" x14ac:dyDescent="0.25">
      <c r="A18" s="11" t="s">
        <v>17</v>
      </c>
      <c r="B18" s="10" t="s">
        <v>70</v>
      </c>
      <c r="C18" s="52">
        <v>2046</v>
      </c>
      <c r="D18" s="52">
        <v>3897</v>
      </c>
      <c r="E18" s="52">
        <v>4382</v>
      </c>
      <c r="F18" s="52">
        <v>4928</v>
      </c>
      <c r="G18" s="52">
        <v>6299</v>
      </c>
      <c r="H18" s="52">
        <v>5724</v>
      </c>
      <c r="I18" s="52">
        <v>4149</v>
      </c>
    </row>
    <row r="19" spans="1:9" x14ac:dyDescent="0.25">
      <c r="A19" s="11" t="s">
        <v>18</v>
      </c>
      <c r="B19" s="10" t="s">
        <v>70</v>
      </c>
      <c r="C19" s="52">
        <v>983</v>
      </c>
      <c r="D19" s="52">
        <v>1732</v>
      </c>
      <c r="E19" s="52">
        <v>1854</v>
      </c>
      <c r="F19" s="52">
        <v>2094</v>
      </c>
      <c r="G19" s="52">
        <v>2526</v>
      </c>
      <c r="H19" s="52">
        <v>2335</v>
      </c>
      <c r="I19" s="52">
        <v>1776</v>
      </c>
    </row>
    <row r="20" spans="1:9" x14ac:dyDescent="0.25">
      <c r="A20" s="11" t="s">
        <v>19</v>
      </c>
      <c r="B20" s="10" t="s">
        <v>70</v>
      </c>
      <c r="C20" s="52">
        <v>1714</v>
      </c>
      <c r="D20" s="52">
        <v>2859</v>
      </c>
      <c r="E20" s="52">
        <v>3020</v>
      </c>
      <c r="F20" s="52">
        <v>3349</v>
      </c>
      <c r="G20" s="52">
        <v>4266</v>
      </c>
      <c r="H20" s="52">
        <v>4075</v>
      </c>
      <c r="I20" s="52">
        <v>3162</v>
      </c>
    </row>
    <row r="21" spans="1:9" x14ac:dyDescent="0.25">
      <c r="A21" s="11" t="s">
        <v>20</v>
      </c>
      <c r="B21" s="10" t="s">
        <v>70</v>
      </c>
      <c r="C21" s="52">
        <v>2163</v>
      </c>
      <c r="D21" s="52">
        <v>3805</v>
      </c>
      <c r="E21" s="52">
        <v>4330</v>
      </c>
      <c r="F21" s="52">
        <v>4631</v>
      </c>
      <c r="G21" s="52">
        <v>6202</v>
      </c>
      <c r="H21" s="52">
        <v>5963</v>
      </c>
      <c r="I21" s="52">
        <v>4791</v>
      </c>
    </row>
    <row r="22" spans="1:9" x14ac:dyDescent="0.25">
      <c r="A22" s="11" t="s">
        <v>21</v>
      </c>
      <c r="B22" s="10" t="s">
        <v>70</v>
      </c>
      <c r="C22" s="52">
        <v>5848</v>
      </c>
      <c r="D22" s="52">
        <v>10932</v>
      </c>
      <c r="E22" s="52">
        <v>12438</v>
      </c>
      <c r="F22" s="52">
        <v>12850</v>
      </c>
      <c r="G22" s="52">
        <v>16855</v>
      </c>
      <c r="H22" s="52">
        <v>15705</v>
      </c>
      <c r="I22" s="52">
        <v>13749</v>
      </c>
    </row>
    <row r="23" spans="1:9" x14ac:dyDescent="0.25">
      <c r="A23" s="11" t="s">
        <v>22</v>
      </c>
      <c r="B23" s="10" t="s">
        <v>70</v>
      </c>
      <c r="C23" s="52">
        <v>4873</v>
      </c>
      <c r="D23" s="52">
        <v>9788</v>
      </c>
      <c r="E23" s="52">
        <v>10876</v>
      </c>
      <c r="F23" s="52">
        <v>11030</v>
      </c>
      <c r="G23" s="52">
        <v>14831</v>
      </c>
      <c r="H23" s="52">
        <v>13976</v>
      </c>
      <c r="I23" s="52">
        <v>10749</v>
      </c>
    </row>
    <row r="24" spans="1:9" x14ac:dyDescent="0.25">
      <c r="A24" s="11" t="s">
        <v>23</v>
      </c>
      <c r="B24" s="10" t="s">
        <v>70</v>
      </c>
      <c r="C24" s="52">
        <v>9618</v>
      </c>
      <c r="D24" s="52">
        <v>17660</v>
      </c>
      <c r="E24" s="52">
        <v>19776</v>
      </c>
      <c r="F24" s="52">
        <v>19694</v>
      </c>
      <c r="G24" s="52">
        <v>28123</v>
      </c>
      <c r="H24" s="52">
        <v>27075</v>
      </c>
      <c r="I24" s="52">
        <v>21238</v>
      </c>
    </row>
    <row r="25" spans="1:9" x14ac:dyDescent="0.25">
      <c r="A25" s="11" t="s">
        <v>24</v>
      </c>
      <c r="B25" s="10" t="s">
        <v>70</v>
      </c>
      <c r="C25" s="52">
        <v>833</v>
      </c>
      <c r="D25" s="52">
        <v>1490</v>
      </c>
      <c r="E25" s="52">
        <v>1646</v>
      </c>
      <c r="F25" s="52">
        <v>1752</v>
      </c>
      <c r="G25" s="52">
        <v>2523</v>
      </c>
      <c r="H25" s="52">
        <v>2293</v>
      </c>
      <c r="I25" s="52">
        <v>1600</v>
      </c>
    </row>
    <row r="26" spans="1:9" x14ac:dyDescent="0.25">
      <c r="A26" s="11" t="s">
        <v>25</v>
      </c>
      <c r="B26" s="10" t="s">
        <v>70</v>
      </c>
      <c r="C26" s="52">
        <v>5445</v>
      </c>
      <c r="D26" s="52">
        <v>9450</v>
      </c>
      <c r="E26" s="52">
        <v>10269</v>
      </c>
      <c r="F26" s="52">
        <v>10800</v>
      </c>
      <c r="G26" s="52">
        <v>13804</v>
      </c>
      <c r="H26" s="52">
        <v>12112</v>
      </c>
      <c r="I26" s="52">
        <v>9102</v>
      </c>
    </row>
    <row r="27" spans="1:9" x14ac:dyDescent="0.25">
      <c r="A27" s="11" t="s">
        <v>26</v>
      </c>
      <c r="B27" s="10" t="s">
        <v>70</v>
      </c>
      <c r="C27" s="52">
        <v>2824</v>
      </c>
      <c r="D27" s="52">
        <v>5850</v>
      </c>
      <c r="E27" s="52">
        <v>6209</v>
      </c>
      <c r="F27" s="52">
        <v>6770</v>
      </c>
      <c r="G27" s="52">
        <v>7931</v>
      </c>
      <c r="H27" s="52">
        <v>6931</v>
      </c>
      <c r="I27" s="52">
        <v>4806</v>
      </c>
    </row>
    <row r="28" spans="1:9" x14ac:dyDescent="0.25">
      <c r="A28" s="11" t="s">
        <v>27</v>
      </c>
      <c r="B28" s="10" t="s">
        <v>70</v>
      </c>
      <c r="C28" s="52">
        <v>102</v>
      </c>
      <c r="D28" s="52">
        <v>141</v>
      </c>
      <c r="E28" s="52">
        <v>196</v>
      </c>
      <c r="F28" s="52">
        <v>275</v>
      </c>
      <c r="G28" s="52">
        <v>440</v>
      </c>
      <c r="H28" s="52">
        <v>500</v>
      </c>
      <c r="I28" s="52">
        <v>387</v>
      </c>
    </row>
    <row r="29" spans="1:9" x14ac:dyDescent="0.25">
      <c r="A29" s="11" t="s">
        <v>28</v>
      </c>
      <c r="B29" s="10" t="s">
        <v>70</v>
      </c>
      <c r="C29" s="52">
        <v>4258</v>
      </c>
      <c r="D29" s="52">
        <v>8091</v>
      </c>
      <c r="E29" s="52">
        <v>9084</v>
      </c>
      <c r="F29" s="52">
        <v>9849</v>
      </c>
      <c r="G29" s="52">
        <v>12477</v>
      </c>
      <c r="H29" s="52">
        <v>11168</v>
      </c>
      <c r="I29" s="52">
        <v>9483</v>
      </c>
    </row>
    <row r="30" spans="1:9" x14ac:dyDescent="0.25">
      <c r="A30" s="11" t="s">
        <v>29</v>
      </c>
      <c r="B30" s="10" t="s">
        <v>70</v>
      </c>
      <c r="C30" s="52">
        <v>537</v>
      </c>
      <c r="D30" s="52">
        <v>996</v>
      </c>
      <c r="E30" s="52">
        <v>999</v>
      </c>
      <c r="F30" s="52">
        <v>1164</v>
      </c>
      <c r="G30" s="52">
        <v>1472</v>
      </c>
      <c r="H30" s="52">
        <v>1332</v>
      </c>
      <c r="I30" s="52">
        <v>992</v>
      </c>
    </row>
    <row r="31" spans="1:9" x14ac:dyDescent="0.25">
      <c r="A31" s="11" t="s">
        <v>30</v>
      </c>
      <c r="B31" s="10" t="s">
        <v>70</v>
      </c>
      <c r="C31" s="52">
        <v>994</v>
      </c>
      <c r="D31" s="52">
        <v>1762</v>
      </c>
      <c r="E31" s="52">
        <v>1779</v>
      </c>
      <c r="F31" s="52">
        <v>2062</v>
      </c>
      <c r="G31" s="52">
        <v>2246</v>
      </c>
      <c r="H31" s="52">
        <v>1950</v>
      </c>
      <c r="I31" s="52">
        <v>1361</v>
      </c>
    </row>
    <row r="32" spans="1:9" x14ac:dyDescent="0.25">
      <c r="A32" s="11" t="s">
        <v>31</v>
      </c>
      <c r="B32" s="10" t="s">
        <v>70</v>
      </c>
      <c r="C32" s="52">
        <v>1377</v>
      </c>
      <c r="D32" s="52">
        <v>2292</v>
      </c>
      <c r="E32" s="52">
        <v>2477</v>
      </c>
      <c r="F32" s="52">
        <v>2781</v>
      </c>
      <c r="G32" s="52">
        <v>3680</v>
      </c>
      <c r="H32" s="52">
        <v>3496</v>
      </c>
      <c r="I32" s="52">
        <v>2791</v>
      </c>
    </row>
    <row r="33" spans="1:9" x14ac:dyDescent="0.25">
      <c r="A33" s="11" t="s">
        <v>32</v>
      </c>
      <c r="B33" s="10" t="s">
        <v>70</v>
      </c>
      <c r="C33" s="52">
        <v>2449</v>
      </c>
      <c r="D33" s="52">
        <v>3561</v>
      </c>
      <c r="E33" s="52">
        <v>3973</v>
      </c>
      <c r="F33" s="52">
        <v>4413</v>
      </c>
      <c r="G33" s="52">
        <v>5373</v>
      </c>
      <c r="H33" s="52">
        <v>5211</v>
      </c>
      <c r="I33" s="52">
        <v>3911</v>
      </c>
    </row>
    <row r="34" spans="1:9" x14ac:dyDescent="0.25">
      <c r="A34" s="11" t="s">
        <v>33</v>
      </c>
      <c r="B34" s="10" t="s">
        <v>70</v>
      </c>
      <c r="C34" s="52">
        <v>1361</v>
      </c>
      <c r="D34" s="52">
        <v>2358</v>
      </c>
      <c r="E34" s="52">
        <v>2834</v>
      </c>
      <c r="F34" s="52">
        <v>2853</v>
      </c>
      <c r="G34" s="52">
        <v>3697</v>
      </c>
      <c r="H34" s="52">
        <v>3631</v>
      </c>
      <c r="I34" s="52">
        <v>2723</v>
      </c>
    </row>
    <row r="35" spans="1:9" x14ac:dyDescent="0.25">
      <c r="A35" s="11" t="s">
        <v>34</v>
      </c>
      <c r="B35" s="10" t="s">
        <v>70</v>
      </c>
      <c r="C35" s="52">
        <v>680</v>
      </c>
      <c r="D35" s="52">
        <v>1262</v>
      </c>
      <c r="E35" s="52">
        <v>1376</v>
      </c>
      <c r="F35" s="52">
        <v>1500</v>
      </c>
      <c r="G35" s="52">
        <v>1971</v>
      </c>
      <c r="H35" s="52">
        <v>1794</v>
      </c>
      <c r="I35" s="52">
        <v>1432</v>
      </c>
    </row>
    <row r="36" spans="1:9" x14ac:dyDescent="0.25">
      <c r="A36" s="11" t="s">
        <v>35</v>
      </c>
      <c r="B36" s="10" t="s">
        <v>70</v>
      </c>
      <c r="C36" s="52">
        <v>4249</v>
      </c>
      <c r="D36" s="52">
        <v>7240</v>
      </c>
      <c r="E36" s="52">
        <v>7827</v>
      </c>
      <c r="F36" s="52">
        <v>8214</v>
      </c>
      <c r="G36" s="52">
        <v>9993</v>
      </c>
      <c r="H36" s="52">
        <v>8287</v>
      </c>
      <c r="I36" s="52">
        <v>6454</v>
      </c>
    </row>
    <row r="37" spans="1:9" x14ac:dyDescent="0.25">
      <c r="A37" s="11" t="s">
        <v>36</v>
      </c>
      <c r="B37" s="10" t="s">
        <v>70</v>
      </c>
      <c r="C37" s="52">
        <v>13088</v>
      </c>
      <c r="D37" s="52">
        <v>24433</v>
      </c>
      <c r="E37" s="52">
        <v>26212</v>
      </c>
      <c r="F37" s="52">
        <v>25307</v>
      </c>
      <c r="G37" s="52">
        <v>32901</v>
      </c>
      <c r="H37" s="52">
        <v>32724</v>
      </c>
      <c r="I37" s="52">
        <v>29178</v>
      </c>
    </row>
    <row r="38" spans="1:9" x14ac:dyDescent="0.25">
      <c r="A38" s="11" t="s">
        <v>37</v>
      </c>
      <c r="B38" s="10" t="s">
        <v>70</v>
      </c>
      <c r="C38" s="52">
        <v>2387</v>
      </c>
      <c r="D38" s="52">
        <v>3841</v>
      </c>
      <c r="E38" s="52">
        <v>4266</v>
      </c>
      <c r="F38" s="52">
        <v>4606</v>
      </c>
      <c r="G38" s="52">
        <v>5543</v>
      </c>
      <c r="H38" s="52">
        <v>5360</v>
      </c>
      <c r="I38" s="52">
        <v>4154</v>
      </c>
    </row>
    <row r="39" spans="1:9" x14ac:dyDescent="0.25">
      <c r="A39" s="11" t="s">
        <v>38</v>
      </c>
      <c r="B39" s="10" t="s">
        <v>70</v>
      </c>
      <c r="C39" s="52">
        <v>3427</v>
      </c>
      <c r="D39" s="52">
        <v>6216</v>
      </c>
      <c r="E39" s="52">
        <v>7120</v>
      </c>
      <c r="F39" s="52">
        <v>7779</v>
      </c>
      <c r="G39" s="52">
        <v>9869</v>
      </c>
      <c r="H39" s="52">
        <v>9737</v>
      </c>
      <c r="I39" s="52">
        <v>8478</v>
      </c>
    </row>
    <row r="40" spans="1:9" x14ac:dyDescent="0.25">
      <c r="A40" s="11" t="s">
        <v>39</v>
      </c>
      <c r="B40" s="10" t="s">
        <v>70</v>
      </c>
      <c r="C40" s="52">
        <v>5959</v>
      </c>
      <c r="D40" s="52">
        <v>11507</v>
      </c>
      <c r="E40" s="52">
        <v>12610</v>
      </c>
      <c r="F40" s="52">
        <v>13201</v>
      </c>
      <c r="G40" s="52">
        <v>17409</v>
      </c>
      <c r="H40" s="52">
        <v>16021</v>
      </c>
      <c r="I40" s="52">
        <v>12896</v>
      </c>
    </row>
    <row r="41" spans="1:9" x14ac:dyDescent="0.25">
      <c r="A41" s="11" t="s">
        <v>40</v>
      </c>
      <c r="B41" s="10" t="s">
        <v>70</v>
      </c>
      <c r="C41" s="52">
        <v>5956</v>
      </c>
      <c r="D41" s="52">
        <v>11270</v>
      </c>
      <c r="E41" s="52">
        <v>13160</v>
      </c>
      <c r="F41" s="52">
        <v>13925</v>
      </c>
      <c r="G41" s="52">
        <v>18418</v>
      </c>
      <c r="H41" s="52">
        <v>15659</v>
      </c>
      <c r="I41" s="52">
        <v>12784</v>
      </c>
    </row>
    <row r="42" spans="1:9" x14ac:dyDescent="0.25">
      <c r="A42" s="11" t="s">
        <v>41</v>
      </c>
      <c r="B42" s="10" t="s">
        <v>70</v>
      </c>
      <c r="C42" s="52">
        <v>2883</v>
      </c>
      <c r="D42" s="52">
        <v>4947</v>
      </c>
      <c r="E42" s="52">
        <v>6311</v>
      </c>
      <c r="F42" s="52">
        <v>6366</v>
      </c>
      <c r="G42" s="52">
        <v>8240</v>
      </c>
      <c r="H42" s="52">
        <v>8483</v>
      </c>
      <c r="I42" s="52">
        <v>6626</v>
      </c>
    </row>
    <row r="43" spans="1:9" x14ac:dyDescent="0.25">
      <c r="A43" s="11" t="s">
        <v>42</v>
      </c>
      <c r="B43" s="10" t="s">
        <v>70</v>
      </c>
      <c r="C43" s="52">
        <v>1049</v>
      </c>
      <c r="D43" s="52">
        <v>1848</v>
      </c>
      <c r="E43" s="52">
        <v>2193</v>
      </c>
      <c r="F43" s="52">
        <v>2424</v>
      </c>
      <c r="G43" s="52">
        <v>3204</v>
      </c>
      <c r="H43" s="52">
        <v>3097</v>
      </c>
      <c r="I43" s="52">
        <v>2351</v>
      </c>
    </row>
    <row r="44" spans="1:9" x14ac:dyDescent="0.25">
      <c r="A44" s="11" t="s">
        <v>43</v>
      </c>
      <c r="B44" s="10" t="s">
        <v>70</v>
      </c>
      <c r="C44" s="52">
        <v>2974</v>
      </c>
      <c r="D44" s="52">
        <v>4983</v>
      </c>
      <c r="E44" s="52">
        <v>4990</v>
      </c>
      <c r="F44" s="52">
        <v>5506</v>
      </c>
      <c r="G44" s="52">
        <v>7212</v>
      </c>
      <c r="H44" s="52">
        <v>6981</v>
      </c>
      <c r="I44" s="52">
        <v>5656</v>
      </c>
    </row>
    <row r="45" spans="1:9" x14ac:dyDescent="0.25">
      <c r="A45" s="11" t="s">
        <v>44</v>
      </c>
      <c r="B45" s="10" t="s">
        <v>70</v>
      </c>
      <c r="C45" s="52">
        <v>1142</v>
      </c>
      <c r="D45" s="52">
        <v>2337</v>
      </c>
      <c r="E45" s="52">
        <v>2490</v>
      </c>
      <c r="F45" s="52">
        <v>2683</v>
      </c>
      <c r="G45" s="52">
        <v>3737</v>
      </c>
      <c r="H45" s="52">
        <v>3387</v>
      </c>
      <c r="I45" s="52">
        <v>2855</v>
      </c>
    </row>
    <row r="46" spans="1:9" x14ac:dyDescent="0.25">
      <c r="A46" s="11" t="s">
        <v>45</v>
      </c>
      <c r="B46" s="10" t="s">
        <v>70</v>
      </c>
      <c r="C46" s="52">
        <v>2562</v>
      </c>
      <c r="D46" s="52">
        <v>5190</v>
      </c>
      <c r="E46" s="52">
        <v>6132</v>
      </c>
      <c r="F46" s="52">
        <v>6476</v>
      </c>
      <c r="G46" s="52">
        <v>9388</v>
      </c>
      <c r="H46" s="52">
        <v>8327</v>
      </c>
      <c r="I46" s="52">
        <v>5181</v>
      </c>
    </row>
    <row r="47" spans="1:9" x14ac:dyDescent="0.25">
      <c r="A47" s="11" t="s">
        <v>46</v>
      </c>
      <c r="B47" s="10" t="s">
        <v>70</v>
      </c>
      <c r="C47" s="52">
        <v>14201</v>
      </c>
      <c r="D47" s="52">
        <v>25982</v>
      </c>
      <c r="E47" s="52">
        <v>28126</v>
      </c>
      <c r="F47" s="52">
        <v>29196</v>
      </c>
      <c r="G47" s="52">
        <v>41274</v>
      </c>
      <c r="H47" s="52">
        <v>37615</v>
      </c>
      <c r="I47" s="52">
        <v>31442</v>
      </c>
    </row>
    <row r="48" spans="1:9" x14ac:dyDescent="0.25">
      <c r="A48" s="11" t="s">
        <v>47</v>
      </c>
      <c r="B48" s="10" t="s">
        <v>70</v>
      </c>
      <c r="C48" s="52">
        <v>414</v>
      </c>
      <c r="D48" s="52">
        <v>802</v>
      </c>
      <c r="E48" s="52">
        <v>934</v>
      </c>
      <c r="F48" s="52">
        <v>882</v>
      </c>
      <c r="G48" s="52">
        <v>1221</v>
      </c>
      <c r="H48" s="52">
        <v>1239</v>
      </c>
      <c r="I48" s="52">
        <v>1056</v>
      </c>
    </row>
    <row r="49" spans="1:9" x14ac:dyDescent="0.25">
      <c r="A49" s="11" t="s">
        <v>48</v>
      </c>
      <c r="B49" s="10" t="s">
        <v>70</v>
      </c>
      <c r="C49" s="52">
        <v>6196</v>
      </c>
      <c r="D49" s="52">
        <v>11258</v>
      </c>
      <c r="E49" s="52">
        <v>11813</v>
      </c>
      <c r="F49" s="52">
        <v>12511</v>
      </c>
      <c r="G49" s="52">
        <v>17496</v>
      </c>
      <c r="H49" s="52">
        <v>15437</v>
      </c>
      <c r="I49" s="52">
        <v>12217</v>
      </c>
    </row>
    <row r="50" spans="1:9" x14ac:dyDescent="0.25">
      <c r="A50" s="11" t="s">
        <v>49</v>
      </c>
      <c r="B50" s="10" t="s">
        <v>70</v>
      </c>
      <c r="C50" s="52">
        <v>2013</v>
      </c>
      <c r="D50" s="52">
        <v>3671</v>
      </c>
      <c r="E50" s="52">
        <v>4598</v>
      </c>
      <c r="F50" s="52">
        <v>4811</v>
      </c>
      <c r="G50" s="52">
        <v>6219</v>
      </c>
      <c r="H50" s="52">
        <v>5959</v>
      </c>
      <c r="I50" s="52">
        <v>4684</v>
      </c>
    </row>
    <row r="51" spans="1:9" x14ac:dyDescent="0.25">
      <c r="A51" s="11" t="s">
        <v>50</v>
      </c>
      <c r="B51" s="10" t="s">
        <v>70</v>
      </c>
      <c r="C51" s="52">
        <v>1439</v>
      </c>
      <c r="D51" s="52">
        <v>2640</v>
      </c>
      <c r="E51" s="52">
        <v>3053</v>
      </c>
      <c r="F51" s="52">
        <v>3238</v>
      </c>
      <c r="G51" s="52">
        <v>4258</v>
      </c>
      <c r="H51" s="52">
        <v>3803</v>
      </c>
      <c r="I51" s="52">
        <v>2569</v>
      </c>
    </row>
    <row r="52" spans="1:9" x14ac:dyDescent="0.25">
      <c r="A52" s="11" t="s">
        <v>51</v>
      </c>
      <c r="B52" s="10" t="s">
        <v>70</v>
      </c>
      <c r="C52" s="52">
        <v>9985</v>
      </c>
      <c r="D52" s="52">
        <v>25902</v>
      </c>
      <c r="E52" s="52">
        <v>23671</v>
      </c>
      <c r="F52" s="52">
        <v>18685</v>
      </c>
      <c r="G52" s="52">
        <v>20733</v>
      </c>
      <c r="H52" s="52">
        <v>18095</v>
      </c>
      <c r="I52" s="52">
        <v>14321</v>
      </c>
    </row>
    <row r="53" spans="1:9" x14ac:dyDescent="0.25">
      <c r="A53" s="11" t="s">
        <v>52</v>
      </c>
      <c r="B53" s="10" t="s">
        <v>70</v>
      </c>
      <c r="C53" s="52">
        <v>1246</v>
      </c>
      <c r="D53" s="52">
        <v>2409</v>
      </c>
      <c r="E53" s="52">
        <v>2974</v>
      </c>
      <c r="F53" s="52">
        <v>3248</v>
      </c>
      <c r="G53" s="52">
        <v>5209</v>
      </c>
      <c r="H53" s="52">
        <v>4679</v>
      </c>
      <c r="I53" s="52">
        <v>3227</v>
      </c>
    </row>
    <row r="54" spans="1:9" x14ac:dyDescent="0.25">
      <c r="A54" s="11" t="s">
        <v>53</v>
      </c>
      <c r="B54" s="10" t="s">
        <v>70</v>
      </c>
      <c r="C54" s="52">
        <v>507</v>
      </c>
      <c r="D54" s="52">
        <v>920</v>
      </c>
      <c r="E54" s="52">
        <v>1043</v>
      </c>
      <c r="F54" s="52">
        <v>1083</v>
      </c>
      <c r="G54" s="52">
        <v>1553</v>
      </c>
      <c r="H54" s="52">
        <v>1619</v>
      </c>
      <c r="I54" s="52">
        <v>1292</v>
      </c>
    </row>
    <row r="55" spans="1:9" x14ac:dyDescent="0.25">
      <c r="A55" s="11" t="s">
        <v>54</v>
      </c>
      <c r="B55" s="10" t="s">
        <v>70</v>
      </c>
      <c r="C55" s="52">
        <v>3694</v>
      </c>
      <c r="D55" s="52">
        <v>6275</v>
      </c>
      <c r="E55" s="52">
        <v>7364</v>
      </c>
      <c r="F55" s="52">
        <v>8373</v>
      </c>
      <c r="G55" s="52">
        <v>10545</v>
      </c>
      <c r="H55" s="52">
        <v>9616</v>
      </c>
      <c r="I55" s="52">
        <v>7288</v>
      </c>
    </row>
    <row r="56" spans="1:9" x14ac:dyDescent="0.25">
      <c r="A56" s="11" t="s">
        <v>55</v>
      </c>
      <c r="B56" s="10" t="s">
        <v>70</v>
      </c>
      <c r="C56" s="52">
        <v>1236</v>
      </c>
      <c r="D56" s="52">
        <v>1864</v>
      </c>
      <c r="E56" s="52">
        <v>2253</v>
      </c>
      <c r="F56" s="52">
        <v>2363</v>
      </c>
      <c r="G56" s="52">
        <v>3047</v>
      </c>
      <c r="H56" s="52">
        <v>2821</v>
      </c>
      <c r="I56" s="52">
        <v>2378</v>
      </c>
    </row>
    <row r="57" spans="1:9" x14ac:dyDescent="0.25">
      <c r="A57" s="11" t="s">
        <v>56</v>
      </c>
      <c r="B57" s="10" t="s">
        <v>70</v>
      </c>
      <c r="C57" s="52">
        <v>2292</v>
      </c>
      <c r="D57" s="52">
        <v>3928</v>
      </c>
      <c r="E57" s="52">
        <v>4375</v>
      </c>
      <c r="F57" s="52">
        <v>4898</v>
      </c>
      <c r="G57" s="52">
        <v>6266</v>
      </c>
      <c r="H57" s="52">
        <v>6315</v>
      </c>
      <c r="I57" s="52">
        <v>4731</v>
      </c>
    </row>
    <row r="58" spans="1:9" x14ac:dyDescent="0.25">
      <c r="A58" s="11" t="s">
        <v>57</v>
      </c>
      <c r="B58" s="10" t="s">
        <v>70</v>
      </c>
      <c r="C58" s="52">
        <v>159</v>
      </c>
      <c r="D58" s="52">
        <v>268</v>
      </c>
      <c r="E58" s="52">
        <v>354</v>
      </c>
      <c r="F58" s="52">
        <v>373</v>
      </c>
      <c r="G58" s="52">
        <v>568</v>
      </c>
      <c r="H58" s="52">
        <v>659</v>
      </c>
      <c r="I58" s="52">
        <v>467</v>
      </c>
    </row>
    <row r="59" spans="1:9" x14ac:dyDescent="0.25">
      <c r="A59" s="11" t="s">
        <v>58</v>
      </c>
      <c r="B59" s="10" t="s">
        <v>70</v>
      </c>
      <c r="C59" s="52">
        <v>1153</v>
      </c>
      <c r="D59" s="52">
        <v>2163</v>
      </c>
      <c r="E59" s="52">
        <v>2397</v>
      </c>
      <c r="F59" s="52">
        <v>2387</v>
      </c>
      <c r="G59" s="52">
        <v>3469</v>
      </c>
      <c r="H59" s="52">
        <v>3359</v>
      </c>
      <c r="I59" s="52">
        <v>2622</v>
      </c>
    </row>
    <row r="60" spans="1:9" x14ac:dyDescent="0.25">
      <c r="A60" s="11" t="s">
        <v>59</v>
      </c>
      <c r="B60" s="10" t="s">
        <v>70</v>
      </c>
      <c r="C60" s="52">
        <v>1101</v>
      </c>
      <c r="D60" s="52">
        <v>1975</v>
      </c>
      <c r="E60" s="52">
        <v>2467</v>
      </c>
      <c r="F60" s="52">
        <v>2555</v>
      </c>
      <c r="G60" s="52">
        <v>3480</v>
      </c>
      <c r="H60" s="52">
        <v>3594</v>
      </c>
      <c r="I60" s="52">
        <v>2944</v>
      </c>
    </row>
    <row r="61" spans="1:9" x14ac:dyDescent="0.25">
      <c r="A61" s="11" t="s">
        <v>60</v>
      </c>
      <c r="B61" s="10" t="s">
        <v>70</v>
      </c>
      <c r="C61" s="52">
        <v>1359</v>
      </c>
      <c r="D61" s="52">
        <v>1758</v>
      </c>
      <c r="E61" s="52">
        <v>1911</v>
      </c>
      <c r="F61" s="52">
        <v>1968</v>
      </c>
      <c r="G61" s="52">
        <v>2645</v>
      </c>
      <c r="H61" s="52">
        <v>2411</v>
      </c>
      <c r="I61" s="52">
        <v>2351</v>
      </c>
    </row>
    <row r="62" spans="1:9" x14ac:dyDescent="0.25">
      <c r="A62" s="11" t="s">
        <v>61</v>
      </c>
      <c r="B62" s="10" t="s">
        <v>70</v>
      </c>
      <c r="C62" s="52">
        <v>1239</v>
      </c>
      <c r="D62" s="52">
        <v>2223</v>
      </c>
      <c r="E62" s="52">
        <v>2710</v>
      </c>
      <c r="F62" s="52">
        <v>3038</v>
      </c>
      <c r="G62" s="52">
        <v>3880</v>
      </c>
      <c r="H62" s="52">
        <v>4031</v>
      </c>
      <c r="I62" s="52">
        <v>3017</v>
      </c>
    </row>
    <row r="63" spans="1:9" x14ac:dyDescent="0.25">
      <c r="A63" s="11" t="s">
        <v>62</v>
      </c>
      <c r="B63" s="10" t="s">
        <v>70</v>
      </c>
      <c r="C63" s="52">
        <v>989</v>
      </c>
      <c r="D63" s="52">
        <v>1719</v>
      </c>
      <c r="E63" s="52">
        <v>2068</v>
      </c>
      <c r="F63" s="52">
        <v>2174</v>
      </c>
      <c r="G63" s="52">
        <v>3087</v>
      </c>
      <c r="H63" s="52">
        <v>3026</v>
      </c>
      <c r="I63" s="52">
        <v>2188</v>
      </c>
    </row>
    <row r="64" spans="1:9" x14ac:dyDescent="0.25">
      <c r="A64" s="11" t="s">
        <v>63</v>
      </c>
      <c r="B64" s="10" t="s">
        <v>70</v>
      </c>
      <c r="C64" s="52">
        <v>5354</v>
      </c>
      <c r="D64" s="52">
        <v>9717</v>
      </c>
      <c r="E64" s="52">
        <v>11139</v>
      </c>
      <c r="F64" s="52">
        <v>11540</v>
      </c>
      <c r="G64" s="52">
        <v>13891</v>
      </c>
      <c r="H64" s="52">
        <v>12528</v>
      </c>
      <c r="I64" s="52">
        <v>8755</v>
      </c>
    </row>
    <row r="65" spans="1:9" x14ac:dyDescent="0.25">
      <c r="A65" s="11" t="s">
        <v>64</v>
      </c>
      <c r="B65" s="10" t="s">
        <v>70</v>
      </c>
      <c r="C65" s="52">
        <v>1293</v>
      </c>
      <c r="D65" s="52">
        <v>2494</v>
      </c>
      <c r="E65" s="52">
        <v>2773</v>
      </c>
      <c r="F65" s="52">
        <v>2892</v>
      </c>
      <c r="G65" s="52">
        <v>4527</v>
      </c>
      <c r="H65" s="52">
        <v>4394</v>
      </c>
      <c r="I65" s="52">
        <v>3347</v>
      </c>
    </row>
    <row r="66" spans="1:9" x14ac:dyDescent="0.25">
      <c r="A66" s="11" t="s">
        <v>65</v>
      </c>
      <c r="B66" s="10" t="s">
        <v>70</v>
      </c>
      <c r="C66" s="52">
        <v>8955</v>
      </c>
      <c r="D66" s="52">
        <v>16520</v>
      </c>
      <c r="E66" s="52">
        <v>18342</v>
      </c>
      <c r="F66" s="52">
        <v>19268</v>
      </c>
      <c r="G66" s="52">
        <v>25943</v>
      </c>
      <c r="H66" s="52">
        <v>23812</v>
      </c>
      <c r="I66" s="52">
        <v>18208</v>
      </c>
    </row>
    <row r="67" spans="1:9" x14ac:dyDescent="0.25">
      <c r="A67" s="11" t="s">
        <v>66</v>
      </c>
      <c r="B67" s="10" t="s">
        <v>70</v>
      </c>
      <c r="C67" s="52">
        <v>745</v>
      </c>
      <c r="D67" s="52">
        <v>1378</v>
      </c>
      <c r="E67" s="52">
        <v>1542</v>
      </c>
      <c r="F67" s="52">
        <v>1742</v>
      </c>
      <c r="G67" s="52">
        <v>2143</v>
      </c>
      <c r="H67" s="52">
        <v>2075</v>
      </c>
      <c r="I67" s="52">
        <v>1726</v>
      </c>
    </row>
    <row r="68" spans="1:9" ht="13.8" thickBot="1" x14ac:dyDescent="0.3">
      <c r="A68" s="13" t="s">
        <v>67</v>
      </c>
      <c r="B68" s="12" t="s">
        <v>70</v>
      </c>
      <c r="C68" s="52">
        <v>11248</v>
      </c>
      <c r="D68" s="52">
        <v>21465</v>
      </c>
      <c r="E68" s="52">
        <v>25218</v>
      </c>
      <c r="F68" s="52">
        <v>25478</v>
      </c>
      <c r="G68" s="52">
        <v>34398</v>
      </c>
      <c r="H68" s="52">
        <v>28929</v>
      </c>
      <c r="I68" s="52">
        <v>21608</v>
      </c>
    </row>
    <row r="69" spans="1:9" x14ac:dyDescent="0.25">
      <c r="A69" s="32" t="s">
        <v>68</v>
      </c>
      <c r="C69" s="14">
        <f>SUM(C2:C68)</f>
        <v>255927</v>
      </c>
      <c r="D69" s="14">
        <f t="shared" ref="D69:I69" si="0">SUM(D2:D68)</f>
        <v>470664</v>
      </c>
      <c r="E69" s="14">
        <f t="shared" si="0"/>
        <v>514984</v>
      </c>
      <c r="F69" s="14">
        <f t="shared" si="0"/>
        <v>530657</v>
      </c>
      <c r="G69" s="14">
        <f t="shared" si="0"/>
        <v>706495</v>
      </c>
      <c r="H69" s="14">
        <f t="shared" si="0"/>
        <v>650835</v>
      </c>
      <c r="I69" s="14">
        <f t="shared" si="0"/>
        <v>510368</v>
      </c>
    </row>
    <row r="70" spans="1:9" x14ac:dyDescent="0.25">
      <c r="C70" s="17">
        <f>C69/$C$72</f>
        <v>7.0310967518606132E-2</v>
      </c>
      <c r="D70" s="17">
        <f t="shared" ref="D70:I70" si="1">D69/$C$72</f>
        <v>0.12930578335297657</v>
      </c>
      <c r="E70" s="17">
        <f t="shared" si="1"/>
        <v>0.14148184168376865</v>
      </c>
      <c r="F70" s="17">
        <f t="shared" si="1"/>
        <v>0.14578769371938471</v>
      </c>
      <c r="G70" s="17">
        <f t="shared" si="1"/>
        <v>0.19409576557790947</v>
      </c>
      <c r="H70" s="17">
        <f t="shared" si="1"/>
        <v>0.178804262719338</v>
      </c>
      <c r="I70" s="17">
        <f t="shared" si="1"/>
        <v>0.14021368542801646</v>
      </c>
    </row>
    <row r="72" spans="1:9" x14ac:dyDescent="0.25">
      <c r="A72" s="32" t="s">
        <v>80</v>
      </c>
      <c r="C72" s="16">
        <f>SUM(C69:I69)</f>
        <v>3639930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M11" sqref="M11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9" width="9.109375" style="11"/>
    <col min="10" max="10" width="12" style="11" bestFit="1" customWidth="1"/>
    <col min="11" max="11" width="10" style="11" bestFit="1" customWidth="1"/>
    <col min="12" max="12" width="11.33203125" style="11" bestFit="1" customWidth="1"/>
    <col min="13" max="13" width="9.5546875" style="11" bestFit="1" customWidth="1"/>
    <col min="14" max="14" width="10.88671875" style="11" bestFit="1" customWidth="1"/>
    <col min="15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17621</v>
      </c>
      <c r="C3" s="70">
        <v>1562</v>
      </c>
      <c r="D3" s="69">
        <v>42000</v>
      </c>
      <c r="E3" s="70">
        <v>2018</v>
      </c>
      <c r="F3" s="72">
        <v>12008</v>
      </c>
      <c r="G3" s="74">
        <v>1315</v>
      </c>
    </row>
    <row r="4" spans="1:7" x14ac:dyDescent="0.25">
      <c r="A4" s="11" t="s">
        <v>2</v>
      </c>
      <c r="B4" s="69">
        <v>467651</v>
      </c>
      <c r="C4" s="70">
        <v>35640</v>
      </c>
      <c r="D4" s="69">
        <v>251404</v>
      </c>
      <c r="E4" s="70">
        <v>12425</v>
      </c>
      <c r="F4" s="72">
        <v>135186</v>
      </c>
      <c r="G4" s="75">
        <v>14718</v>
      </c>
    </row>
    <row r="5" spans="1:7" x14ac:dyDescent="0.25">
      <c r="A5" s="11" t="s">
        <v>3</v>
      </c>
      <c r="B5" s="69">
        <v>10250</v>
      </c>
      <c r="C5" s="70">
        <v>409</v>
      </c>
      <c r="D5" s="69">
        <v>27015</v>
      </c>
      <c r="E5" s="70">
        <v>606</v>
      </c>
      <c r="F5" s="72">
        <v>5004</v>
      </c>
      <c r="G5" s="75">
        <v>261</v>
      </c>
    </row>
    <row r="6" spans="1:7" x14ac:dyDescent="0.25">
      <c r="A6" s="11" t="s">
        <v>4</v>
      </c>
      <c r="B6" s="69">
        <v>43540</v>
      </c>
      <c r="C6" s="70">
        <v>2264</v>
      </c>
      <c r="D6" s="69">
        <v>50007</v>
      </c>
      <c r="E6" s="70">
        <v>1890</v>
      </c>
      <c r="F6" s="72">
        <v>15169</v>
      </c>
      <c r="G6" s="75">
        <v>1284</v>
      </c>
    </row>
    <row r="7" spans="1:7" x14ac:dyDescent="0.25">
      <c r="A7" s="11" t="s">
        <v>5</v>
      </c>
      <c r="B7" s="69">
        <v>5088</v>
      </c>
      <c r="C7" s="70">
        <v>196</v>
      </c>
      <c r="D7" s="69">
        <v>24115</v>
      </c>
      <c r="E7" s="70">
        <v>463</v>
      </c>
      <c r="F7" s="72">
        <v>3029</v>
      </c>
      <c r="G7" s="75">
        <v>159</v>
      </c>
    </row>
    <row r="8" spans="1:7" x14ac:dyDescent="0.25">
      <c r="A8" s="11" t="s">
        <v>6</v>
      </c>
      <c r="B8" s="69">
        <v>98491</v>
      </c>
      <c r="C8" s="70">
        <v>5789</v>
      </c>
      <c r="D8" s="69">
        <v>114675</v>
      </c>
      <c r="E8" s="70">
        <v>3447</v>
      </c>
      <c r="F8" s="72">
        <v>47775</v>
      </c>
      <c r="G8" s="75">
        <v>3461</v>
      </c>
    </row>
    <row r="9" spans="1:7" x14ac:dyDescent="0.25">
      <c r="A9" s="11" t="s">
        <v>7</v>
      </c>
      <c r="B9" s="69">
        <v>18282</v>
      </c>
      <c r="C9" s="70">
        <v>1480</v>
      </c>
      <c r="D9" s="69">
        <v>48566</v>
      </c>
      <c r="E9" s="70">
        <v>2090</v>
      </c>
      <c r="F9" s="72">
        <v>10000</v>
      </c>
      <c r="G9" s="75">
        <v>1115</v>
      </c>
    </row>
    <row r="10" spans="1:7" x14ac:dyDescent="0.25">
      <c r="A10" s="11" t="s">
        <v>8</v>
      </c>
      <c r="B10" s="69">
        <v>7102</v>
      </c>
      <c r="C10" s="70">
        <v>709</v>
      </c>
      <c r="D10" s="69">
        <v>24157</v>
      </c>
      <c r="E10" s="70">
        <v>1486</v>
      </c>
      <c r="F10" s="72">
        <v>4761</v>
      </c>
      <c r="G10" s="75">
        <v>615</v>
      </c>
    </row>
    <row r="11" spans="1:7" x14ac:dyDescent="0.25">
      <c r="A11" s="11" t="s">
        <v>9</v>
      </c>
      <c r="B11" s="69">
        <v>180325</v>
      </c>
      <c r="C11" s="70">
        <v>13568</v>
      </c>
      <c r="D11" s="69">
        <v>192255</v>
      </c>
      <c r="E11" s="70">
        <v>10020</v>
      </c>
      <c r="F11" s="72">
        <v>80167</v>
      </c>
      <c r="G11" s="75">
        <v>7839</v>
      </c>
    </row>
    <row r="12" spans="1:7" x14ac:dyDescent="0.25">
      <c r="A12" s="11" t="s">
        <v>10</v>
      </c>
      <c r="B12" s="69">
        <v>37339</v>
      </c>
      <c r="C12" s="70">
        <v>1730</v>
      </c>
      <c r="D12" s="69">
        <v>80284</v>
      </c>
      <c r="E12" s="70">
        <v>2513</v>
      </c>
      <c r="F12" s="72">
        <v>19908</v>
      </c>
      <c r="G12" s="75">
        <v>1418</v>
      </c>
    </row>
    <row r="13" spans="1:7" x14ac:dyDescent="0.25">
      <c r="A13" s="11" t="s">
        <v>11</v>
      </c>
      <c r="B13" s="69">
        <v>27953</v>
      </c>
      <c r="C13" s="70">
        <v>1508</v>
      </c>
      <c r="D13" s="69">
        <v>45078</v>
      </c>
      <c r="E13" s="70">
        <v>1467</v>
      </c>
      <c r="F13" s="72">
        <v>9182</v>
      </c>
      <c r="G13" s="75">
        <v>756</v>
      </c>
    </row>
    <row r="14" spans="1:7" x14ac:dyDescent="0.25">
      <c r="A14" s="11" t="s">
        <v>12</v>
      </c>
      <c r="B14" s="69">
        <v>636</v>
      </c>
      <c r="C14" s="70">
        <v>28</v>
      </c>
      <c r="D14" s="69">
        <v>1784</v>
      </c>
      <c r="E14" s="70">
        <v>51</v>
      </c>
      <c r="F14" s="72">
        <v>355</v>
      </c>
      <c r="G14" s="75">
        <v>20</v>
      </c>
    </row>
    <row r="15" spans="1:7" x14ac:dyDescent="0.25">
      <c r="A15" s="11" t="s">
        <v>13</v>
      </c>
      <c r="B15" s="69">
        <v>13276</v>
      </c>
      <c r="C15" s="70">
        <v>846</v>
      </c>
      <c r="D15" s="69">
        <v>22908</v>
      </c>
      <c r="E15" s="70">
        <v>1001</v>
      </c>
      <c r="F15" s="72">
        <v>7084</v>
      </c>
      <c r="G15" s="75">
        <v>634</v>
      </c>
    </row>
    <row r="16" spans="1:7" x14ac:dyDescent="0.25">
      <c r="A16" s="11" t="s">
        <v>14</v>
      </c>
      <c r="B16" s="69">
        <v>35530</v>
      </c>
      <c r="C16" s="70">
        <v>5983</v>
      </c>
      <c r="D16" s="69">
        <v>38532</v>
      </c>
      <c r="E16" s="70">
        <v>3402</v>
      </c>
      <c r="F16" s="72">
        <v>15663</v>
      </c>
      <c r="G16" s="75">
        <v>3111</v>
      </c>
    </row>
    <row r="17" spans="1:7" x14ac:dyDescent="0.25">
      <c r="A17" s="11" t="s">
        <v>15</v>
      </c>
      <c r="B17" s="69">
        <v>152807</v>
      </c>
      <c r="C17" s="70">
        <v>7677</v>
      </c>
      <c r="D17" s="69">
        <v>146739</v>
      </c>
      <c r="E17" s="70">
        <v>5274</v>
      </c>
      <c r="F17" s="72">
        <v>71857</v>
      </c>
      <c r="G17" s="75">
        <v>4306</v>
      </c>
    </row>
    <row r="18" spans="1:7" x14ac:dyDescent="0.25">
      <c r="A18" s="11" t="s">
        <v>16</v>
      </c>
      <c r="B18" s="69">
        <v>4691</v>
      </c>
      <c r="C18" s="70">
        <v>375</v>
      </c>
      <c r="D18" s="69">
        <v>14877</v>
      </c>
      <c r="E18" s="70">
        <v>689</v>
      </c>
      <c r="F18" s="72">
        <v>2440</v>
      </c>
      <c r="G18" s="75">
        <v>278</v>
      </c>
    </row>
    <row r="19" spans="1:7" x14ac:dyDescent="0.25">
      <c r="A19" s="11" t="s">
        <v>17</v>
      </c>
      <c r="B19" s="69">
        <v>11227</v>
      </c>
      <c r="C19" s="70">
        <v>821</v>
      </c>
      <c r="D19" s="69">
        <v>29976</v>
      </c>
      <c r="E19" s="70">
        <v>1449</v>
      </c>
      <c r="F19" s="72">
        <v>5443</v>
      </c>
      <c r="G19" s="75">
        <v>635</v>
      </c>
    </row>
    <row r="20" spans="1:7" x14ac:dyDescent="0.25">
      <c r="A20" s="11" t="s">
        <v>18</v>
      </c>
      <c r="B20" s="69">
        <v>5766</v>
      </c>
      <c r="C20" s="70">
        <v>298</v>
      </c>
      <c r="D20" s="69">
        <v>12868</v>
      </c>
      <c r="E20" s="70">
        <v>432</v>
      </c>
      <c r="F20" s="72">
        <v>2905</v>
      </c>
      <c r="G20" s="75">
        <v>238</v>
      </c>
    </row>
    <row r="21" spans="1:7" x14ac:dyDescent="0.25">
      <c r="A21" s="11" t="s">
        <v>19</v>
      </c>
      <c r="B21" s="69">
        <v>11166</v>
      </c>
      <c r="C21" s="70">
        <v>642</v>
      </c>
      <c r="D21" s="69">
        <v>21834</v>
      </c>
      <c r="E21" s="70">
        <v>611</v>
      </c>
      <c r="F21" s="72">
        <v>5881</v>
      </c>
      <c r="G21" s="75">
        <v>447</v>
      </c>
    </row>
    <row r="22" spans="1:7" x14ac:dyDescent="0.25">
      <c r="A22" s="11" t="s">
        <v>20</v>
      </c>
      <c r="B22" s="69">
        <v>13353</v>
      </c>
      <c r="C22" s="70">
        <v>1106</v>
      </c>
      <c r="D22" s="69">
        <v>30614</v>
      </c>
      <c r="E22" s="70">
        <v>1271</v>
      </c>
      <c r="F22" s="72">
        <v>6123</v>
      </c>
      <c r="G22" s="75">
        <v>651</v>
      </c>
    </row>
    <row r="23" spans="1:7" x14ac:dyDescent="0.25">
      <c r="A23" s="11" t="s">
        <v>21</v>
      </c>
      <c r="B23" s="69">
        <v>57611</v>
      </c>
      <c r="C23" s="70">
        <v>3767</v>
      </c>
      <c r="D23" s="69">
        <v>84884</v>
      </c>
      <c r="E23" s="70">
        <v>3493</v>
      </c>
      <c r="F23" s="72">
        <v>30552</v>
      </c>
      <c r="G23" s="75">
        <v>2654</v>
      </c>
    </row>
    <row r="24" spans="1:7" x14ac:dyDescent="0.25">
      <c r="A24" s="11" t="s">
        <v>22</v>
      </c>
      <c r="B24" s="69">
        <v>77751</v>
      </c>
      <c r="C24" s="70">
        <v>8271</v>
      </c>
      <c r="D24" s="69">
        <v>71514</v>
      </c>
      <c r="E24" s="70">
        <v>4609</v>
      </c>
      <c r="F24" s="72">
        <v>33248</v>
      </c>
      <c r="G24" s="75">
        <v>4665</v>
      </c>
    </row>
    <row r="25" spans="1:7" x14ac:dyDescent="0.25">
      <c r="A25" s="11" t="s">
        <v>23</v>
      </c>
      <c r="B25" s="69">
        <v>180140</v>
      </c>
      <c r="C25" s="70">
        <v>22416</v>
      </c>
      <c r="D25" s="69">
        <v>132539</v>
      </c>
      <c r="E25" s="70">
        <v>10645</v>
      </c>
      <c r="F25" s="72">
        <v>55741</v>
      </c>
      <c r="G25" s="75">
        <v>8721</v>
      </c>
    </row>
    <row r="26" spans="1:7" x14ac:dyDescent="0.25">
      <c r="A26" s="11" t="s">
        <v>24</v>
      </c>
      <c r="B26" s="69">
        <v>5567</v>
      </c>
      <c r="C26" s="70">
        <v>232</v>
      </c>
      <c r="D26" s="69">
        <v>11839</v>
      </c>
      <c r="E26" s="70">
        <v>298</v>
      </c>
      <c r="F26" s="72">
        <v>2383</v>
      </c>
      <c r="G26" s="75">
        <v>170</v>
      </c>
    </row>
    <row r="27" spans="1:7" x14ac:dyDescent="0.25">
      <c r="A27" s="11" t="s">
        <v>25</v>
      </c>
      <c r="B27" s="69">
        <v>71538</v>
      </c>
      <c r="C27" s="70">
        <v>5005</v>
      </c>
      <c r="D27" s="69">
        <v>67684</v>
      </c>
      <c r="E27" s="70">
        <v>3298</v>
      </c>
      <c r="F27" s="72">
        <v>24586</v>
      </c>
      <c r="G27" s="75">
        <v>2841</v>
      </c>
    </row>
    <row r="28" spans="1:7" x14ac:dyDescent="0.25">
      <c r="A28" s="11" t="s">
        <v>26</v>
      </c>
      <c r="B28" s="69">
        <v>28131</v>
      </c>
      <c r="C28" s="70">
        <v>1439</v>
      </c>
      <c r="D28" s="69">
        <v>40183</v>
      </c>
      <c r="E28" s="70">
        <v>1138</v>
      </c>
      <c r="F28" s="72">
        <v>8060</v>
      </c>
      <c r="G28" s="75">
        <v>658</v>
      </c>
    </row>
    <row r="29" spans="1:7" x14ac:dyDescent="0.25">
      <c r="A29" s="11" t="s">
        <v>27</v>
      </c>
      <c r="B29" s="69">
        <v>718</v>
      </c>
      <c r="C29" s="70">
        <v>56</v>
      </c>
      <c r="D29" s="69">
        <v>1947</v>
      </c>
      <c r="E29" s="70">
        <v>94</v>
      </c>
      <c r="F29" s="72">
        <v>354</v>
      </c>
      <c r="G29" s="75">
        <v>42</v>
      </c>
    </row>
    <row r="30" spans="1:7" x14ac:dyDescent="0.25">
      <c r="A30" s="11" t="s">
        <v>28</v>
      </c>
      <c r="B30" s="69">
        <v>21637</v>
      </c>
      <c r="C30" s="70">
        <v>1838</v>
      </c>
      <c r="D30" s="69">
        <v>61608</v>
      </c>
      <c r="E30" s="70">
        <v>2802</v>
      </c>
      <c r="F30" s="72">
        <v>15707</v>
      </c>
      <c r="G30" s="75">
        <v>1593</v>
      </c>
    </row>
    <row r="31" spans="1:7" x14ac:dyDescent="0.25">
      <c r="A31" s="11" t="s">
        <v>29</v>
      </c>
      <c r="B31" s="69">
        <v>1347</v>
      </c>
      <c r="C31" s="70">
        <v>128</v>
      </c>
      <c r="D31" s="69">
        <v>7142</v>
      </c>
      <c r="E31" s="70">
        <v>350</v>
      </c>
      <c r="F31" s="72">
        <v>1007</v>
      </c>
      <c r="G31" s="75">
        <v>158</v>
      </c>
    </row>
    <row r="32" spans="1:7" x14ac:dyDescent="0.25">
      <c r="A32" s="11" t="s">
        <v>30</v>
      </c>
      <c r="B32" s="69">
        <v>6931</v>
      </c>
      <c r="C32" s="70">
        <v>467</v>
      </c>
      <c r="D32" s="69">
        <v>11570</v>
      </c>
      <c r="E32" s="70">
        <v>584</v>
      </c>
      <c r="F32" s="72">
        <v>2011</v>
      </c>
      <c r="G32" s="75">
        <v>235</v>
      </c>
    </row>
    <row r="33" spans="1:7" x14ac:dyDescent="0.25">
      <c r="A33" s="11" t="s">
        <v>31</v>
      </c>
      <c r="B33" s="69">
        <v>5520</v>
      </c>
      <c r="C33" s="70">
        <v>501</v>
      </c>
      <c r="D33" s="69">
        <v>18286</v>
      </c>
      <c r="E33" s="70">
        <v>608</v>
      </c>
      <c r="F33" s="72">
        <v>2692</v>
      </c>
      <c r="G33" s="75">
        <v>264</v>
      </c>
    </row>
    <row r="34" spans="1:7" x14ac:dyDescent="0.25">
      <c r="A34" s="11" t="s">
        <v>32</v>
      </c>
      <c r="B34" s="69">
        <v>13421</v>
      </c>
      <c r="C34" s="70">
        <v>523</v>
      </c>
      <c r="D34" s="69">
        <v>28381</v>
      </c>
      <c r="E34" s="70">
        <v>510</v>
      </c>
      <c r="F34" s="72">
        <v>6092</v>
      </c>
      <c r="G34" s="75">
        <v>233</v>
      </c>
    </row>
    <row r="35" spans="1:7" x14ac:dyDescent="0.25">
      <c r="A35" s="11" t="s">
        <v>33</v>
      </c>
      <c r="B35" s="69">
        <v>5157</v>
      </c>
      <c r="C35" s="70">
        <v>275</v>
      </c>
      <c r="D35" s="69">
        <v>18848</v>
      </c>
      <c r="E35" s="70">
        <v>609</v>
      </c>
      <c r="F35" s="72">
        <v>2993</v>
      </c>
      <c r="G35" s="75">
        <v>215</v>
      </c>
    </row>
    <row r="36" spans="1:7" x14ac:dyDescent="0.25">
      <c r="A36" s="11" t="s">
        <v>34</v>
      </c>
      <c r="B36" s="69">
        <v>2334</v>
      </c>
      <c r="C36" s="70">
        <v>212</v>
      </c>
      <c r="D36" s="69">
        <v>9585</v>
      </c>
      <c r="E36" s="70">
        <v>430</v>
      </c>
      <c r="F36" s="72">
        <v>1349</v>
      </c>
      <c r="G36" s="75">
        <v>156</v>
      </c>
    </row>
    <row r="37" spans="1:7" x14ac:dyDescent="0.25">
      <c r="A37" s="11" t="s">
        <v>35</v>
      </c>
      <c r="B37" s="69">
        <v>70565</v>
      </c>
      <c r="C37" s="70">
        <v>5865</v>
      </c>
      <c r="D37" s="69">
        <v>48543</v>
      </c>
      <c r="E37" s="70">
        <v>3721</v>
      </c>
      <c r="F37" s="72">
        <v>17892</v>
      </c>
      <c r="G37" s="75">
        <v>2715</v>
      </c>
    </row>
    <row r="38" spans="1:7" x14ac:dyDescent="0.25">
      <c r="A38" s="11" t="s">
        <v>36</v>
      </c>
      <c r="B38" s="69">
        <v>102792</v>
      </c>
      <c r="C38" s="70">
        <v>9833</v>
      </c>
      <c r="D38" s="69">
        <v>173509</v>
      </c>
      <c r="E38" s="70">
        <v>10334</v>
      </c>
      <c r="F38" s="72">
        <v>59721</v>
      </c>
      <c r="G38" s="75">
        <v>7289</v>
      </c>
    </row>
    <row r="39" spans="1:7" x14ac:dyDescent="0.25">
      <c r="A39" s="11" t="s">
        <v>37</v>
      </c>
      <c r="B39" s="69">
        <v>18076</v>
      </c>
      <c r="C39" s="70">
        <v>1629</v>
      </c>
      <c r="D39" s="69">
        <v>28581</v>
      </c>
      <c r="E39" s="70">
        <v>1576</v>
      </c>
      <c r="F39" s="72">
        <v>6607</v>
      </c>
      <c r="G39" s="75">
        <v>888</v>
      </c>
    </row>
    <row r="40" spans="1:7" x14ac:dyDescent="0.25">
      <c r="A40" s="11" t="s">
        <v>38</v>
      </c>
      <c r="B40" s="69">
        <v>23564</v>
      </c>
      <c r="C40" s="70">
        <v>1792</v>
      </c>
      <c r="D40" s="69">
        <v>50836</v>
      </c>
      <c r="E40" s="70">
        <v>1790</v>
      </c>
      <c r="F40" s="72">
        <v>14512</v>
      </c>
      <c r="G40" s="75">
        <v>1358</v>
      </c>
    </row>
    <row r="41" spans="1:7" x14ac:dyDescent="0.25">
      <c r="A41" s="11" t="s">
        <v>39</v>
      </c>
      <c r="B41" s="69">
        <v>103193</v>
      </c>
      <c r="C41" s="70">
        <v>8035</v>
      </c>
      <c r="D41" s="69">
        <v>85635</v>
      </c>
      <c r="E41" s="70">
        <v>3968</v>
      </c>
      <c r="F41" s="72">
        <v>47769</v>
      </c>
      <c r="G41" s="75">
        <v>4823</v>
      </c>
    </row>
    <row r="42" spans="1:7" x14ac:dyDescent="0.25">
      <c r="A42" s="11" t="s">
        <v>40</v>
      </c>
      <c r="B42" s="69">
        <v>79335</v>
      </c>
      <c r="C42" s="70">
        <v>5062</v>
      </c>
      <c r="D42" s="69">
        <v>87389</v>
      </c>
      <c r="E42" s="70">
        <v>3784</v>
      </c>
      <c r="F42" s="72">
        <v>28289</v>
      </c>
      <c r="G42" s="75">
        <v>2864</v>
      </c>
    </row>
    <row r="43" spans="1:7" x14ac:dyDescent="0.25">
      <c r="A43" s="11" t="s">
        <v>41</v>
      </c>
      <c r="B43" s="69">
        <v>16622</v>
      </c>
      <c r="C43" s="70">
        <v>1576</v>
      </c>
      <c r="D43" s="69">
        <v>41897</v>
      </c>
      <c r="E43" s="70">
        <v>1959</v>
      </c>
      <c r="F43" s="72">
        <v>9471</v>
      </c>
      <c r="G43" s="75">
        <v>1129</v>
      </c>
    </row>
    <row r="44" spans="1:7" x14ac:dyDescent="0.25">
      <c r="A44" s="11" t="s">
        <v>42</v>
      </c>
      <c r="B44" s="69">
        <v>4984</v>
      </c>
      <c r="C44" s="70">
        <v>300</v>
      </c>
      <c r="D44" s="69">
        <v>15569</v>
      </c>
      <c r="E44" s="70">
        <v>597</v>
      </c>
      <c r="F44" s="72">
        <v>3380</v>
      </c>
      <c r="G44" s="75">
        <v>344</v>
      </c>
    </row>
    <row r="45" spans="1:7" x14ac:dyDescent="0.25">
      <c r="A45" s="11" t="s">
        <v>43</v>
      </c>
      <c r="B45" s="69">
        <v>21024</v>
      </c>
      <c r="C45" s="70">
        <v>2116</v>
      </c>
      <c r="D45" s="69">
        <v>35960</v>
      </c>
      <c r="E45" s="70">
        <v>2342</v>
      </c>
      <c r="F45" s="72">
        <v>9103</v>
      </c>
      <c r="G45" s="75">
        <v>1318</v>
      </c>
    </row>
    <row r="46" spans="1:7" x14ac:dyDescent="0.25">
      <c r="A46" s="11" t="s">
        <v>44</v>
      </c>
      <c r="B46" s="69">
        <v>5042</v>
      </c>
      <c r="C46" s="70">
        <v>316</v>
      </c>
      <c r="D46" s="69">
        <v>17971</v>
      </c>
      <c r="E46" s="70">
        <v>660</v>
      </c>
      <c r="F46" s="72">
        <v>2882</v>
      </c>
      <c r="G46" s="75">
        <v>244</v>
      </c>
    </row>
    <row r="47" spans="1:7" x14ac:dyDescent="0.25">
      <c r="A47" s="11" t="s">
        <v>45</v>
      </c>
      <c r="B47" s="69">
        <v>42282</v>
      </c>
      <c r="C47" s="70">
        <v>6112</v>
      </c>
      <c r="D47" s="69">
        <v>39758</v>
      </c>
      <c r="E47" s="70">
        <v>3498</v>
      </c>
      <c r="F47" s="72">
        <v>22056</v>
      </c>
      <c r="G47" s="75">
        <v>3372</v>
      </c>
    </row>
    <row r="48" spans="1:7" x14ac:dyDescent="0.25">
      <c r="A48" s="11" t="s">
        <v>46</v>
      </c>
      <c r="B48" s="69">
        <v>284911</v>
      </c>
      <c r="C48" s="70">
        <v>19835</v>
      </c>
      <c r="D48" s="69">
        <v>197360</v>
      </c>
      <c r="E48" s="70">
        <v>10476</v>
      </c>
      <c r="F48" s="72">
        <v>99980</v>
      </c>
      <c r="G48" s="75">
        <v>9671</v>
      </c>
    </row>
    <row r="49" spans="1:7" x14ac:dyDescent="0.25">
      <c r="A49" s="11" t="s">
        <v>47</v>
      </c>
      <c r="B49" s="69">
        <v>3471</v>
      </c>
      <c r="C49" s="70">
        <v>290</v>
      </c>
      <c r="D49" s="69">
        <v>6175</v>
      </c>
      <c r="E49" s="70">
        <v>373</v>
      </c>
      <c r="F49" s="72">
        <v>1788</v>
      </c>
      <c r="G49" s="75">
        <v>230</v>
      </c>
    </row>
    <row r="50" spans="1:7" x14ac:dyDescent="0.25">
      <c r="A50" s="11" t="s">
        <v>48</v>
      </c>
      <c r="B50" s="69">
        <v>85225</v>
      </c>
      <c r="C50" s="70">
        <v>10675</v>
      </c>
      <c r="D50" s="69">
        <v>80562</v>
      </c>
      <c r="E50" s="70">
        <v>6366</v>
      </c>
      <c r="F50" s="72">
        <v>42424</v>
      </c>
      <c r="G50" s="75">
        <v>6653</v>
      </c>
    </row>
    <row r="51" spans="1:7" x14ac:dyDescent="0.25">
      <c r="A51" s="11" t="s">
        <v>49</v>
      </c>
      <c r="B51" s="69">
        <v>14162</v>
      </c>
      <c r="C51" s="70">
        <v>1175</v>
      </c>
      <c r="D51" s="69">
        <v>30359</v>
      </c>
      <c r="E51" s="70">
        <v>1598</v>
      </c>
      <c r="F51" s="72">
        <v>7212</v>
      </c>
      <c r="G51" s="75">
        <v>823</v>
      </c>
    </row>
    <row r="52" spans="1:7" x14ac:dyDescent="0.25">
      <c r="A52" s="11" t="s">
        <v>50</v>
      </c>
      <c r="B52" s="69">
        <v>5847</v>
      </c>
      <c r="C52" s="70">
        <v>164</v>
      </c>
      <c r="D52" s="69">
        <v>20543</v>
      </c>
      <c r="E52" s="70">
        <v>457</v>
      </c>
      <c r="F52" s="72">
        <v>4022</v>
      </c>
      <c r="G52" s="75">
        <v>223</v>
      </c>
    </row>
    <row r="53" spans="1:7" x14ac:dyDescent="0.25">
      <c r="A53" s="11" t="s">
        <v>51</v>
      </c>
      <c r="B53" s="69">
        <v>685267</v>
      </c>
      <c r="C53" s="70">
        <v>90530</v>
      </c>
      <c r="D53" s="69">
        <v>117335</v>
      </c>
      <c r="E53" s="70">
        <v>14057</v>
      </c>
      <c r="F53" s="72">
        <v>150478</v>
      </c>
      <c r="G53" s="75">
        <v>24965</v>
      </c>
    </row>
    <row r="54" spans="1:7" x14ac:dyDescent="0.25">
      <c r="A54" s="11" t="s">
        <v>52</v>
      </c>
      <c r="B54" s="69">
        <v>12528</v>
      </c>
      <c r="C54" s="70">
        <v>1035</v>
      </c>
      <c r="D54" s="69">
        <v>21793</v>
      </c>
      <c r="E54" s="70">
        <v>1199</v>
      </c>
      <c r="F54" s="72">
        <v>9639</v>
      </c>
      <c r="G54" s="75">
        <v>936</v>
      </c>
    </row>
    <row r="55" spans="1:7" x14ac:dyDescent="0.25">
      <c r="A55" s="11" t="s">
        <v>53</v>
      </c>
      <c r="B55" s="69">
        <v>1651</v>
      </c>
      <c r="C55" s="70">
        <v>95</v>
      </c>
      <c r="D55" s="69">
        <v>7713</v>
      </c>
      <c r="E55" s="70">
        <v>304</v>
      </c>
      <c r="F55" s="72">
        <v>1160</v>
      </c>
      <c r="G55" s="75">
        <v>108</v>
      </c>
    </row>
    <row r="56" spans="1:7" x14ac:dyDescent="0.25">
      <c r="A56" s="11" t="s">
        <v>54</v>
      </c>
      <c r="B56" s="69">
        <v>23478</v>
      </c>
      <c r="C56" s="70">
        <v>1842</v>
      </c>
      <c r="D56" s="69">
        <v>50846</v>
      </c>
      <c r="E56" s="70">
        <v>2309</v>
      </c>
      <c r="F56" s="72">
        <v>12440</v>
      </c>
      <c r="G56" s="75">
        <v>1332</v>
      </c>
    </row>
    <row r="57" spans="1:7" x14ac:dyDescent="0.25">
      <c r="A57" s="11" t="s">
        <v>55</v>
      </c>
      <c r="B57" s="69">
        <v>4423</v>
      </c>
      <c r="C57" s="70">
        <v>463</v>
      </c>
      <c r="D57" s="69">
        <v>15163</v>
      </c>
      <c r="E57" s="70">
        <v>799</v>
      </c>
      <c r="F57" s="72">
        <v>2621</v>
      </c>
      <c r="G57" s="75">
        <v>396</v>
      </c>
    </row>
    <row r="58" spans="1:7" x14ac:dyDescent="0.25">
      <c r="A58" s="11" t="s">
        <v>56</v>
      </c>
      <c r="B58" s="69">
        <v>10104</v>
      </c>
      <c r="C58" s="70">
        <v>391</v>
      </c>
      <c r="D58" s="69">
        <v>32180</v>
      </c>
      <c r="E58" s="70">
        <v>625</v>
      </c>
      <c r="F58" s="72">
        <v>4866</v>
      </c>
      <c r="G58" s="75">
        <v>256</v>
      </c>
    </row>
    <row r="59" spans="1:7" x14ac:dyDescent="0.25">
      <c r="A59" s="11" t="s">
        <v>57</v>
      </c>
      <c r="B59" s="69">
        <v>1023</v>
      </c>
      <c r="C59" s="70">
        <v>40</v>
      </c>
      <c r="D59" s="69">
        <v>2774</v>
      </c>
      <c r="E59" s="70">
        <v>74</v>
      </c>
      <c r="F59" s="72">
        <v>499</v>
      </c>
      <c r="G59" s="75">
        <v>38</v>
      </c>
    </row>
    <row r="60" spans="1:7" x14ac:dyDescent="0.25">
      <c r="A60" s="11" t="s">
        <v>58</v>
      </c>
      <c r="B60" s="69">
        <v>5681</v>
      </c>
      <c r="C60" s="70">
        <v>585</v>
      </c>
      <c r="D60" s="69">
        <v>16507</v>
      </c>
      <c r="E60" s="70">
        <v>1043</v>
      </c>
      <c r="F60" s="72">
        <v>3644</v>
      </c>
      <c r="G60" s="75">
        <v>438</v>
      </c>
    </row>
    <row r="61" spans="1:7" x14ac:dyDescent="0.25">
      <c r="A61" s="11" t="s">
        <v>59</v>
      </c>
      <c r="B61" s="69">
        <v>4550</v>
      </c>
      <c r="C61" s="70">
        <v>384</v>
      </c>
      <c r="D61" s="69">
        <v>17076</v>
      </c>
      <c r="E61" s="70">
        <v>1040</v>
      </c>
      <c r="F61" s="72">
        <v>3304</v>
      </c>
      <c r="G61" s="75">
        <v>434</v>
      </c>
    </row>
    <row r="62" spans="1:7" x14ac:dyDescent="0.25">
      <c r="A62" s="11" t="s">
        <v>60</v>
      </c>
      <c r="B62" s="69">
        <v>6959</v>
      </c>
      <c r="C62" s="70">
        <v>813</v>
      </c>
      <c r="D62" s="69">
        <v>13604</v>
      </c>
      <c r="E62" s="70">
        <v>799</v>
      </c>
      <c r="F62" s="72">
        <v>3677</v>
      </c>
      <c r="G62" s="75">
        <v>523</v>
      </c>
    </row>
    <row r="63" spans="1:7" x14ac:dyDescent="0.25">
      <c r="A63" s="11" t="s">
        <v>61</v>
      </c>
      <c r="B63" s="69">
        <v>7646</v>
      </c>
      <c r="C63" s="70">
        <v>400</v>
      </c>
      <c r="D63" s="69">
        <v>19462</v>
      </c>
      <c r="E63" s="70">
        <v>676</v>
      </c>
      <c r="F63" s="72">
        <v>4274</v>
      </c>
      <c r="G63" s="75">
        <v>333</v>
      </c>
    </row>
    <row r="64" spans="1:7" x14ac:dyDescent="0.25">
      <c r="A64" s="11" t="s">
        <v>62</v>
      </c>
      <c r="B64" s="69">
        <v>6100</v>
      </c>
      <c r="C64" s="70">
        <v>245</v>
      </c>
      <c r="D64" s="69">
        <v>14746</v>
      </c>
      <c r="E64" s="70">
        <v>505</v>
      </c>
      <c r="F64" s="72">
        <v>3623</v>
      </c>
      <c r="G64" s="75">
        <v>204</v>
      </c>
    </row>
    <row r="65" spans="1:7" x14ac:dyDescent="0.25">
      <c r="A65" s="11" t="s">
        <v>63</v>
      </c>
      <c r="B65" s="69">
        <v>48891</v>
      </c>
      <c r="C65" s="70">
        <v>3931</v>
      </c>
      <c r="D65" s="69">
        <v>69199</v>
      </c>
      <c r="E65" s="70">
        <v>3725</v>
      </c>
      <c r="F65" s="72">
        <v>17544</v>
      </c>
      <c r="G65" s="75">
        <v>2148</v>
      </c>
    </row>
    <row r="66" spans="1:7" x14ac:dyDescent="0.25">
      <c r="A66" s="11" t="s">
        <v>64</v>
      </c>
      <c r="B66" s="69">
        <v>7960</v>
      </c>
      <c r="C66" s="70">
        <v>729</v>
      </c>
      <c r="D66" s="69">
        <v>20500</v>
      </c>
      <c r="E66" s="70">
        <v>1220</v>
      </c>
      <c r="F66" s="72">
        <v>5507</v>
      </c>
      <c r="G66" s="75">
        <v>669</v>
      </c>
    </row>
    <row r="67" spans="1:7" x14ac:dyDescent="0.25">
      <c r="A67" s="11" t="s">
        <v>65</v>
      </c>
      <c r="B67" s="69">
        <v>83143</v>
      </c>
      <c r="C67" s="70">
        <v>3891</v>
      </c>
      <c r="D67" s="69">
        <v>126844</v>
      </c>
      <c r="E67" s="70">
        <v>4204</v>
      </c>
      <c r="F67" s="72">
        <v>30788</v>
      </c>
      <c r="G67" s="75">
        <v>2184</v>
      </c>
    </row>
    <row r="68" spans="1:7" x14ac:dyDescent="0.25">
      <c r="A68" s="11" t="s">
        <v>66</v>
      </c>
      <c r="B68" s="69">
        <v>4333</v>
      </c>
      <c r="C68" s="70">
        <v>345</v>
      </c>
      <c r="D68" s="69">
        <v>10751</v>
      </c>
      <c r="E68" s="70">
        <v>600</v>
      </c>
      <c r="F68" s="72">
        <v>2176</v>
      </c>
      <c r="G68" s="75">
        <v>282</v>
      </c>
    </row>
    <row r="69" spans="1:7" x14ac:dyDescent="0.25">
      <c r="A69" s="19" t="s">
        <v>67</v>
      </c>
      <c r="B69" s="68">
        <v>89754</v>
      </c>
      <c r="C69" s="71">
        <v>6546</v>
      </c>
      <c r="D69" s="68">
        <v>161112</v>
      </c>
      <c r="E69" s="71">
        <v>7232</v>
      </c>
      <c r="F69" s="73">
        <v>57008</v>
      </c>
      <c r="G69" s="76">
        <v>5078</v>
      </c>
    </row>
    <row r="70" spans="1:7" x14ac:dyDescent="0.25">
      <c r="A70" s="32" t="s">
        <v>68</v>
      </c>
      <c r="B70" s="14">
        <f>SUM(B3:B69)</f>
        <v>3524483</v>
      </c>
      <c r="C70" s="14">
        <f t="shared" ref="C70:G70" si="0">SUM(C3:C69)</f>
        <v>314801</v>
      </c>
      <c r="D70" s="14">
        <f t="shared" si="0"/>
        <v>3463950</v>
      </c>
      <c r="E70" s="14">
        <f t="shared" si="0"/>
        <v>175983</v>
      </c>
      <c r="F70" s="14">
        <f t="shared" si="0"/>
        <v>1337071</v>
      </c>
      <c r="G70" s="14">
        <f t="shared" si="0"/>
        <v>150134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8966422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2026-06-29T12:27:37Z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