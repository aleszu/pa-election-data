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5" documentId="8_{02A69E3B-4814-43DA-B7D3-A54BD03F2BAB}" xr6:coauthVersionLast="47" xr6:coauthVersionMax="47" xr10:uidLastSave="{E0856003-8D66-4990-AF19-E0A5A90721F0}"/>
  <bookViews>
    <workbookView xWindow="2868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<sst xmlns="http://schemas.openxmlformats.org/spreadsheetml/2006/main" count="1144" uniqueCount="131">
  <si>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</si>
  <si>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</si>
  <si>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</si>
  <si>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</si>
  <si>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</si>
  <si>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</si>
  <si>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</si>
  <si>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</si>
  <si>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</si>
  <si>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</si>
  <si>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</si>
  <si>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</si>
  <si>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</si>
  <si>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</si>
  <si>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</si>
  <si>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</si>
  <si>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</si>
  <si>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</si>
  <si>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</si>
  <si>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</si>
  <si>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</si>
  <si>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</si>
  <si>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</si>
  <si>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</si>
  <si>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</si>
  <si>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</si>
  <si>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</si>
  <si>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</si>
  <si>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</si>
  <si>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</si>
  <si>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</si>
  <si>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</si>
  <si>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</si>
  <si>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</si>
  <si>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</si>
  <si>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</si>
  <si>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</si>
  <si>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</si>
  <si>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</si>
  <si>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</si>
  <si>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</si>
  <si>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</si>
  <si>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</si>
  <si>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</si>
  <si>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</si>
  <si>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</si>
  <si>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</si>
  <si>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</si>
  <si>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</si>
  <si>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</si>
  <si>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</si>
  <si>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</si>
  <si>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</si>
  <si>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</si>
  <si>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</si>
  <si>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</si>
  <si>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</si>
  <si>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</si>
  <si>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</si>
  <si>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</si>
  <si>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</si>
  <si>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</si>
  <si>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</si>
  <si>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</si>
  <si>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</si>
  <si>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</si>
  <si>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</si>
  <si>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</si>
  <si>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</si>
  <si>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</si>
  <si>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</si>
  <si>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</si>
  <si>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</si>
  <si>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</si>
  <si>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</si>
  <si>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</si>
  <si>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</si>
  <si>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</si>
  <si>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</si>
  <si>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</si>
  <si>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</si>
  <si>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</si>
  <si>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</si>
  <si>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</si>
  <si>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</si>
  <si>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</si>
  <si>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</si>
  <si>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</si>
  <si>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</si>
  <si>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</si>
  <si>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</si>
  <si>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</si>
  <si>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</si>
  <si>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</si>
  <si>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</si>
  <si>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</si>
  <si>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</si>
  <si>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</si>
  <si>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</si>
  <si>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</si>
  <si>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</si>
  <si>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</si>
  <si>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</si>
  <si>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</si>
  <si>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</si>
  <si>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</si>
  <si>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</si>
  <si>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</si>
  <si>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</si>
  <si>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</si>
  <si>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</si>
  <si>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</si>
  <si>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</si>
  <si>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</si>
  <si>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</si>
  <si>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</si>
  <si>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</si>
  <si>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</si>
  <si>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</si>
  <si>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</si>
  <si>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</si>
  <si>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</si>
  <si>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</si>
  <si>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</si>
  <si>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</si>
  <si>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</si>
  <si>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</si>
  <si>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</si>
  <si>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</si>
  <si>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08/24/2026</t>
  </si>
  <si>
    <t>Week Of 08-17-2026 to 08-24-2026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</si>
</sst>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N13" sqref="N13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19166</v>
      </c>
      <c r="D3"/>
      <c r="E3">
        <v>43973</v>
      </c>
      <c r="F3"/>
      <c r="G3">
        <v>10699</v>
      </c>
      <c r="H3"/>
      <c r="I3">
        <v>2768</v>
      </c>
      <c r="K3" s="10">
        <f t="shared" ref="K3:K34" si="0">SUM(C3+E3+G3+I3)</f>
        <v>76606</v>
      </c>
    </row>
    <row r="4" spans="1:12" x14ac:dyDescent="0.2">
      <c r="A4" t="s">
        <v>2</v>
      </c>
      <c r="B4" s="1">
        <v>2291</v>
      </c>
      <c r="C4">
        <v>503200</v>
      </c>
      <c r="D4"/>
      <c r="E4">
        <v>262899</v>
      </c>
      <c r="F4"/>
      <c r="G4">
        <v>114272</v>
      </c>
      <c r="H4"/>
      <c r="I4">
        <v>36647</v>
      </c>
      <c r="K4" s="10">
        <f t="shared" si="0"/>
        <v>917018</v>
      </c>
    </row>
    <row r="5" spans="1:12" x14ac:dyDescent="0.2">
      <c r="A5" t="s">
        <v>3</v>
      </c>
      <c r="B5" s="1">
        <v>2292</v>
      </c>
      <c r="C5">
        <v>10647</v>
      </c>
      <c r="D5"/>
      <c r="E5">
        <v>27652</v>
      </c>
      <c r="F5"/>
      <c r="G5">
        <v>3716</v>
      </c>
      <c r="H5"/>
      <c r="I5">
        <v>1586</v>
      </c>
      <c r="K5" s="10">
        <f t="shared" si="0"/>
        <v>43601</v>
      </c>
    </row>
    <row r="6" spans="1:12" x14ac:dyDescent="0.2">
      <c r="A6" t="s">
        <v>4</v>
      </c>
      <c r="B6" s="1">
        <v>2293</v>
      </c>
      <c r="C6">
        <v>45708</v>
      </c>
      <c r="D6"/>
      <c r="E6">
        <v>51871</v>
      </c>
      <c r="F6"/>
      <c r="G6">
        <v>11809</v>
      </c>
      <c r="H6"/>
      <c r="I6">
        <v>4705</v>
      </c>
      <c r="K6" s="10">
        <f t="shared" si="0"/>
        <v>114093</v>
      </c>
    </row>
    <row r="7" spans="1:12" x14ac:dyDescent="0.2">
      <c r="A7" t="s">
        <v>5</v>
      </c>
      <c r="B7" s="1">
        <v>2294</v>
      </c>
      <c r="C7">
        <v>5266</v>
      </c>
      <c r="D7"/>
      <c r="E7">
        <v>24568</v>
      </c>
      <c r="F7"/>
      <c r="G7">
        <v>2312</v>
      </c>
      <c r="H7"/>
      <c r="I7">
        <v>891</v>
      </c>
      <c r="K7" s="10">
        <f t="shared" si="0"/>
        <v>33037</v>
      </c>
    </row>
    <row r="8" spans="1:12" x14ac:dyDescent="0.2">
      <c r="A8" t="s">
        <v>6</v>
      </c>
      <c r="B8" s="1">
        <v>2295</v>
      </c>
      <c r="C8">
        <v>104271</v>
      </c>
      <c r="D8"/>
      <c r="E8">
        <v>117963</v>
      </c>
      <c r="F8"/>
      <c r="G8">
        <v>41634</v>
      </c>
      <c r="H8"/>
      <c r="I8">
        <v>10373</v>
      </c>
      <c r="K8" s="10">
        <f t="shared" si="0"/>
        <v>274241</v>
      </c>
    </row>
    <row r="9" spans="1:12" x14ac:dyDescent="0.2">
      <c r="A9" t="s">
        <v>7</v>
      </c>
      <c r="B9" s="1">
        <v>2296</v>
      </c>
      <c r="C9">
        <v>19789</v>
      </c>
      <c r="D9"/>
      <c r="E9">
        <v>50571</v>
      </c>
      <c r="F9"/>
      <c r="G9">
        <v>8479</v>
      </c>
      <c r="H9"/>
      <c r="I9">
        <v>2701</v>
      </c>
      <c r="K9" s="10">
        <f t="shared" si="0"/>
        <v>81540</v>
      </c>
    </row>
    <row r="10" spans="1:12" x14ac:dyDescent="0.2">
      <c r="A10" t="s">
        <v>8</v>
      </c>
      <c r="B10" s="1">
        <v>2297</v>
      </c>
      <c r="C10">
        <v>7811</v>
      </c>
      <c r="D10"/>
      <c r="E10">
        <v>25631</v>
      </c>
      <c r="F10"/>
      <c r="G10">
        <v>3899</v>
      </c>
      <c r="H10"/>
      <c r="I10">
        <v>1533</v>
      </c>
      <c r="K10" s="10">
        <f t="shared" si="0"/>
        <v>38874</v>
      </c>
    </row>
    <row r="11" spans="1:12" x14ac:dyDescent="0.2">
      <c r="A11" t="s">
        <v>9</v>
      </c>
      <c r="B11" s="1">
        <v>2298</v>
      </c>
      <c r="C11">
        <v>193887</v>
      </c>
      <c r="D11"/>
      <c r="E11">
        <v>201726</v>
      </c>
      <c r="F11"/>
      <c r="G11">
        <v>70506</v>
      </c>
      <c r="H11"/>
      <c r="I11">
        <v>18277</v>
      </c>
      <c r="K11" s="10">
        <f t="shared" si="0"/>
        <v>484396</v>
      </c>
    </row>
    <row r="12" spans="1:12" x14ac:dyDescent="0.2">
      <c r="A12" t="s">
        <v>10</v>
      </c>
      <c r="B12" s="1">
        <v>2299</v>
      </c>
      <c r="C12">
        <v>39159</v>
      </c>
      <c r="D12"/>
      <c r="E12">
        <v>82840</v>
      </c>
      <c r="F12"/>
      <c r="G12">
        <v>16292</v>
      </c>
      <c r="H12"/>
      <c r="I12">
        <v>5153</v>
      </c>
      <c r="K12" s="10">
        <f t="shared" si="0"/>
        <v>143444</v>
      </c>
    </row>
    <row r="13" spans="1:12" x14ac:dyDescent="0.2">
      <c r="A13" t="s">
        <v>11</v>
      </c>
      <c r="B13" s="1">
        <v>2300</v>
      </c>
      <c r="C13">
        <v>29337</v>
      </c>
      <c r="D13"/>
      <c r="E13">
        <v>46472</v>
      </c>
      <c r="F13"/>
      <c r="G13">
        <v>7853</v>
      </c>
      <c r="H13"/>
      <c r="I13">
        <v>2130</v>
      </c>
      <c r="K13" s="10">
        <f t="shared" si="0"/>
        <v>85792</v>
      </c>
    </row>
    <row r="14" spans="1:12" x14ac:dyDescent="0.2">
      <c r="A14" t="s">
        <v>12</v>
      </c>
      <c r="B14" s="1">
        <v>2301</v>
      </c>
      <c r="C14">
        <v>665</v>
      </c>
      <c r="D14"/>
      <c r="E14">
        <v>1843</v>
      </c>
      <c r="F14"/>
      <c r="G14">
        <v>255</v>
      </c>
      <c r="H14"/>
      <c r="I14">
        <v>123</v>
      </c>
      <c r="K14" s="10">
        <f t="shared" si="0"/>
        <v>2886</v>
      </c>
    </row>
    <row r="15" spans="1:12" x14ac:dyDescent="0.2">
      <c r="A15" t="s">
        <v>13</v>
      </c>
      <c r="B15" s="1">
        <v>2302</v>
      </c>
      <c r="C15">
        <v>14076</v>
      </c>
      <c r="D15"/>
      <c r="E15">
        <v>23902</v>
      </c>
      <c r="F15"/>
      <c r="G15">
        <v>5862</v>
      </c>
      <c r="H15"/>
      <c r="I15">
        <v>1898</v>
      </c>
      <c r="K15" s="10">
        <f t="shared" si="0"/>
        <v>45738</v>
      </c>
    </row>
    <row r="16" spans="1:12" x14ac:dyDescent="0.2">
      <c r="A16" t="s">
        <v>14</v>
      </c>
      <c r="B16" s="1">
        <v>2303</v>
      </c>
      <c r="C16">
        <v>41400</v>
      </c>
      <c r="D16"/>
      <c r="E16">
        <v>41792</v>
      </c>
      <c r="F16"/>
      <c r="G16">
        <v>16130</v>
      </c>
      <c r="H16"/>
      <c r="I16">
        <v>2690</v>
      </c>
      <c r="K16" s="10">
        <f t="shared" si="0"/>
        <v>102012</v>
      </c>
    </row>
    <row r="17" spans="1:11" x14ac:dyDescent="0.2">
      <c r="A17" t="s">
        <v>15</v>
      </c>
      <c r="B17" s="1">
        <v>2304</v>
      </c>
      <c r="C17">
        <v>160912</v>
      </c>
      <c r="D17"/>
      <c r="E17">
        <v>151775</v>
      </c>
      <c r="F17"/>
      <c r="G17">
        <v>58752</v>
      </c>
      <c r="H17"/>
      <c r="I17">
        <v>17861</v>
      </c>
      <c r="K17" s="10">
        <f t="shared" si="0"/>
        <v>389300</v>
      </c>
    </row>
    <row r="18" spans="1:11" x14ac:dyDescent="0.2">
      <c r="A18" t="s">
        <v>16</v>
      </c>
      <c r="B18" s="1">
        <v>2305</v>
      </c>
      <c r="C18">
        <v>5051</v>
      </c>
      <c r="D18"/>
      <c r="E18">
        <v>15551</v>
      </c>
      <c r="F18"/>
      <c r="G18">
        <v>2083</v>
      </c>
      <c r="H18"/>
      <c r="I18">
        <v>645</v>
      </c>
      <c r="K18" s="10">
        <f t="shared" si="0"/>
        <v>23330</v>
      </c>
    </row>
    <row r="19" spans="1:11" x14ac:dyDescent="0.2">
      <c r="A19" t="s">
        <v>17</v>
      </c>
      <c r="B19" s="1">
        <v>2306</v>
      </c>
      <c r="C19">
        <v>12022</v>
      </c>
      <c r="D19"/>
      <c r="E19">
        <v>31428</v>
      </c>
      <c r="F19"/>
      <c r="G19">
        <v>4312</v>
      </c>
      <c r="H19"/>
      <c r="I19">
        <v>1784</v>
      </c>
      <c r="K19" s="10">
        <f t="shared" si="0"/>
        <v>49546</v>
      </c>
    </row>
    <row r="20" spans="1:11" x14ac:dyDescent="0.2">
      <c r="A20" t="s">
        <v>18</v>
      </c>
      <c r="B20" s="1">
        <v>2307</v>
      </c>
      <c r="C20">
        <v>6066</v>
      </c>
      <c r="D20"/>
      <c r="E20">
        <v>13268</v>
      </c>
      <c r="F20"/>
      <c r="G20">
        <v>2426</v>
      </c>
      <c r="H20"/>
      <c r="I20">
        <v>738</v>
      </c>
      <c r="K20" s="10">
        <f t="shared" si="0"/>
        <v>22498</v>
      </c>
    </row>
    <row r="21" spans="1:11" x14ac:dyDescent="0.2">
      <c r="A21" t="s">
        <v>19</v>
      </c>
      <c r="B21" s="1">
        <v>2308</v>
      </c>
      <c r="C21">
        <v>11751</v>
      </c>
      <c r="D21"/>
      <c r="E21">
        <v>22439</v>
      </c>
      <c r="F21"/>
      <c r="G21">
        <v>4874</v>
      </c>
      <c r="H21"/>
      <c r="I21">
        <v>1487</v>
      </c>
      <c r="K21" s="10">
        <f t="shared" si="0"/>
        <v>40551</v>
      </c>
    </row>
    <row r="22" spans="1:11" x14ac:dyDescent="0.2">
      <c r="A22" t="s">
        <v>20</v>
      </c>
      <c r="B22" s="1">
        <v>2309</v>
      </c>
      <c r="C22">
        <v>14402</v>
      </c>
      <c r="D22"/>
      <c r="E22">
        <v>31752</v>
      </c>
      <c r="F22"/>
      <c r="G22">
        <v>4953</v>
      </c>
      <c r="H22"/>
      <c r="I22">
        <v>1834</v>
      </c>
      <c r="K22" s="10">
        <f t="shared" si="0"/>
        <v>52941</v>
      </c>
    </row>
    <row r="23" spans="1:11" x14ac:dyDescent="0.2">
      <c r="A23" t="s">
        <v>21</v>
      </c>
      <c r="B23" s="1">
        <v>2310</v>
      </c>
      <c r="C23">
        <v>61690</v>
      </c>
      <c r="D23"/>
      <c r="E23">
        <v>88210</v>
      </c>
      <c r="F23"/>
      <c r="G23">
        <v>27254</v>
      </c>
      <c r="H23"/>
      <c r="I23">
        <v>6484</v>
      </c>
      <c r="K23" s="10">
        <f t="shared" si="0"/>
        <v>183638</v>
      </c>
    </row>
    <row r="24" spans="1:11" x14ac:dyDescent="0.2">
      <c r="A24" t="s">
        <v>22</v>
      </c>
      <c r="B24" s="1">
        <v>2311</v>
      </c>
      <c r="C24">
        <v>86632</v>
      </c>
      <c r="D24"/>
      <c r="E24">
        <v>75935</v>
      </c>
      <c r="F24"/>
      <c r="G24">
        <v>31328</v>
      </c>
      <c r="H24"/>
      <c r="I24">
        <v>7227</v>
      </c>
      <c r="K24" s="10">
        <f t="shared" si="0"/>
        <v>201122</v>
      </c>
    </row>
    <row r="25" spans="1:11" x14ac:dyDescent="0.2">
      <c r="A25" t="s">
        <v>23</v>
      </c>
      <c r="B25" s="1">
        <v>2312</v>
      </c>
      <c r="C25">
        <v>202785</v>
      </c>
      <c r="D25"/>
      <c r="E25">
        <v>142701</v>
      </c>
      <c r="F25"/>
      <c r="G25">
        <v>49396</v>
      </c>
      <c r="H25"/>
      <c r="I25">
        <v>15685</v>
      </c>
      <c r="K25" s="10">
        <f t="shared" si="0"/>
        <v>410567</v>
      </c>
    </row>
    <row r="26" spans="1:11" x14ac:dyDescent="0.2">
      <c r="A26" t="s">
        <v>24</v>
      </c>
      <c r="B26" s="1">
        <v>2313</v>
      </c>
      <c r="C26">
        <v>5769</v>
      </c>
      <c r="D26"/>
      <c r="E26">
        <v>12118</v>
      </c>
      <c r="F26"/>
      <c r="G26">
        <v>1779</v>
      </c>
      <c r="H26"/>
      <c r="I26">
        <v>779</v>
      </c>
      <c r="K26" s="10">
        <f t="shared" si="0"/>
        <v>20445</v>
      </c>
    </row>
    <row r="27" spans="1:11" x14ac:dyDescent="0.2">
      <c r="A27" t="s">
        <v>25</v>
      </c>
      <c r="B27" s="1">
        <v>2314</v>
      </c>
      <c r="C27">
        <v>76446</v>
      </c>
      <c r="D27"/>
      <c r="E27">
        <v>70821</v>
      </c>
      <c r="F27"/>
      <c r="G27">
        <v>20856</v>
      </c>
      <c r="H27"/>
      <c r="I27">
        <v>6662</v>
      </c>
      <c r="K27" s="10">
        <f t="shared" si="0"/>
        <v>174785</v>
      </c>
    </row>
    <row r="28" spans="1:11" x14ac:dyDescent="0.2">
      <c r="A28" t="s">
        <v>26</v>
      </c>
      <c r="B28" s="1">
        <v>2315</v>
      </c>
      <c r="C28">
        <v>29443</v>
      </c>
      <c r="D28"/>
      <c r="E28">
        <v>41303</v>
      </c>
      <c r="F28"/>
      <c r="G28">
        <v>6702</v>
      </c>
      <c r="H28"/>
      <c r="I28">
        <v>2062</v>
      </c>
      <c r="K28" s="10">
        <f t="shared" si="0"/>
        <v>79510</v>
      </c>
    </row>
    <row r="29" spans="1:11" x14ac:dyDescent="0.2">
      <c r="A29" t="s">
        <v>27</v>
      </c>
      <c r="B29" s="1">
        <v>2316</v>
      </c>
      <c r="C29">
        <v>786</v>
      </c>
      <c r="D29"/>
      <c r="E29">
        <v>2053</v>
      </c>
      <c r="F29"/>
      <c r="G29">
        <v>276</v>
      </c>
      <c r="H29"/>
      <c r="I29">
        <v>125</v>
      </c>
      <c r="K29" s="10">
        <f t="shared" si="0"/>
        <v>3240</v>
      </c>
    </row>
    <row r="30" spans="1:11" x14ac:dyDescent="0.2">
      <c r="A30" t="s">
        <v>28</v>
      </c>
      <c r="B30" s="1">
        <v>2317</v>
      </c>
      <c r="C30">
        <v>23497</v>
      </c>
      <c r="D30"/>
      <c r="E30">
        <v>64326</v>
      </c>
      <c r="F30"/>
      <c r="G30">
        <v>14139</v>
      </c>
      <c r="H30"/>
      <c r="I30">
        <v>3425</v>
      </c>
      <c r="K30" s="10">
        <f t="shared" si="0"/>
        <v>105387</v>
      </c>
    </row>
    <row r="31" spans="1:11" x14ac:dyDescent="0.2">
      <c r="A31" t="s">
        <v>29</v>
      </c>
      <c r="B31" s="1">
        <v>2318</v>
      </c>
      <c r="C31">
        <v>1470</v>
      </c>
      <c r="D31"/>
      <c r="E31">
        <v>7459</v>
      </c>
      <c r="F31"/>
      <c r="G31">
        <v>908</v>
      </c>
      <c r="H31"/>
      <c r="I31">
        <v>263</v>
      </c>
      <c r="K31" s="10">
        <f t="shared" si="0"/>
        <v>10100</v>
      </c>
    </row>
    <row r="32" spans="1:11" x14ac:dyDescent="0.2">
      <c r="A32" t="s">
        <v>30</v>
      </c>
      <c r="B32" s="1">
        <v>2319</v>
      </c>
      <c r="C32">
        <v>7363</v>
      </c>
      <c r="D32"/>
      <c r="E32">
        <v>12171</v>
      </c>
      <c r="F32"/>
      <c r="G32">
        <v>1654</v>
      </c>
      <c r="H32"/>
      <c r="I32">
        <v>601</v>
      </c>
      <c r="K32" s="10">
        <f t="shared" si="0"/>
        <v>21789</v>
      </c>
    </row>
    <row r="33" spans="1:11" x14ac:dyDescent="0.2">
      <c r="A33" t="s">
        <v>31</v>
      </c>
      <c r="B33" s="1">
        <v>2320</v>
      </c>
      <c r="C33">
        <v>6000</v>
      </c>
      <c r="D33"/>
      <c r="E33">
        <v>18890</v>
      </c>
      <c r="F33"/>
      <c r="G33">
        <v>2374</v>
      </c>
      <c r="H33"/>
      <c r="I33">
        <v>599</v>
      </c>
      <c r="K33" s="10">
        <f t="shared" si="0"/>
        <v>27863</v>
      </c>
    </row>
    <row r="34" spans="1:11" x14ac:dyDescent="0.2">
      <c r="A34" t="s">
        <v>32</v>
      </c>
      <c r="B34" s="1">
        <v>2321</v>
      </c>
      <c r="C34">
        <v>13871</v>
      </c>
      <c r="D34"/>
      <c r="E34">
        <v>28852</v>
      </c>
      <c r="F34"/>
      <c r="G34">
        <v>4681</v>
      </c>
      <c r="H34"/>
      <c r="I34">
        <v>1689</v>
      </c>
      <c r="K34" s="10">
        <f t="shared" si="0"/>
        <v>49093</v>
      </c>
    </row>
    <row r="35" spans="1:11" x14ac:dyDescent="0.2">
      <c r="A35" t="s">
        <v>33</v>
      </c>
      <c r="B35" s="1">
        <v>2322</v>
      </c>
      <c r="C35">
        <v>5434</v>
      </c>
      <c r="D35"/>
      <c r="E35">
        <v>19427</v>
      </c>
      <c r="F35"/>
      <c r="G35">
        <v>2290</v>
      </c>
      <c r="H35"/>
      <c r="I35">
        <v>934</v>
      </c>
      <c r="K35" s="10">
        <f t="shared" ref="K35:K69" si="1">SUM(C35+E35+G35+I35)</f>
        <v>28085</v>
      </c>
    </row>
    <row r="36" spans="1:11" x14ac:dyDescent="0.2">
      <c r="A36" t="s">
        <v>34</v>
      </c>
      <c r="B36" s="1">
        <v>2323</v>
      </c>
      <c r="C36">
        <v>2539</v>
      </c>
      <c r="D36"/>
      <c r="E36">
        <v>10021</v>
      </c>
      <c r="F36"/>
      <c r="G36">
        <v>1180</v>
      </c>
      <c r="H36"/>
      <c r="I36">
        <v>335</v>
      </c>
      <c r="K36" s="10">
        <f t="shared" si="1"/>
        <v>14075</v>
      </c>
    </row>
    <row r="37" spans="1:11" x14ac:dyDescent="0.2">
      <c r="A37" t="s">
        <v>35</v>
      </c>
      <c r="B37" s="1">
        <v>2324</v>
      </c>
      <c r="C37">
        <v>76727</v>
      </c>
      <c r="D37"/>
      <c r="E37">
        <v>52270</v>
      </c>
      <c r="F37"/>
      <c r="G37">
        <v>17338</v>
      </c>
      <c r="H37"/>
      <c r="I37">
        <v>3503</v>
      </c>
      <c r="K37" s="10">
        <f t="shared" si="1"/>
        <v>149838</v>
      </c>
    </row>
    <row r="38" spans="1:11" x14ac:dyDescent="0.2">
      <c r="A38" t="s">
        <v>36</v>
      </c>
      <c r="B38" s="1">
        <v>2325</v>
      </c>
      <c r="C38">
        <v>112897</v>
      </c>
      <c r="D38"/>
      <c r="E38">
        <v>183610</v>
      </c>
      <c r="F38"/>
      <c r="G38">
        <v>51637</v>
      </c>
      <c r="H38"/>
      <c r="I38">
        <v>16044</v>
      </c>
      <c r="K38" s="10">
        <f t="shared" si="1"/>
        <v>364188</v>
      </c>
    </row>
    <row r="39" spans="1:11" x14ac:dyDescent="0.2">
      <c r="A39" t="s">
        <v>37</v>
      </c>
      <c r="B39" s="1">
        <v>2326</v>
      </c>
      <c r="C39">
        <v>19673</v>
      </c>
      <c r="D39"/>
      <c r="E39">
        <v>30098</v>
      </c>
      <c r="F39"/>
      <c r="G39">
        <v>5642</v>
      </c>
      <c r="H39"/>
      <c r="I39">
        <v>1893</v>
      </c>
      <c r="K39" s="10">
        <f t="shared" si="1"/>
        <v>57306</v>
      </c>
    </row>
    <row r="40" spans="1:11" x14ac:dyDescent="0.2">
      <c r="A40" t="s">
        <v>38</v>
      </c>
      <c r="B40" s="1">
        <v>2327</v>
      </c>
      <c r="C40">
        <v>25448</v>
      </c>
      <c r="D40"/>
      <c r="E40">
        <v>52611</v>
      </c>
      <c r="F40"/>
      <c r="G40">
        <v>12328</v>
      </c>
      <c r="H40"/>
      <c r="I40">
        <v>3677</v>
      </c>
      <c r="K40" s="10">
        <f t="shared" si="1"/>
        <v>94064</v>
      </c>
    </row>
    <row r="41" spans="1:11" x14ac:dyDescent="0.2">
      <c r="A41" t="s">
        <v>39</v>
      </c>
      <c r="B41" s="1">
        <v>2328</v>
      </c>
      <c r="C41">
        <v>111703</v>
      </c>
      <c r="D41"/>
      <c r="E41">
        <v>89427</v>
      </c>
      <c r="F41"/>
      <c r="G41">
        <v>45724</v>
      </c>
      <c r="H41"/>
      <c r="I41">
        <v>7347</v>
      </c>
      <c r="K41" s="10">
        <f t="shared" si="1"/>
        <v>254201</v>
      </c>
    </row>
    <row r="42" spans="1:11" x14ac:dyDescent="0.2">
      <c r="A42" t="s">
        <v>40</v>
      </c>
      <c r="B42" s="1">
        <v>2329</v>
      </c>
      <c r="C42">
        <v>85201</v>
      </c>
      <c r="D42"/>
      <c r="E42">
        <v>90834</v>
      </c>
      <c r="F42"/>
      <c r="G42">
        <v>25830</v>
      </c>
      <c r="H42"/>
      <c r="I42">
        <v>5697</v>
      </c>
      <c r="K42" s="10">
        <f t="shared" si="1"/>
        <v>207562</v>
      </c>
    </row>
    <row r="43" spans="1:11" x14ac:dyDescent="0.2">
      <c r="A43" t="s">
        <v>41</v>
      </c>
      <c r="B43" s="1">
        <v>2330</v>
      </c>
      <c r="C43">
        <v>18199</v>
      </c>
      <c r="D43"/>
      <c r="E43">
        <v>43728</v>
      </c>
      <c r="F43"/>
      <c r="G43">
        <v>7994</v>
      </c>
      <c r="H43"/>
      <c r="I43">
        <v>2712</v>
      </c>
      <c r="K43" s="10">
        <f t="shared" si="1"/>
        <v>72633</v>
      </c>
    </row>
    <row r="44" spans="1:11" x14ac:dyDescent="0.2">
      <c r="A44" t="s">
        <v>91</v>
      </c>
      <c r="B44" s="1">
        <v>2331</v>
      </c>
      <c r="C44">
        <v>5287</v>
      </c>
      <c r="D44"/>
      <c r="E44">
        <v>16169</v>
      </c>
      <c r="F44"/>
      <c r="G44">
        <v>2703</v>
      </c>
      <c r="H44"/>
      <c r="I44">
        <v>1027</v>
      </c>
      <c r="K44" s="10">
        <f t="shared" si="1"/>
        <v>25186</v>
      </c>
    </row>
    <row r="45" spans="1:11" x14ac:dyDescent="0.2">
      <c r="A45" t="s">
        <v>43</v>
      </c>
      <c r="B45" s="1">
        <v>2332</v>
      </c>
      <c r="C45">
        <v>23113</v>
      </c>
      <c r="D45"/>
      <c r="E45">
        <v>38302</v>
      </c>
      <c r="F45"/>
      <c r="G45">
        <v>8428</v>
      </c>
      <c r="H45"/>
      <c r="I45">
        <v>2032</v>
      </c>
      <c r="K45" s="10">
        <f t="shared" si="1"/>
        <v>71875</v>
      </c>
    </row>
    <row r="46" spans="1:11" x14ac:dyDescent="0.2">
      <c r="A46" t="s">
        <v>44</v>
      </c>
      <c r="B46" s="1">
        <v>2333</v>
      </c>
      <c r="C46">
        <v>5372</v>
      </c>
      <c r="D46"/>
      <c r="E46">
        <v>18635</v>
      </c>
      <c r="F46"/>
      <c r="G46">
        <v>2508</v>
      </c>
      <c r="H46"/>
      <c r="I46">
        <v>623</v>
      </c>
      <c r="K46" s="10">
        <f t="shared" si="1"/>
        <v>27138</v>
      </c>
    </row>
    <row r="47" spans="1:11" x14ac:dyDescent="0.2">
      <c r="A47" t="s">
        <v>45</v>
      </c>
      <c r="B47" s="1">
        <v>2334</v>
      </c>
      <c r="C47">
        <v>48562</v>
      </c>
      <c r="D47"/>
      <c r="E47">
        <v>43297</v>
      </c>
      <c r="F47"/>
      <c r="G47">
        <v>20691</v>
      </c>
      <c r="H47"/>
      <c r="I47">
        <v>4982</v>
      </c>
      <c r="K47" s="10">
        <f t="shared" si="1"/>
        <v>117532</v>
      </c>
    </row>
    <row r="48" spans="1:11" x14ac:dyDescent="0.2">
      <c r="A48" t="s">
        <v>46</v>
      </c>
      <c r="B48" s="1">
        <v>2335</v>
      </c>
      <c r="C48">
        <v>305475</v>
      </c>
      <c r="D48"/>
      <c r="E48">
        <v>207632</v>
      </c>
      <c r="F48"/>
      <c r="G48">
        <v>84724</v>
      </c>
      <c r="H48"/>
      <c r="I48">
        <v>25929</v>
      </c>
      <c r="K48" s="10">
        <f t="shared" si="1"/>
        <v>623760</v>
      </c>
    </row>
    <row r="49" spans="1:11" x14ac:dyDescent="0.2">
      <c r="A49" t="s">
        <v>47</v>
      </c>
      <c r="B49" s="1">
        <v>2336</v>
      </c>
      <c r="C49">
        <v>3768</v>
      </c>
      <c r="D49"/>
      <c r="E49">
        <v>6548</v>
      </c>
      <c r="F49"/>
      <c r="G49">
        <v>1614</v>
      </c>
      <c r="H49"/>
      <c r="I49">
        <v>412</v>
      </c>
      <c r="K49" s="10">
        <f t="shared" si="1"/>
        <v>12342</v>
      </c>
    </row>
    <row r="50" spans="1:11" x14ac:dyDescent="0.2">
      <c r="A50" t="s">
        <v>48</v>
      </c>
      <c r="B50" s="1">
        <v>2337</v>
      </c>
      <c r="C50">
        <v>96066</v>
      </c>
      <c r="D50"/>
      <c r="E50">
        <v>86787</v>
      </c>
      <c r="F50"/>
      <c r="G50">
        <v>39829</v>
      </c>
      <c r="H50"/>
      <c r="I50">
        <v>9565</v>
      </c>
      <c r="K50" s="10">
        <f t="shared" si="1"/>
        <v>232247</v>
      </c>
    </row>
    <row r="51" spans="1:11" x14ac:dyDescent="0.2">
      <c r="A51" t="s">
        <v>49</v>
      </c>
      <c r="B51" s="1">
        <v>2338</v>
      </c>
      <c r="C51">
        <v>15330</v>
      </c>
      <c r="D51"/>
      <c r="E51">
        <v>31930</v>
      </c>
      <c r="F51"/>
      <c r="G51">
        <v>5826</v>
      </c>
      <c r="H51"/>
      <c r="I51">
        <v>2236</v>
      </c>
      <c r="K51" s="10">
        <f t="shared" si="1"/>
        <v>55322</v>
      </c>
    </row>
    <row r="52" spans="1:11" x14ac:dyDescent="0.2">
      <c r="A52" t="s">
        <v>50</v>
      </c>
      <c r="B52" s="1">
        <v>2339</v>
      </c>
      <c r="C52">
        <v>6024</v>
      </c>
      <c r="D52"/>
      <c r="E52">
        <v>20927</v>
      </c>
      <c r="F52"/>
      <c r="G52">
        <v>3436</v>
      </c>
      <c r="H52"/>
      <c r="I52">
        <v>849</v>
      </c>
      <c r="K52" s="10">
        <f t="shared" si="1"/>
        <v>31236</v>
      </c>
    </row>
    <row r="53" spans="1:11" x14ac:dyDescent="0.2">
      <c r="A53" t="s">
        <v>51</v>
      </c>
      <c r="B53" s="1">
        <v>2340</v>
      </c>
      <c r="C53">
        <v>777801</v>
      </c>
      <c r="D53"/>
      <c r="E53">
        <v>131106</v>
      </c>
      <c r="F53"/>
      <c r="G53">
        <v>152639</v>
      </c>
      <c r="H53"/>
      <c r="I53">
        <v>26340</v>
      </c>
      <c r="K53" s="10">
        <f t="shared" si="1"/>
        <v>1087886</v>
      </c>
    </row>
    <row r="54" spans="1:11" x14ac:dyDescent="0.2">
      <c r="A54" t="s">
        <v>52</v>
      </c>
      <c r="B54" s="1">
        <v>2341</v>
      </c>
      <c r="C54">
        <v>13611</v>
      </c>
      <c r="D54"/>
      <c r="E54">
        <v>23097</v>
      </c>
      <c r="F54"/>
      <c r="G54">
        <v>8505</v>
      </c>
      <c r="H54"/>
      <c r="I54">
        <v>2147</v>
      </c>
      <c r="K54" s="10">
        <f t="shared" si="1"/>
        <v>47360</v>
      </c>
    </row>
    <row r="55" spans="1:11" x14ac:dyDescent="0.2">
      <c r="A55" t="s">
        <v>53</v>
      </c>
      <c r="B55" s="1">
        <v>2342</v>
      </c>
      <c r="C55">
        <v>1738</v>
      </c>
      <c r="D55"/>
      <c r="E55">
        <v>7995</v>
      </c>
      <c r="F55"/>
      <c r="G55">
        <v>994</v>
      </c>
      <c r="H55"/>
      <c r="I55">
        <v>272</v>
      </c>
      <c r="K55" s="10">
        <f t="shared" si="1"/>
        <v>10999</v>
      </c>
    </row>
    <row r="56" spans="1:11" x14ac:dyDescent="0.2">
      <c r="A56" t="s">
        <v>54</v>
      </c>
      <c r="B56" s="1">
        <v>2343</v>
      </c>
      <c r="C56">
        <v>25361</v>
      </c>
      <c r="D56"/>
      <c r="E56">
        <v>53166</v>
      </c>
      <c r="F56"/>
      <c r="G56">
        <v>10139</v>
      </c>
      <c r="H56"/>
      <c r="I56">
        <v>3768</v>
      </c>
      <c r="K56" s="10">
        <f t="shared" si="1"/>
        <v>92434</v>
      </c>
    </row>
    <row r="57" spans="1:11" x14ac:dyDescent="0.2">
      <c r="A57" t="s">
        <v>55</v>
      </c>
      <c r="B57" s="1">
        <v>2344</v>
      </c>
      <c r="C57">
        <v>4888</v>
      </c>
      <c r="D57"/>
      <c r="E57">
        <v>15945</v>
      </c>
      <c r="F57"/>
      <c r="G57">
        <v>2352</v>
      </c>
      <c r="H57"/>
      <c r="I57">
        <v>672</v>
      </c>
      <c r="K57" s="10">
        <f t="shared" si="1"/>
        <v>23857</v>
      </c>
    </row>
    <row r="58" spans="1:11" x14ac:dyDescent="0.2">
      <c r="A58" t="s">
        <v>56</v>
      </c>
      <c r="B58" s="1">
        <v>2345</v>
      </c>
      <c r="C58">
        <v>10491</v>
      </c>
      <c r="D58"/>
      <c r="E58">
        <v>32835</v>
      </c>
      <c r="F58"/>
      <c r="G58">
        <v>4408</v>
      </c>
      <c r="H58"/>
      <c r="I58">
        <v>768</v>
      </c>
      <c r="K58" s="10">
        <f t="shared" si="1"/>
        <v>48502</v>
      </c>
    </row>
    <row r="59" spans="1:11" x14ac:dyDescent="0.2">
      <c r="A59" t="s">
        <v>57</v>
      </c>
      <c r="B59" s="1">
        <v>2346</v>
      </c>
      <c r="C59">
        <v>1070</v>
      </c>
      <c r="D59"/>
      <c r="E59">
        <v>2846</v>
      </c>
      <c r="F59"/>
      <c r="G59">
        <v>380</v>
      </c>
      <c r="H59"/>
      <c r="I59">
        <v>162</v>
      </c>
      <c r="K59" s="10">
        <f t="shared" si="1"/>
        <v>4458</v>
      </c>
    </row>
    <row r="60" spans="1:11" x14ac:dyDescent="0.2">
      <c r="A60" t="s">
        <v>58</v>
      </c>
      <c r="B60" s="1">
        <v>2347</v>
      </c>
      <c r="C60">
        <v>6230</v>
      </c>
      <c r="D60"/>
      <c r="E60">
        <v>17444</v>
      </c>
      <c r="F60"/>
      <c r="G60">
        <v>2938</v>
      </c>
      <c r="H60"/>
      <c r="I60">
        <v>1147</v>
      </c>
      <c r="K60" s="10">
        <f t="shared" si="1"/>
        <v>27759</v>
      </c>
    </row>
    <row r="61" spans="1:11" x14ac:dyDescent="0.2">
      <c r="A61" t="s">
        <v>59</v>
      </c>
      <c r="B61" s="1">
        <v>2348</v>
      </c>
      <c r="C61">
        <v>4923</v>
      </c>
      <c r="D61"/>
      <c r="E61">
        <v>18108</v>
      </c>
      <c r="F61"/>
      <c r="G61">
        <v>2969</v>
      </c>
      <c r="H61"/>
      <c r="I61">
        <v>798</v>
      </c>
      <c r="K61" s="10">
        <f t="shared" si="1"/>
        <v>26798</v>
      </c>
    </row>
    <row r="62" spans="1:11" x14ac:dyDescent="0.2">
      <c r="A62" t="s">
        <v>60</v>
      </c>
      <c r="B62" s="1">
        <v>2349</v>
      </c>
      <c r="C62">
        <v>7788</v>
      </c>
      <c r="D62"/>
      <c r="E62">
        <v>14394</v>
      </c>
      <c r="F62"/>
      <c r="G62">
        <v>3244</v>
      </c>
      <c r="H62"/>
      <c r="I62">
        <v>978</v>
      </c>
      <c r="K62" s="10">
        <f t="shared" si="1"/>
        <v>26404</v>
      </c>
    </row>
    <row r="63" spans="1:11" x14ac:dyDescent="0.2">
      <c r="A63" t="s">
        <v>61</v>
      </c>
      <c r="B63" s="1">
        <v>2350</v>
      </c>
      <c r="C63">
        <v>8021</v>
      </c>
      <c r="D63"/>
      <c r="E63">
        <v>20112</v>
      </c>
      <c r="F63"/>
      <c r="G63">
        <v>3432</v>
      </c>
      <c r="H63"/>
      <c r="I63">
        <v>1218</v>
      </c>
      <c r="K63" s="10">
        <f t="shared" si="1"/>
        <v>32783</v>
      </c>
    </row>
    <row r="64" spans="1:11" x14ac:dyDescent="0.2">
      <c r="A64" t="s">
        <v>62</v>
      </c>
      <c r="B64" s="1">
        <v>2351</v>
      </c>
      <c r="C64">
        <v>6339</v>
      </c>
      <c r="D64"/>
      <c r="E64">
        <v>15231</v>
      </c>
      <c r="F64"/>
      <c r="G64">
        <v>2599</v>
      </c>
      <c r="H64"/>
      <c r="I64">
        <v>1247</v>
      </c>
      <c r="K64" s="10">
        <f t="shared" si="1"/>
        <v>25416</v>
      </c>
    </row>
    <row r="65" spans="1:11" x14ac:dyDescent="0.2">
      <c r="A65" t="s">
        <v>63</v>
      </c>
      <c r="B65" s="1">
        <v>2352</v>
      </c>
      <c r="C65">
        <v>52562</v>
      </c>
      <c r="D65"/>
      <c r="E65">
        <v>72647</v>
      </c>
      <c r="F65"/>
      <c r="G65">
        <v>15943</v>
      </c>
      <c r="H65"/>
      <c r="I65">
        <v>3769</v>
      </c>
      <c r="K65" s="10">
        <f t="shared" si="1"/>
        <v>144921</v>
      </c>
    </row>
    <row r="66" spans="1:11" x14ac:dyDescent="0.2">
      <c r="A66" t="s">
        <v>64</v>
      </c>
      <c r="B66" s="1">
        <v>2353</v>
      </c>
      <c r="C66">
        <v>8707</v>
      </c>
      <c r="D66"/>
      <c r="E66">
        <v>21742</v>
      </c>
      <c r="F66"/>
      <c r="G66">
        <v>5175</v>
      </c>
      <c r="H66"/>
      <c r="I66">
        <v>1048</v>
      </c>
      <c r="K66" s="10">
        <f t="shared" si="1"/>
        <v>36672</v>
      </c>
    </row>
    <row r="67" spans="1:11" x14ac:dyDescent="0.2">
      <c r="A67" t="s">
        <v>65</v>
      </c>
      <c r="B67" s="1">
        <v>2354</v>
      </c>
      <c r="C67">
        <v>86722</v>
      </c>
      <c r="D67"/>
      <c r="E67">
        <v>130800</v>
      </c>
      <c r="F67"/>
      <c r="G67">
        <v>23976</v>
      </c>
      <c r="H67"/>
      <c r="I67">
        <v>9187</v>
      </c>
      <c r="K67" s="10">
        <f t="shared" si="1"/>
        <v>250685</v>
      </c>
    </row>
    <row r="68" spans="1:11" x14ac:dyDescent="0.2">
      <c r="A68" t="s">
        <v>66</v>
      </c>
      <c r="B68" s="1">
        <v>2355</v>
      </c>
      <c r="C68">
        <v>4679</v>
      </c>
      <c r="D68"/>
      <c r="E68">
        <v>11305</v>
      </c>
      <c r="F68"/>
      <c r="G68">
        <v>1816</v>
      </c>
      <c r="H68"/>
      <c r="I68">
        <v>660</v>
      </c>
      <c r="K68" s="10">
        <f t="shared" si="1"/>
        <v>18460</v>
      </c>
    </row>
    <row r="69" spans="1:11" ht="13.5" thickBot="1" x14ac:dyDescent="0.25">
      <c r="A69" s="2" t="s">
        <v>67</v>
      </c>
      <c r="B69" s="5">
        <v>2356</v>
      </c>
      <c r="C69">
        <v>96568</v>
      </c>
      <c r="D69"/>
      <c r="E69">
        <v>168235</v>
      </c>
      <c r="F69"/>
      <c r="G69">
        <v>54028</v>
      </c>
      <c r="H69"/>
      <c r="I69">
        <v>8868</v>
      </c>
      <c r="J69" s="13"/>
      <c r="K69" s="10">
        <f t="shared" si="1"/>
        <v>327699</v>
      </c>
    </row>
    <row r="70" spans="1:11" ht="21.75" customHeight="1" x14ac:dyDescent="0.2">
      <c r="A70" s="6" t="s">
        <v>68</v>
      </c>
      <c r="C70" s="14">
        <f>SUM(C3:C69)</f>
        <v>3844655</v>
      </c>
      <c r="D70" s="14"/>
      <c r="E70" s="14">
        <f>SUM(E3:E69)</f>
        <v>3634016</v>
      </c>
      <c r="F70" s="14"/>
      <c r="G70" s="14">
        <f>SUM(G3:G69)</f>
        <v>1187724</v>
      </c>
      <c r="H70" s="14"/>
      <c r="I70" s="14">
        <f>SUM(I3:I69)</f>
        <v>314271</v>
      </c>
      <c r="J70" s="14"/>
      <c r="K70" s="44">
        <f>SUM(K3:K69)</f>
        <v>8980666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J3" sqref="J3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81" t="s">
        <v>130</v>
      </c>
      <c r="C1" s="81"/>
      <c r="D1" s="81"/>
      <c r="E1" s="81"/>
      <c r="F1" s="80" t="s">
        <v>126</v>
      </c>
      <c r="G1" s="80"/>
      <c r="H1" s="80"/>
      <c r="I1" s="80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9" t="s">
        <v>86</v>
      </c>
      <c r="G2" s="79"/>
      <c r="H2" s="79" t="s">
        <v>87</v>
      </c>
      <c r="I2" s="79"/>
      <c r="J2" t="s">
        <v>115</v>
      </c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1</v>
      </c>
      <c r="C4" s="42">
        <v>2</v>
      </c>
      <c r="D4" s="42">
        <v>3</v>
      </c>
      <c r="E4" s="42">
        <v>2</v>
      </c>
      <c r="F4" s="42">
        <v>122</v>
      </c>
      <c r="G4" s="42">
        <v>150</v>
      </c>
      <c r="H4" s="42">
        <v>121</v>
      </c>
      <c r="I4" s="42">
        <v>159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40</v>
      </c>
      <c r="C5" s="42">
        <v>59</v>
      </c>
      <c r="D5" s="42">
        <v>39</v>
      </c>
      <c r="E5" s="42">
        <v>14</v>
      </c>
      <c r="F5" s="42">
        <v>1379</v>
      </c>
      <c r="G5" s="42">
        <v>2453</v>
      </c>
      <c r="H5" s="42">
        <v>1380</v>
      </c>
      <c r="I5" s="42">
        <v>670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0</v>
      </c>
      <c r="C6" s="42">
        <v>0</v>
      </c>
      <c r="D6" s="42">
        <v>1</v>
      </c>
      <c r="E6" s="42">
        <v>2</v>
      </c>
      <c r="F6" s="42">
        <v>38</v>
      </c>
      <c r="G6" s="42">
        <v>35</v>
      </c>
      <c r="H6" s="42">
        <v>105</v>
      </c>
      <c r="I6" s="42">
        <v>44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3</v>
      </c>
      <c r="C7" s="42">
        <v>3</v>
      </c>
      <c r="D7" s="42">
        <v>5</v>
      </c>
      <c r="E7" s="42">
        <v>1</v>
      </c>
      <c r="F7" s="42">
        <v>134</v>
      </c>
      <c r="G7" s="42">
        <v>182</v>
      </c>
      <c r="H7" s="42">
        <v>263</v>
      </c>
      <c r="I7" s="42">
        <v>101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0</v>
      </c>
      <c r="C8" s="42">
        <v>0</v>
      </c>
      <c r="D8" s="42">
        <v>1</v>
      </c>
      <c r="E8" s="42">
        <v>1</v>
      </c>
      <c r="F8" s="42">
        <v>19</v>
      </c>
      <c r="G8" s="42">
        <v>18</v>
      </c>
      <c r="H8" s="42">
        <v>30</v>
      </c>
      <c r="I8" s="42">
        <v>23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10</v>
      </c>
      <c r="C9" s="42">
        <v>15</v>
      </c>
      <c r="D9" s="42">
        <v>12</v>
      </c>
      <c r="E9" s="42">
        <v>23</v>
      </c>
      <c r="F9" s="42">
        <v>541</v>
      </c>
      <c r="G9" s="42">
        <v>813</v>
      </c>
      <c r="H9" s="42">
        <v>672</v>
      </c>
      <c r="I9" s="42">
        <v>525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7</v>
      </c>
      <c r="C10" s="42">
        <v>1</v>
      </c>
      <c r="D10" s="42">
        <v>2</v>
      </c>
      <c r="E10" s="42">
        <v>2</v>
      </c>
      <c r="F10" s="42">
        <v>110</v>
      </c>
      <c r="G10" s="42">
        <v>124</v>
      </c>
      <c r="H10" s="42">
        <v>108</v>
      </c>
      <c r="I10" s="42">
        <v>101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0</v>
      </c>
      <c r="C11" s="42">
        <v>0</v>
      </c>
      <c r="D11" s="42">
        <v>2</v>
      </c>
      <c r="E11" s="42">
        <v>1</v>
      </c>
      <c r="F11" s="42">
        <v>50</v>
      </c>
      <c r="G11" s="42">
        <v>49</v>
      </c>
      <c r="H11" s="42">
        <v>63</v>
      </c>
      <c r="I11" s="42">
        <v>73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26</v>
      </c>
      <c r="C12" s="42">
        <v>33</v>
      </c>
      <c r="D12" s="42">
        <v>22</v>
      </c>
      <c r="E12" s="42">
        <v>18</v>
      </c>
      <c r="F12" s="42">
        <v>1011</v>
      </c>
      <c r="G12" s="42">
        <v>1605</v>
      </c>
      <c r="H12" s="42">
        <v>882</v>
      </c>
      <c r="I12" s="42">
        <v>900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190</v>
      </c>
      <c r="G13" s="42">
        <v>235</v>
      </c>
      <c r="H13" s="42">
        <v>156</v>
      </c>
      <c r="I13" s="42">
        <v>170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1</v>
      </c>
      <c r="C14" s="42">
        <v>0</v>
      </c>
      <c r="D14" s="42">
        <v>3</v>
      </c>
      <c r="E14" s="42">
        <v>1</v>
      </c>
      <c r="F14" s="42">
        <v>111</v>
      </c>
      <c r="G14" s="42">
        <v>91</v>
      </c>
      <c r="H14" s="42">
        <v>246</v>
      </c>
      <c r="I14" s="42">
        <v>92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3</v>
      </c>
      <c r="G15" s="42">
        <v>2</v>
      </c>
      <c r="H15" s="42">
        <v>10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1</v>
      </c>
      <c r="C16" s="42">
        <v>1</v>
      </c>
      <c r="D16" s="42">
        <v>6</v>
      </c>
      <c r="E16" s="42">
        <v>6</v>
      </c>
      <c r="F16" s="42">
        <v>65</v>
      </c>
      <c r="G16" s="42">
        <v>102</v>
      </c>
      <c r="H16" s="42">
        <v>101</v>
      </c>
      <c r="I16" s="42">
        <v>79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9</v>
      </c>
      <c r="C17" s="42">
        <v>11</v>
      </c>
      <c r="D17" s="42">
        <v>4</v>
      </c>
      <c r="E17" s="42">
        <v>3</v>
      </c>
      <c r="F17" s="42">
        <v>145</v>
      </c>
      <c r="G17" s="42">
        <v>191</v>
      </c>
      <c r="H17" s="42">
        <v>77</v>
      </c>
      <c r="I17" s="42">
        <v>101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20</v>
      </c>
      <c r="C18" s="42">
        <v>44</v>
      </c>
      <c r="D18" s="42">
        <v>19</v>
      </c>
      <c r="E18" s="42">
        <v>23</v>
      </c>
      <c r="F18" s="42">
        <v>790</v>
      </c>
      <c r="G18" s="42">
        <v>1330</v>
      </c>
      <c r="H18" s="42">
        <v>437</v>
      </c>
      <c r="I18" s="42">
        <v>622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2</v>
      </c>
      <c r="C19" s="42">
        <v>0</v>
      </c>
      <c r="D19" s="42">
        <v>1</v>
      </c>
      <c r="E19" s="42">
        <v>2</v>
      </c>
      <c r="F19" s="42">
        <v>21</v>
      </c>
      <c r="G19" s="42">
        <v>18</v>
      </c>
      <c r="H19" s="42">
        <v>35</v>
      </c>
      <c r="I19" s="42">
        <v>13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2</v>
      </c>
      <c r="C20" s="42">
        <v>1</v>
      </c>
      <c r="D20" s="42">
        <v>3</v>
      </c>
      <c r="E20" s="42">
        <v>2</v>
      </c>
      <c r="F20" s="42">
        <v>38</v>
      </c>
      <c r="G20" s="42">
        <v>51</v>
      </c>
      <c r="H20" s="42">
        <v>110</v>
      </c>
      <c r="I20" s="42">
        <v>70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3</v>
      </c>
      <c r="C21" s="42">
        <v>0</v>
      </c>
      <c r="D21" s="42">
        <v>1</v>
      </c>
      <c r="E21" s="42">
        <v>0</v>
      </c>
      <c r="F21" s="42">
        <v>31</v>
      </c>
      <c r="G21" s="42">
        <v>39</v>
      </c>
      <c r="H21" s="42">
        <v>40</v>
      </c>
      <c r="I21" s="42">
        <v>37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0</v>
      </c>
      <c r="C22" s="42">
        <v>1</v>
      </c>
      <c r="D22" s="42">
        <v>3</v>
      </c>
      <c r="E22" s="42">
        <v>0</v>
      </c>
      <c r="F22" s="42">
        <v>49</v>
      </c>
      <c r="G22" s="42">
        <v>59</v>
      </c>
      <c r="H22" s="42">
        <v>63</v>
      </c>
      <c r="I22" s="42">
        <v>44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3</v>
      </c>
      <c r="C23" s="42">
        <v>1</v>
      </c>
      <c r="D23" s="42">
        <v>4</v>
      </c>
      <c r="E23" s="42">
        <v>0</v>
      </c>
      <c r="F23" s="42">
        <v>62</v>
      </c>
      <c r="G23" s="42">
        <v>52</v>
      </c>
      <c r="H23" s="42">
        <v>67</v>
      </c>
      <c r="I23" s="42">
        <v>47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13</v>
      </c>
      <c r="C24" s="42">
        <v>19</v>
      </c>
      <c r="D24" s="42">
        <v>6</v>
      </c>
      <c r="E24" s="42">
        <v>7</v>
      </c>
      <c r="F24" s="42">
        <v>448</v>
      </c>
      <c r="G24" s="42">
        <v>648</v>
      </c>
      <c r="H24" s="42">
        <v>289</v>
      </c>
      <c r="I24" s="42">
        <v>397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26</v>
      </c>
      <c r="C25" s="42">
        <v>30</v>
      </c>
      <c r="D25" s="42">
        <v>6</v>
      </c>
      <c r="E25" s="42">
        <v>11</v>
      </c>
      <c r="F25" s="42">
        <v>697</v>
      </c>
      <c r="G25" s="42">
        <v>1352</v>
      </c>
      <c r="H25" s="42">
        <v>402</v>
      </c>
      <c r="I25" s="42">
        <v>355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22</v>
      </c>
      <c r="C26" s="42">
        <v>38</v>
      </c>
      <c r="D26" s="42">
        <v>15</v>
      </c>
      <c r="E26" s="42">
        <v>8</v>
      </c>
      <c r="F26" s="42">
        <v>797</v>
      </c>
      <c r="G26" s="42">
        <v>973</v>
      </c>
      <c r="H26" s="42">
        <v>502</v>
      </c>
      <c r="I26" s="42">
        <v>273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1</v>
      </c>
      <c r="C27" s="42">
        <v>0</v>
      </c>
      <c r="D27" s="42">
        <v>3</v>
      </c>
      <c r="E27" s="42">
        <v>0</v>
      </c>
      <c r="F27" s="42">
        <v>20</v>
      </c>
      <c r="G27" s="42">
        <v>17</v>
      </c>
      <c r="H27" s="42">
        <v>49</v>
      </c>
      <c r="I27" s="42">
        <v>16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4</v>
      </c>
      <c r="C28" s="42">
        <v>6</v>
      </c>
      <c r="D28" s="42">
        <v>5</v>
      </c>
      <c r="E28" s="42">
        <v>3</v>
      </c>
      <c r="F28" s="42">
        <v>307</v>
      </c>
      <c r="G28" s="42">
        <v>319</v>
      </c>
      <c r="H28" s="42">
        <v>319</v>
      </c>
      <c r="I28" s="42">
        <v>155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1</v>
      </c>
      <c r="C29" s="42">
        <v>4</v>
      </c>
      <c r="D29" s="42">
        <v>4</v>
      </c>
      <c r="E29" s="42">
        <v>3</v>
      </c>
      <c r="F29" s="42">
        <v>111</v>
      </c>
      <c r="G29" s="42">
        <v>88</v>
      </c>
      <c r="H29" s="42">
        <v>276</v>
      </c>
      <c r="I29" s="42">
        <v>90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4</v>
      </c>
      <c r="I30" s="42">
        <v>3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5</v>
      </c>
      <c r="C31" s="42">
        <v>6</v>
      </c>
      <c r="D31" s="42">
        <v>3</v>
      </c>
      <c r="E31" s="42">
        <v>4</v>
      </c>
      <c r="F31" s="42">
        <v>184</v>
      </c>
      <c r="G31" s="42">
        <v>205</v>
      </c>
      <c r="H31" s="42">
        <v>147</v>
      </c>
      <c r="I31" s="42">
        <v>212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0</v>
      </c>
      <c r="E32" s="42">
        <v>1</v>
      </c>
      <c r="F32" s="42">
        <v>6</v>
      </c>
      <c r="G32" s="42">
        <v>3</v>
      </c>
      <c r="H32" s="42">
        <v>18</v>
      </c>
      <c r="I32" s="42">
        <v>14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21</v>
      </c>
      <c r="G33" s="42">
        <v>13</v>
      </c>
      <c r="H33" s="42">
        <v>95</v>
      </c>
      <c r="I33" s="42">
        <v>44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21</v>
      </c>
      <c r="G34" s="42">
        <v>27</v>
      </c>
      <c r="H34" s="42">
        <v>39</v>
      </c>
      <c r="I34" s="42">
        <v>23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0</v>
      </c>
      <c r="C35" s="42">
        <v>0</v>
      </c>
      <c r="D35" s="42">
        <v>2</v>
      </c>
      <c r="E35" s="42">
        <v>2</v>
      </c>
      <c r="F35" s="42">
        <v>41</v>
      </c>
      <c r="G35" s="42">
        <v>47</v>
      </c>
      <c r="H35" s="42">
        <v>87</v>
      </c>
      <c r="I35" s="42">
        <v>64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0</v>
      </c>
      <c r="C36" s="42">
        <v>0</v>
      </c>
      <c r="D36" s="42">
        <v>1</v>
      </c>
      <c r="E36" s="42">
        <v>0</v>
      </c>
      <c r="F36" s="42">
        <v>21</v>
      </c>
      <c r="G36" s="42">
        <v>29</v>
      </c>
      <c r="H36" s="42">
        <v>17</v>
      </c>
      <c r="I36" s="42">
        <v>26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1</v>
      </c>
      <c r="C37" s="42">
        <v>0</v>
      </c>
      <c r="D37" s="42">
        <v>1</v>
      </c>
      <c r="E37" s="42">
        <v>2</v>
      </c>
      <c r="F37" s="42">
        <v>15</v>
      </c>
      <c r="G37" s="42">
        <v>11</v>
      </c>
      <c r="H37" s="42">
        <v>15</v>
      </c>
      <c r="I37" s="42">
        <v>13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12</v>
      </c>
      <c r="C38" s="42">
        <v>23</v>
      </c>
      <c r="D38" s="42">
        <v>11</v>
      </c>
      <c r="E38" s="42">
        <v>3</v>
      </c>
      <c r="F38" s="42">
        <v>415</v>
      </c>
      <c r="G38" s="42">
        <v>431</v>
      </c>
      <c r="H38" s="42">
        <v>414</v>
      </c>
      <c r="I38" s="42">
        <v>160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13</v>
      </c>
      <c r="C39" s="42">
        <v>18</v>
      </c>
      <c r="D39" s="42">
        <v>14</v>
      </c>
      <c r="E39" s="42">
        <v>17</v>
      </c>
      <c r="F39" s="42">
        <v>790</v>
      </c>
      <c r="G39" s="42">
        <v>1191</v>
      </c>
      <c r="H39" s="42">
        <v>595</v>
      </c>
      <c r="I39" s="42">
        <v>820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5</v>
      </c>
      <c r="C40" s="42">
        <v>2</v>
      </c>
      <c r="D40" s="42">
        <v>2</v>
      </c>
      <c r="E40" s="42">
        <v>1</v>
      </c>
      <c r="F40" s="42">
        <v>66</v>
      </c>
      <c r="G40" s="42">
        <v>61</v>
      </c>
      <c r="H40" s="42">
        <v>113</v>
      </c>
      <c r="I40" s="42">
        <v>69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6</v>
      </c>
      <c r="C41" s="42">
        <v>5</v>
      </c>
      <c r="D41" s="42">
        <v>4</v>
      </c>
      <c r="E41" s="42">
        <v>5</v>
      </c>
      <c r="F41" s="42">
        <v>193</v>
      </c>
      <c r="G41" s="42">
        <v>174</v>
      </c>
      <c r="H41" s="42">
        <v>170</v>
      </c>
      <c r="I41" s="42">
        <v>179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31</v>
      </c>
      <c r="C42" s="42">
        <v>78</v>
      </c>
      <c r="D42" s="42">
        <v>21</v>
      </c>
      <c r="E42" s="42">
        <v>7</v>
      </c>
      <c r="F42" s="42">
        <v>701</v>
      </c>
      <c r="G42" s="42">
        <v>1099</v>
      </c>
      <c r="H42" s="42">
        <v>476</v>
      </c>
      <c r="I42" s="42">
        <v>325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23</v>
      </c>
      <c r="C43" s="42">
        <v>23</v>
      </c>
      <c r="D43" s="42">
        <v>12</v>
      </c>
      <c r="E43" s="42">
        <v>4</v>
      </c>
      <c r="F43" s="42">
        <v>493</v>
      </c>
      <c r="G43" s="42">
        <v>673</v>
      </c>
      <c r="H43" s="42">
        <v>583</v>
      </c>
      <c r="I43" s="42">
        <v>262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5</v>
      </c>
      <c r="C44" s="42">
        <v>2</v>
      </c>
      <c r="D44" s="42">
        <v>2</v>
      </c>
      <c r="E44" s="42">
        <v>5</v>
      </c>
      <c r="F44" s="42">
        <v>129</v>
      </c>
      <c r="G44" s="42">
        <v>122</v>
      </c>
      <c r="H44" s="42">
        <v>119</v>
      </c>
      <c r="I44" s="42">
        <v>145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19</v>
      </c>
      <c r="G45" s="42">
        <v>13</v>
      </c>
      <c r="H45" s="42">
        <v>9</v>
      </c>
      <c r="I45" s="42">
        <v>9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0</v>
      </c>
      <c r="C46" s="42">
        <v>4</v>
      </c>
      <c r="D46" s="42">
        <v>1</v>
      </c>
      <c r="E46" s="42">
        <v>1</v>
      </c>
      <c r="F46" s="42">
        <v>82</v>
      </c>
      <c r="G46" s="42">
        <v>110</v>
      </c>
      <c r="H46" s="42">
        <v>126</v>
      </c>
      <c r="I46" s="42">
        <v>73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0</v>
      </c>
      <c r="C47" s="42">
        <v>0</v>
      </c>
      <c r="D47" s="42">
        <v>2</v>
      </c>
      <c r="E47" s="42">
        <v>1</v>
      </c>
      <c r="F47" s="42">
        <v>31</v>
      </c>
      <c r="G47" s="42">
        <v>32</v>
      </c>
      <c r="H47" s="42">
        <v>38</v>
      </c>
      <c r="I47" s="42">
        <v>25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5</v>
      </c>
      <c r="C48" s="42">
        <v>7</v>
      </c>
      <c r="D48" s="42">
        <v>3</v>
      </c>
      <c r="E48" s="42">
        <v>10</v>
      </c>
      <c r="F48" s="42">
        <v>153</v>
      </c>
      <c r="G48" s="42">
        <v>326</v>
      </c>
      <c r="H48" s="42">
        <v>200</v>
      </c>
      <c r="I48" s="42">
        <v>223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33</v>
      </c>
      <c r="C49" s="42">
        <v>31</v>
      </c>
      <c r="D49" s="42">
        <v>20</v>
      </c>
      <c r="E49" s="42">
        <v>16</v>
      </c>
      <c r="F49" s="42">
        <v>1348</v>
      </c>
      <c r="G49" s="42">
        <v>1838</v>
      </c>
      <c r="H49" s="42">
        <v>970</v>
      </c>
      <c r="I49" s="42">
        <v>810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13</v>
      </c>
      <c r="G50" s="42">
        <v>10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12</v>
      </c>
      <c r="C51" s="42">
        <v>22</v>
      </c>
      <c r="D51" s="42">
        <v>8</v>
      </c>
      <c r="E51" s="42">
        <v>7</v>
      </c>
      <c r="F51" s="42">
        <v>480</v>
      </c>
      <c r="G51" s="42">
        <v>831</v>
      </c>
      <c r="H51" s="42">
        <v>483</v>
      </c>
      <c r="I51" s="42">
        <v>440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2</v>
      </c>
      <c r="C52" s="42">
        <v>0</v>
      </c>
      <c r="D52" s="42">
        <v>4</v>
      </c>
      <c r="E52" s="42">
        <v>1</v>
      </c>
      <c r="F52" s="42">
        <v>75</v>
      </c>
      <c r="G52" s="42">
        <v>73</v>
      </c>
      <c r="H52" s="42">
        <v>90</v>
      </c>
      <c r="I52" s="42">
        <v>52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2</v>
      </c>
      <c r="C53" s="42">
        <v>3</v>
      </c>
      <c r="D53" s="42">
        <v>1</v>
      </c>
      <c r="E53" s="42">
        <v>4</v>
      </c>
      <c r="F53" s="42">
        <v>46</v>
      </c>
      <c r="G53" s="42">
        <v>63</v>
      </c>
      <c r="H53" s="42">
        <v>52</v>
      </c>
      <c r="I53" s="42">
        <v>54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95</v>
      </c>
      <c r="C54" s="42">
        <v>295</v>
      </c>
      <c r="D54" s="42">
        <v>94</v>
      </c>
      <c r="E54" s="42">
        <v>52</v>
      </c>
      <c r="F54" s="42">
        <v>2178</v>
      </c>
      <c r="G54" s="42">
        <v>6553</v>
      </c>
      <c r="H54" s="42">
        <v>2275</v>
      </c>
      <c r="I54" s="42">
        <v>1030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0</v>
      </c>
      <c r="C55" s="42">
        <v>1</v>
      </c>
      <c r="D55" s="42">
        <v>3</v>
      </c>
      <c r="E55" s="42">
        <v>4</v>
      </c>
      <c r="F55" s="42">
        <v>48</v>
      </c>
      <c r="G55" s="42">
        <v>85</v>
      </c>
      <c r="H55" s="42">
        <v>71</v>
      </c>
      <c r="I55" s="42">
        <v>111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5</v>
      </c>
      <c r="G56" s="42">
        <v>6</v>
      </c>
      <c r="H56" s="42">
        <v>12</v>
      </c>
      <c r="I56" s="42">
        <v>11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5</v>
      </c>
      <c r="C57" s="42">
        <v>4</v>
      </c>
      <c r="D57" s="42">
        <v>4</v>
      </c>
      <c r="E57" s="42">
        <v>4</v>
      </c>
      <c r="F57" s="42">
        <v>145</v>
      </c>
      <c r="G57" s="42">
        <v>132</v>
      </c>
      <c r="H57" s="42">
        <v>227</v>
      </c>
      <c r="I57" s="42">
        <v>141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1</v>
      </c>
      <c r="C58" s="42">
        <v>0</v>
      </c>
      <c r="D58" s="42">
        <v>0</v>
      </c>
      <c r="E58" s="42">
        <v>1</v>
      </c>
      <c r="F58" s="42">
        <v>20</v>
      </c>
      <c r="G58" s="42">
        <v>21</v>
      </c>
      <c r="H58" s="42">
        <v>13</v>
      </c>
      <c r="I58" s="42">
        <v>31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5</v>
      </c>
      <c r="C59" s="42">
        <v>3</v>
      </c>
      <c r="D59" s="42">
        <v>9</v>
      </c>
      <c r="E59" s="42">
        <v>1</v>
      </c>
      <c r="F59" s="42">
        <v>53</v>
      </c>
      <c r="G59" s="42">
        <v>51</v>
      </c>
      <c r="H59" s="42">
        <v>133</v>
      </c>
      <c r="I59" s="42">
        <v>89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1</v>
      </c>
      <c r="D61" s="42">
        <v>0</v>
      </c>
      <c r="E61" s="42">
        <v>0</v>
      </c>
      <c r="F61" s="42">
        <v>37</v>
      </c>
      <c r="G61" s="42">
        <v>38</v>
      </c>
      <c r="H61" s="42">
        <v>35</v>
      </c>
      <c r="I61" s="42">
        <v>37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1</v>
      </c>
      <c r="C62" s="42">
        <v>0</v>
      </c>
      <c r="D62" s="42">
        <v>2</v>
      </c>
      <c r="E62" s="42">
        <v>0</v>
      </c>
      <c r="F62" s="42">
        <v>39</v>
      </c>
      <c r="G62" s="42">
        <v>42</v>
      </c>
      <c r="H62" s="42">
        <v>42</v>
      </c>
      <c r="I62" s="42">
        <v>48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1</v>
      </c>
      <c r="C63" s="42">
        <v>0</v>
      </c>
      <c r="D63" s="42">
        <v>1</v>
      </c>
      <c r="E63" s="42">
        <v>1</v>
      </c>
      <c r="F63" s="42">
        <v>20</v>
      </c>
      <c r="G63" s="42">
        <v>35</v>
      </c>
      <c r="H63" s="42">
        <v>23</v>
      </c>
      <c r="I63" s="42">
        <v>22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0</v>
      </c>
      <c r="C64" s="42">
        <v>2</v>
      </c>
      <c r="D64" s="42">
        <v>1</v>
      </c>
      <c r="E64" s="42">
        <v>0</v>
      </c>
      <c r="F64" s="42">
        <v>41</v>
      </c>
      <c r="G64" s="42">
        <v>50</v>
      </c>
      <c r="H64" s="42">
        <v>45</v>
      </c>
      <c r="I64" s="42">
        <v>40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0</v>
      </c>
      <c r="C65" s="42">
        <v>0</v>
      </c>
      <c r="D65" s="42">
        <v>0</v>
      </c>
      <c r="E65" s="42">
        <v>0</v>
      </c>
      <c r="F65" s="42">
        <v>30</v>
      </c>
      <c r="G65" s="42">
        <v>38</v>
      </c>
      <c r="H65" s="42">
        <v>37</v>
      </c>
      <c r="I65" s="42">
        <v>34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6</v>
      </c>
      <c r="C66" s="42">
        <v>4</v>
      </c>
      <c r="D66" s="42">
        <v>4</v>
      </c>
      <c r="E66" s="42">
        <v>5</v>
      </c>
      <c r="F66" s="42">
        <v>178</v>
      </c>
      <c r="G66" s="42">
        <v>198</v>
      </c>
      <c r="H66" s="42">
        <v>307</v>
      </c>
      <c r="I66" s="42">
        <v>186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0</v>
      </c>
      <c r="C67" s="42">
        <v>2</v>
      </c>
      <c r="D67" s="42">
        <v>2</v>
      </c>
      <c r="E67" s="42">
        <v>2</v>
      </c>
      <c r="F67" s="42">
        <v>31</v>
      </c>
      <c r="G67" s="42">
        <v>56</v>
      </c>
      <c r="H67" s="42">
        <v>60</v>
      </c>
      <c r="I67" s="42">
        <v>64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3</v>
      </c>
      <c r="C68" s="42">
        <v>4</v>
      </c>
      <c r="D68" s="42">
        <v>6</v>
      </c>
      <c r="E68" s="42">
        <v>3</v>
      </c>
      <c r="F68" s="42">
        <v>336</v>
      </c>
      <c r="G68" s="42">
        <v>366</v>
      </c>
      <c r="H68" s="42">
        <v>515</v>
      </c>
      <c r="I68" s="42">
        <v>284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1</v>
      </c>
      <c r="C69" s="42">
        <v>3</v>
      </c>
      <c r="D69" s="42">
        <v>0</v>
      </c>
      <c r="E69" s="42">
        <v>0</v>
      </c>
      <c r="F69" s="42">
        <v>35</v>
      </c>
      <c r="G69" s="42">
        <v>34</v>
      </c>
      <c r="H69" s="42">
        <v>41</v>
      </c>
      <c r="I69" s="42">
        <v>31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8</v>
      </c>
      <c r="C70" s="42">
        <v>29</v>
      </c>
      <c r="D70" s="42">
        <v>12</v>
      </c>
      <c r="E70" s="42">
        <v>21</v>
      </c>
      <c r="F70" s="42">
        <v>686</v>
      </c>
      <c r="G70" s="42">
        <v>1069</v>
      </c>
      <c r="H70" s="42">
        <v>521</v>
      </c>
      <c r="I70" s="42">
        <v>675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476</v>
      </c>
      <c r="C71" s="67">
        <f>SUM(C4:C70)</f>
        <v>841</v>
      </c>
      <c r="D71" s="67">
        <f>SUM(D4:D70)</f>
        <v>420</v>
      </c>
      <c r="E71" s="67">
        <f>SUM(E4:E70)</f>
        <v>318</v>
      </c>
      <c r="F71" s="67">
        <f t="shared" ref="F71:I71" si="0">SUM(F4:F70)</f>
        <v>16525</v>
      </c>
      <c r="G71" s="67">
        <f t="shared" si="0"/>
        <v>27155</v>
      </c>
      <c r="H71" s="67">
        <f t="shared" si="0"/>
        <v>16035</v>
      </c>
      <c r="I71" s="67">
        <f t="shared" si="0"/>
        <v>12047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154"/>
  <sheetViews>
    <sheetView topLeftCell="AT1" zoomScale="85" zoomScaleNormal="85" workbookViewId="0">
      <pane ySplit="3" topLeftCell="A4" activePane="bottomLeft" state="frozen"/>
      <selection pane="bottomLeft" activeCell="BY3" sqref="BY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7" x14ac:dyDescent="0.2">
      <c r="A1" s="42"/>
      <c r="B1" s="82" t="s">
        <v>97</v>
      </c>
      <c r="C1" s="83"/>
      <c r="D1" s="83"/>
      <c r="E1" s="83"/>
      <c r="F1" s="84" t="s">
        <v>99</v>
      </c>
      <c r="G1" s="84"/>
      <c r="H1" s="84"/>
      <c r="I1" s="84"/>
      <c r="J1" s="84"/>
      <c r="K1" s="84"/>
      <c r="L1" s="90" t="s">
        <v>94</v>
      </c>
      <c r="M1" s="90"/>
      <c r="N1" s="90"/>
      <c r="O1" s="82" t="s">
        <v>100</v>
      </c>
      <c r="P1" s="82"/>
      <c r="Q1" s="82"/>
      <c r="R1" s="82"/>
      <c r="S1" s="82"/>
      <c r="T1" s="82"/>
      <c r="U1" s="82"/>
      <c r="V1" s="82"/>
      <c r="W1" s="82"/>
      <c r="X1" s="84" t="s">
        <v>101</v>
      </c>
      <c r="Y1" s="84"/>
      <c r="Z1" s="84"/>
      <c r="AA1" s="84"/>
      <c r="AB1" s="42"/>
      <c r="AC1" s="42" t="s">
        <v>105</v>
      </c>
      <c r="AD1" s="42"/>
      <c r="AE1" s="42"/>
      <c r="AF1" s="84" t="s">
        <v>106</v>
      </c>
      <c r="AG1" s="84"/>
      <c r="AH1" s="84"/>
      <c r="AI1" s="84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8" t="s">
        <v>117</v>
      </c>
      <c r="BA1" s="88"/>
      <c r="BB1" s="88"/>
      <c r="BC1" s="88"/>
      <c r="BD1" s="80" t="s">
        <v>119</v>
      </c>
      <c r="BE1" s="80"/>
      <c r="BF1" s="80"/>
      <c r="BG1" s="80"/>
      <c r="BH1" s="80" t="s">
        <v>124</v>
      </c>
      <c r="BI1" s="80"/>
      <c r="BJ1" s="80"/>
      <c r="BK1" s="80"/>
      <c r="BL1" s="80" t="s">
        <v>125</v>
      </c>
      <c r="BM1" s="80"/>
      <c r="BN1" s="80"/>
      <c r="BO1" s="80"/>
      <c r="BP1" s="86" t="s">
        <v>127</v>
      </c>
      <c r="BQ1" s="86"/>
      <c r="BR1" s="86"/>
      <c r="BS1" s="86"/>
      <c r="BT1" s="86"/>
      <c r="BU1" s="86"/>
      <c r="BV1" s="86"/>
      <c r="BW1" s="86"/>
      <c r="BX1" s="86"/>
    </row>
    <row r="2" spans="1:77" x14ac:dyDescent="0.2">
      <c r="A2" s="42"/>
      <c r="B2" s="83" t="s">
        <v>86</v>
      </c>
      <c r="C2" s="83"/>
      <c r="D2" s="83" t="s">
        <v>87</v>
      </c>
      <c r="E2" s="83"/>
      <c r="F2" s="85" t="s">
        <v>86</v>
      </c>
      <c r="G2" s="85"/>
      <c r="H2" s="85"/>
      <c r="I2" s="85" t="s">
        <v>87</v>
      </c>
      <c r="J2" s="85"/>
      <c r="K2" s="85"/>
      <c r="L2" s="85" t="s">
        <v>93</v>
      </c>
      <c r="M2" s="85"/>
      <c r="N2" s="85"/>
      <c r="O2" s="83" t="s">
        <v>86</v>
      </c>
      <c r="P2" s="83"/>
      <c r="Q2" s="83"/>
      <c r="R2" s="83" t="s">
        <v>87</v>
      </c>
      <c r="S2" s="83"/>
      <c r="T2" s="83"/>
      <c r="U2" s="83" t="s">
        <v>93</v>
      </c>
      <c r="V2" s="83"/>
      <c r="W2" s="83"/>
      <c r="X2" s="84" t="s">
        <v>86</v>
      </c>
      <c r="Y2" s="85"/>
      <c r="Z2" s="85" t="s">
        <v>87</v>
      </c>
      <c r="AA2" s="85"/>
      <c r="AB2" s="83" t="s">
        <v>86</v>
      </c>
      <c r="AC2" s="83"/>
      <c r="AD2" s="83" t="s">
        <v>87</v>
      </c>
      <c r="AE2" s="83"/>
      <c r="AF2" s="84" t="s">
        <v>86</v>
      </c>
      <c r="AG2" s="85"/>
      <c r="AH2" s="85" t="s">
        <v>87</v>
      </c>
      <c r="AI2" s="85"/>
      <c r="AJ2" s="83" t="s">
        <v>86</v>
      </c>
      <c r="AK2" s="83"/>
      <c r="AL2" s="83" t="s">
        <v>87</v>
      </c>
      <c r="AM2" s="83"/>
      <c r="AN2" s="83" t="s">
        <v>86</v>
      </c>
      <c r="AO2" s="83"/>
      <c r="AP2" s="83" t="s">
        <v>87</v>
      </c>
      <c r="AQ2" s="83"/>
      <c r="AR2" s="83" t="s">
        <v>86</v>
      </c>
      <c r="AS2" s="83"/>
      <c r="AT2" s="83" t="s">
        <v>87</v>
      </c>
      <c r="AU2" s="83"/>
      <c r="AV2" s="83" t="s">
        <v>86</v>
      </c>
      <c r="AW2" s="83"/>
      <c r="AX2" s="83" t="s">
        <v>87</v>
      </c>
      <c r="AY2" s="83"/>
      <c r="AZ2" s="89" t="s">
        <v>86</v>
      </c>
      <c r="BA2" s="89"/>
      <c r="BB2" s="89" t="s">
        <v>87</v>
      </c>
      <c r="BC2" s="89"/>
      <c r="BD2" s="79" t="s">
        <v>86</v>
      </c>
      <c r="BE2" s="79"/>
      <c r="BF2" s="79" t="s">
        <v>87</v>
      </c>
      <c r="BG2" s="79"/>
      <c r="BH2" s="79" t="s">
        <v>86</v>
      </c>
      <c r="BI2" s="79"/>
      <c r="BJ2" s="79" t="s">
        <v>87</v>
      </c>
      <c r="BK2" s="79"/>
      <c r="BL2" s="79" t="s">
        <v>86</v>
      </c>
      <c r="BM2" s="79"/>
      <c r="BN2" s="79" t="s">
        <v>87</v>
      </c>
      <c r="BO2" s="79"/>
      <c r="BP2" s="86" t="s">
        <v>86</v>
      </c>
      <c r="BQ2" s="87"/>
      <c r="BR2" s="87"/>
      <c r="BS2" s="86" t="s">
        <v>87</v>
      </c>
      <c r="BT2" s="87"/>
      <c r="BU2" s="87"/>
      <c r="BV2" s="87" t="s">
        <v>93</v>
      </c>
      <c r="BW2" s="87"/>
      <c r="BX2" s="87"/>
      <c r="BY2" s="11" t="s">
        <v>115</v>
      </c>
    </row>
    <row r="3" spans="1:77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7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7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7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7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7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7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7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7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7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7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7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7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7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8"/>
  <sheetViews>
    <sheetView zoomScale="110" zoomScaleNormal="110" workbookViewId="0">
      <pane ySplit="1" topLeftCell="A2" activePane="bottomLeft" state="frozen"/>
      <selection pane="bottomLeft" activeCell="G8" sqref="G8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6" x14ac:dyDescent="0.2">
      <c r="A1" s="42"/>
      <c r="B1" s="93" t="s">
        <v>130</v>
      </c>
      <c r="C1" s="94"/>
      <c r="D1" s="95" t="s">
        <v>126</v>
      </c>
      <c r="E1" s="96"/>
    </row>
    <row r="2" spans="1:6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  <c r="F2" s="21" t="s">
        <v>115</v>
      </c>
    </row>
    <row r="3" spans="1:6" x14ac:dyDescent="0.2">
      <c r="A3" s="42" t="s">
        <v>1</v>
      </c>
      <c r="B3" s="53">
        <v>1</v>
      </c>
      <c r="C3" s="53">
        <v>11</v>
      </c>
      <c r="D3" s="53">
        <v>116</v>
      </c>
      <c r="E3" s="53">
        <v>242</v>
      </c>
    </row>
    <row r="4" spans="1:6" x14ac:dyDescent="0.2">
      <c r="A4" s="42" t="s">
        <v>2</v>
      </c>
      <c r="B4" s="53">
        <v>86</v>
      </c>
      <c r="C4" s="53">
        <v>23</v>
      </c>
      <c r="D4" s="53">
        <v>1963</v>
      </c>
      <c r="E4" s="53">
        <v>1067</v>
      </c>
    </row>
    <row r="5" spans="1:6" x14ac:dyDescent="0.2">
      <c r="A5" s="42" t="s">
        <v>3</v>
      </c>
      <c r="B5" s="53">
        <v>1</v>
      </c>
      <c r="C5" s="53">
        <v>1</v>
      </c>
      <c r="D5" s="53">
        <v>22</v>
      </c>
      <c r="E5" s="53">
        <v>50</v>
      </c>
    </row>
    <row r="6" spans="1:6" x14ac:dyDescent="0.2">
      <c r="A6" s="42" t="s">
        <v>4</v>
      </c>
      <c r="B6" s="53">
        <v>1</v>
      </c>
      <c r="C6" s="53">
        <v>2</v>
      </c>
      <c r="D6" s="53">
        <v>93</v>
      </c>
      <c r="E6" s="53">
        <v>118</v>
      </c>
    </row>
    <row r="7" spans="1:6" x14ac:dyDescent="0.2">
      <c r="A7" s="42" t="s">
        <v>5</v>
      </c>
      <c r="B7" s="53">
        <v>0</v>
      </c>
      <c r="C7" s="53">
        <v>1</v>
      </c>
      <c r="D7" s="53">
        <v>8</v>
      </c>
      <c r="E7" s="53">
        <v>13</v>
      </c>
    </row>
    <row r="8" spans="1:6" x14ac:dyDescent="0.2">
      <c r="A8" s="42" t="s">
        <v>6</v>
      </c>
      <c r="B8" s="53">
        <v>30</v>
      </c>
      <c r="C8" s="53">
        <v>19</v>
      </c>
      <c r="D8" s="53">
        <v>936</v>
      </c>
      <c r="E8" s="53">
        <v>765</v>
      </c>
    </row>
    <row r="9" spans="1:6" x14ac:dyDescent="0.2">
      <c r="A9" s="42" t="s">
        <v>7</v>
      </c>
      <c r="B9" s="53">
        <v>1</v>
      </c>
      <c r="C9" s="53">
        <v>2</v>
      </c>
      <c r="D9" s="53">
        <v>79</v>
      </c>
      <c r="E9" s="53">
        <v>112</v>
      </c>
    </row>
    <row r="10" spans="1:6" x14ac:dyDescent="0.2">
      <c r="A10" s="42" t="s">
        <v>8</v>
      </c>
      <c r="B10" s="53">
        <v>0</v>
      </c>
      <c r="C10" s="53">
        <v>2</v>
      </c>
      <c r="D10" s="53">
        <v>34</v>
      </c>
      <c r="E10" s="53">
        <v>60</v>
      </c>
    </row>
    <row r="11" spans="1:6" x14ac:dyDescent="0.2">
      <c r="A11" s="42" t="s">
        <v>9</v>
      </c>
      <c r="B11" s="53">
        <v>62</v>
      </c>
      <c r="C11" s="53">
        <v>51</v>
      </c>
      <c r="D11" s="53">
        <v>1160</v>
      </c>
      <c r="E11" s="53">
        <v>1286</v>
      </c>
    </row>
    <row r="12" spans="1:6" x14ac:dyDescent="0.2">
      <c r="A12" s="42" t="s">
        <v>10</v>
      </c>
      <c r="B12" s="53">
        <v>0</v>
      </c>
      <c r="C12" s="53">
        <v>0</v>
      </c>
      <c r="D12" s="53">
        <v>116</v>
      </c>
      <c r="E12" s="53">
        <v>211</v>
      </c>
    </row>
    <row r="13" spans="1:6" x14ac:dyDescent="0.2">
      <c r="A13" s="42" t="s">
        <v>11</v>
      </c>
      <c r="B13" s="53">
        <v>1</v>
      </c>
      <c r="C13" s="53">
        <v>3</v>
      </c>
      <c r="D13" s="53">
        <v>99</v>
      </c>
      <c r="E13" s="53">
        <v>105</v>
      </c>
    </row>
    <row r="14" spans="1:6" x14ac:dyDescent="0.2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6" x14ac:dyDescent="0.2">
      <c r="A15" s="42" t="s">
        <v>13</v>
      </c>
      <c r="B15" s="53">
        <v>6</v>
      </c>
      <c r="C15" s="53">
        <v>3</v>
      </c>
      <c r="D15" s="53">
        <v>65</v>
      </c>
      <c r="E15" s="53">
        <v>74</v>
      </c>
    </row>
    <row r="16" spans="1:6" x14ac:dyDescent="0.2">
      <c r="A16" s="42" t="s">
        <v>14</v>
      </c>
      <c r="B16" s="53">
        <v>9</v>
      </c>
      <c r="C16" s="53">
        <v>14</v>
      </c>
      <c r="D16" s="53">
        <v>133</v>
      </c>
      <c r="E16" s="53">
        <v>130</v>
      </c>
    </row>
    <row r="17" spans="1:5" x14ac:dyDescent="0.2">
      <c r="A17" s="42" t="s">
        <v>15</v>
      </c>
      <c r="B17" s="53">
        <v>30</v>
      </c>
      <c r="C17" s="53">
        <v>32</v>
      </c>
      <c r="D17" s="53">
        <v>837</v>
      </c>
      <c r="E17" s="53">
        <v>860</v>
      </c>
    </row>
    <row r="18" spans="1:5" x14ac:dyDescent="0.2">
      <c r="A18" s="42" t="s">
        <v>16</v>
      </c>
      <c r="B18" s="53">
        <v>1</v>
      </c>
      <c r="C18" s="53">
        <v>0</v>
      </c>
      <c r="D18" s="53">
        <v>15</v>
      </c>
      <c r="E18" s="53">
        <v>25</v>
      </c>
    </row>
    <row r="19" spans="1:5" x14ac:dyDescent="0.2">
      <c r="A19" s="42" t="s">
        <v>17</v>
      </c>
      <c r="B19" s="53">
        <v>0</v>
      </c>
      <c r="C19" s="53">
        <v>3</v>
      </c>
      <c r="D19" s="53">
        <v>40</v>
      </c>
      <c r="E19" s="53">
        <v>62</v>
      </c>
    </row>
    <row r="20" spans="1:5" x14ac:dyDescent="0.2">
      <c r="A20" s="42" t="s">
        <v>18</v>
      </c>
      <c r="B20" s="53">
        <v>1</v>
      </c>
      <c r="C20" s="53">
        <v>1</v>
      </c>
      <c r="D20" s="53">
        <v>27</v>
      </c>
      <c r="E20" s="53">
        <v>40</v>
      </c>
    </row>
    <row r="21" spans="1:5" x14ac:dyDescent="0.2">
      <c r="A21" s="42" t="s">
        <v>19</v>
      </c>
      <c r="B21" s="53">
        <v>3</v>
      </c>
      <c r="C21" s="53">
        <v>3</v>
      </c>
      <c r="D21" s="53">
        <v>32</v>
      </c>
      <c r="E21" s="53">
        <v>55</v>
      </c>
    </row>
    <row r="22" spans="1:5" x14ac:dyDescent="0.2">
      <c r="A22" s="42" t="s">
        <v>20</v>
      </c>
      <c r="B22" s="53">
        <v>1</v>
      </c>
      <c r="C22" s="53">
        <v>4</v>
      </c>
      <c r="D22" s="53">
        <v>52</v>
      </c>
      <c r="E22" s="53">
        <v>56</v>
      </c>
    </row>
    <row r="23" spans="1:5" x14ac:dyDescent="0.2">
      <c r="A23" s="42" t="s">
        <v>21</v>
      </c>
      <c r="B23" s="53">
        <v>13</v>
      </c>
      <c r="C23" s="53">
        <v>13</v>
      </c>
      <c r="D23" s="53">
        <v>446</v>
      </c>
      <c r="E23" s="53">
        <v>520</v>
      </c>
    </row>
    <row r="24" spans="1:5" x14ac:dyDescent="0.2">
      <c r="A24" s="42" t="s">
        <v>22</v>
      </c>
      <c r="B24" s="53">
        <v>47</v>
      </c>
      <c r="C24" s="53">
        <v>13</v>
      </c>
      <c r="D24" s="53">
        <v>1021</v>
      </c>
      <c r="E24" s="53">
        <v>554</v>
      </c>
    </row>
    <row r="25" spans="1:5" x14ac:dyDescent="0.2">
      <c r="A25" s="42" t="s">
        <v>23</v>
      </c>
      <c r="B25" s="53">
        <v>38</v>
      </c>
      <c r="C25" s="53">
        <v>16</v>
      </c>
      <c r="D25" s="53">
        <v>857</v>
      </c>
      <c r="E25" s="53">
        <v>528</v>
      </c>
    </row>
    <row r="26" spans="1:5" x14ac:dyDescent="0.2">
      <c r="A26" s="42" t="s">
        <v>24</v>
      </c>
      <c r="B26" s="53">
        <v>1</v>
      </c>
      <c r="C26" s="53">
        <v>0</v>
      </c>
      <c r="D26" s="53">
        <v>8</v>
      </c>
      <c r="E26" s="53">
        <v>25</v>
      </c>
    </row>
    <row r="27" spans="1:5" x14ac:dyDescent="0.2">
      <c r="A27" s="42" t="s">
        <v>25</v>
      </c>
      <c r="B27" s="53">
        <v>5</v>
      </c>
      <c r="C27" s="53">
        <v>4</v>
      </c>
      <c r="D27" s="53">
        <v>226</v>
      </c>
      <c r="E27" s="53">
        <v>191</v>
      </c>
    </row>
    <row r="28" spans="1:5" x14ac:dyDescent="0.2">
      <c r="A28" s="42" t="s">
        <v>26</v>
      </c>
      <c r="B28" s="53">
        <v>5</v>
      </c>
      <c r="C28" s="53">
        <v>3</v>
      </c>
      <c r="D28" s="53">
        <v>80</v>
      </c>
      <c r="E28" s="53">
        <v>90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1</v>
      </c>
      <c r="E29" s="53">
        <v>1</v>
      </c>
    </row>
    <row r="30" spans="1:5" x14ac:dyDescent="0.2">
      <c r="A30" s="42" t="s">
        <v>28</v>
      </c>
      <c r="B30" s="53">
        <v>10</v>
      </c>
      <c r="C30" s="53">
        <v>3</v>
      </c>
      <c r="D30" s="53">
        <v>202</v>
      </c>
      <c r="E30" s="53">
        <v>314</v>
      </c>
    </row>
    <row r="31" spans="1:5" x14ac:dyDescent="0.2">
      <c r="A31" s="42" t="s">
        <v>29</v>
      </c>
      <c r="B31" s="53">
        <v>1</v>
      </c>
      <c r="C31" s="53">
        <v>0</v>
      </c>
      <c r="D31" s="53">
        <v>10</v>
      </c>
      <c r="E31" s="53">
        <v>15</v>
      </c>
    </row>
    <row r="32" spans="1:5" x14ac:dyDescent="0.2">
      <c r="A32" s="42" t="s">
        <v>30</v>
      </c>
      <c r="B32" s="53">
        <v>0</v>
      </c>
      <c r="C32" s="53">
        <v>0</v>
      </c>
      <c r="D32" s="53">
        <v>25</v>
      </c>
      <c r="E32" s="53">
        <v>20</v>
      </c>
    </row>
    <row r="33" spans="1:5" x14ac:dyDescent="0.2">
      <c r="A33" s="42" t="s">
        <v>31</v>
      </c>
      <c r="B33" s="53">
        <v>0</v>
      </c>
      <c r="C33" s="53">
        <v>0</v>
      </c>
      <c r="D33" s="53">
        <v>14</v>
      </c>
      <c r="E33" s="53">
        <v>19</v>
      </c>
    </row>
    <row r="34" spans="1:5" x14ac:dyDescent="0.2">
      <c r="A34" s="42" t="s">
        <v>32</v>
      </c>
      <c r="B34" s="53">
        <v>1</v>
      </c>
      <c r="C34" s="53">
        <v>1</v>
      </c>
      <c r="D34" s="53">
        <v>43</v>
      </c>
      <c r="E34" s="53">
        <v>46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16</v>
      </c>
      <c r="E36" s="53">
        <v>14</v>
      </c>
    </row>
    <row r="37" spans="1:5" x14ac:dyDescent="0.2">
      <c r="A37" s="42" t="s">
        <v>35</v>
      </c>
      <c r="B37" s="53">
        <v>8</v>
      </c>
      <c r="C37" s="53">
        <v>6</v>
      </c>
      <c r="D37" s="53">
        <v>324</v>
      </c>
      <c r="E37" s="53">
        <v>263</v>
      </c>
    </row>
    <row r="38" spans="1:5" x14ac:dyDescent="0.2">
      <c r="A38" s="42" t="s">
        <v>36</v>
      </c>
      <c r="B38" s="53">
        <v>19</v>
      </c>
      <c r="C38" s="53">
        <v>16</v>
      </c>
      <c r="D38" s="53">
        <v>951</v>
      </c>
      <c r="E38" s="53">
        <v>1082</v>
      </c>
    </row>
    <row r="39" spans="1:5" x14ac:dyDescent="0.2">
      <c r="A39" s="42" t="s">
        <v>37</v>
      </c>
      <c r="B39" s="53">
        <v>1</v>
      </c>
      <c r="C39" s="53">
        <v>0</v>
      </c>
      <c r="D39" s="53">
        <v>49</v>
      </c>
      <c r="E39" s="53">
        <v>57</v>
      </c>
    </row>
    <row r="40" spans="1:5" x14ac:dyDescent="0.2">
      <c r="A40" s="42" t="s">
        <v>38</v>
      </c>
      <c r="B40" s="53">
        <v>3</v>
      </c>
      <c r="C40" s="53">
        <v>7</v>
      </c>
      <c r="D40" s="53">
        <v>145</v>
      </c>
      <c r="E40" s="53">
        <v>157</v>
      </c>
    </row>
    <row r="41" spans="1:5" x14ac:dyDescent="0.2">
      <c r="A41" s="42" t="s">
        <v>39</v>
      </c>
      <c r="B41" s="53">
        <v>25</v>
      </c>
      <c r="C41" s="53">
        <v>19</v>
      </c>
      <c r="D41" s="53">
        <v>688</v>
      </c>
      <c r="E41" s="53">
        <v>487</v>
      </c>
    </row>
    <row r="42" spans="1:5" x14ac:dyDescent="0.2">
      <c r="A42" s="42" t="s">
        <v>40</v>
      </c>
      <c r="B42" s="53">
        <v>13</v>
      </c>
      <c r="C42" s="53">
        <v>7</v>
      </c>
      <c r="D42" s="53">
        <v>432</v>
      </c>
      <c r="E42" s="53">
        <v>343</v>
      </c>
    </row>
    <row r="43" spans="1:5" x14ac:dyDescent="0.2">
      <c r="A43" s="42" t="s">
        <v>41</v>
      </c>
      <c r="B43" s="53">
        <v>2</v>
      </c>
      <c r="C43" s="53">
        <v>9</v>
      </c>
      <c r="D43" s="53">
        <v>117</v>
      </c>
      <c r="E43" s="53">
        <v>163</v>
      </c>
    </row>
    <row r="44" spans="1:5" x14ac:dyDescent="0.2">
      <c r="A44" s="42" t="s">
        <v>42</v>
      </c>
      <c r="B44" s="53">
        <v>0</v>
      </c>
      <c r="C44" s="53">
        <v>0</v>
      </c>
      <c r="D44" s="53">
        <v>10</v>
      </c>
      <c r="E44" s="53">
        <v>14</v>
      </c>
    </row>
    <row r="45" spans="1:5" x14ac:dyDescent="0.2">
      <c r="A45" s="42" t="s">
        <v>43</v>
      </c>
      <c r="B45" s="53">
        <v>3</v>
      </c>
      <c r="C45" s="53">
        <v>2</v>
      </c>
      <c r="D45" s="53">
        <v>85</v>
      </c>
      <c r="E45" s="53">
        <v>86</v>
      </c>
    </row>
    <row r="46" spans="1:5" x14ac:dyDescent="0.2">
      <c r="A46" s="42" t="s">
        <v>44</v>
      </c>
      <c r="B46" s="53">
        <v>0</v>
      </c>
      <c r="C46" s="53">
        <v>0</v>
      </c>
      <c r="D46" s="53">
        <v>11</v>
      </c>
      <c r="E46" s="53">
        <v>28</v>
      </c>
    </row>
    <row r="47" spans="1:5" x14ac:dyDescent="0.2">
      <c r="A47" s="42" t="s">
        <v>45</v>
      </c>
      <c r="B47" s="53">
        <v>8</v>
      </c>
      <c r="C47" s="53">
        <v>6</v>
      </c>
      <c r="D47" s="53">
        <v>276</v>
      </c>
      <c r="E47" s="53">
        <v>212</v>
      </c>
    </row>
    <row r="48" spans="1:5" x14ac:dyDescent="0.2">
      <c r="A48" s="42" t="s">
        <v>46</v>
      </c>
      <c r="B48" s="53">
        <v>40</v>
      </c>
      <c r="C48" s="53">
        <v>32</v>
      </c>
      <c r="D48" s="53">
        <v>1604</v>
      </c>
      <c r="E48" s="53">
        <v>1297</v>
      </c>
    </row>
    <row r="49" spans="1:5" x14ac:dyDescent="0.2">
      <c r="A49" s="42" t="s">
        <v>47</v>
      </c>
      <c r="B49" s="53">
        <v>0</v>
      </c>
      <c r="C49" s="53">
        <v>0</v>
      </c>
      <c r="D49" s="53">
        <v>6</v>
      </c>
      <c r="E49" s="53">
        <v>10</v>
      </c>
    </row>
    <row r="50" spans="1:5" x14ac:dyDescent="0.2">
      <c r="A50" s="42" t="s">
        <v>48</v>
      </c>
      <c r="B50" s="53">
        <v>17</v>
      </c>
      <c r="C50" s="53">
        <v>12</v>
      </c>
      <c r="D50" s="53">
        <v>635</v>
      </c>
      <c r="E50" s="53">
        <v>495</v>
      </c>
    </row>
    <row r="51" spans="1:5" x14ac:dyDescent="0.2">
      <c r="A51" s="42" t="s">
        <v>49</v>
      </c>
      <c r="B51" s="53">
        <v>1</v>
      </c>
      <c r="C51" s="53">
        <v>0</v>
      </c>
      <c r="D51" s="53">
        <v>58</v>
      </c>
      <c r="E51" s="53">
        <v>67</v>
      </c>
    </row>
    <row r="52" spans="1:5" x14ac:dyDescent="0.2">
      <c r="A52" s="42" t="s">
        <v>50</v>
      </c>
      <c r="B52" s="53">
        <v>2</v>
      </c>
      <c r="C52" s="53">
        <v>1</v>
      </c>
      <c r="D52" s="53">
        <v>45</v>
      </c>
      <c r="E52" s="53">
        <v>76</v>
      </c>
    </row>
    <row r="53" spans="1:5" x14ac:dyDescent="0.2">
      <c r="A53" s="42" t="s">
        <v>51</v>
      </c>
      <c r="B53" s="53">
        <v>411</v>
      </c>
      <c r="C53" s="53">
        <v>59</v>
      </c>
      <c r="D53" s="53">
        <v>5747</v>
      </c>
      <c r="E53" s="53">
        <v>1391</v>
      </c>
    </row>
    <row r="54" spans="1:5" x14ac:dyDescent="0.2">
      <c r="A54" s="42" t="s">
        <v>52</v>
      </c>
      <c r="B54" s="53">
        <v>0</v>
      </c>
      <c r="C54" s="53">
        <v>4</v>
      </c>
      <c r="D54" s="53">
        <v>72</v>
      </c>
      <c r="E54" s="53">
        <v>94</v>
      </c>
    </row>
    <row r="55" spans="1:5" x14ac:dyDescent="0.2">
      <c r="A55" s="42" t="s">
        <v>53</v>
      </c>
      <c r="B55" s="53">
        <v>0</v>
      </c>
      <c r="C55" s="53">
        <v>1</v>
      </c>
      <c r="D55" s="53">
        <v>7</v>
      </c>
      <c r="E55" s="53">
        <v>14</v>
      </c>
    </row>
    <row r="56" spans="1:5" x14ac:dyDescent="0.2">
      <c r="A56" s="42" t="s">
        <v>54</v>
      </c>
      <c r="B56" s="53">
        <v>3</v>
      </c>
      <c r="C56" s="53">
        <v>2</v>
      </c>
      <c r="D56" s="53">
        <v>123</v>
      </c>
      <c r="E56" s="53">
        <v>151</v>
      </c>
    </row>
    <row r="57" spans="1:5" x14ac:dyDescent="0.2">
      <c r="A57" s="42" t="s">
        <v>55</v>
      </c>
      <c r="B57" s="53">
        <v>0</v>
      </c>
      <c r="C57" s="53">
        <v>0</v>
      </c>
      <c r="D57" s="53">
        <v>9</v>
      </c>
      <c r="E57" s="53">
        <v>13</v>
      </c>
    </row>
    <row r="58" spans="1:5" x14ac:dyDescent="0.2">
      <c r="A58" s="42" t="s">
        <v>56</v>
      </c>
      <c r="B58" s="53">
        <v>2</v>
      </c>
      <c r="C58" s="53">
        <v>3</v>
      </c>
      <c r="D58" s="53">
        <v>55</v>
      </c>
      <c r="E58" s="53">
        <v>73</v>
      </c>
    </row>
    <row r="59" spans="1:5" x14ac:dyDescent="0.2">
      <c r="A59" s="42" t="s">
        <v>57</v>
      </c>
      <c r="B59" s="53">
        <v>0</v>
      </c>
      <c r="C59" s="53">
        <v>0</v>
      </c>
      <c r="D59" s="53">
        <v>1</v>
      </c>
      <c r="E59" s="53">
        <v>8</v>
      </c>
    </row>
    <row r="60" spans="1:5" x14ac:dyDescent="0.2">
      <c r="A60" s="42" t="s">
        <v>58</v>
      </c>
      <c r="B60" s="53">
        <v>2</v>
      </c>
      <c r="C60" s="53">
        <v>0</v>
      </c>
      <c r="D60" s="53">
        <v>31</v>
      </c>
      <c r="E60" s="53">
        <v>37</v>
      </c>
    </row>
    <row r="61" spans="1:5" x14ac:dyDescent="0.2">
      <c r="A61" s="42" t="s">
        <v>59</v>
      </c>
      <c r="B61" s="53">
        <v>0</v>
      </c>
      <c r="C61" s="53">
        <v>0</v>
      </c>
      <c r="D61" s="53">
        <v>27</v>
      </c>
      <c r="E61" s="53">
        <v>41</v>
      </c>
    </row>
    <row r="62" spans="1:5" x14ac:dyDescent="0.2">
      <c r="A62" s="42" t="s">
        <v>60</v>
      </c>
      <c r="B62" s="53">
        <v>0</v>
      </c>
      <c r="C62" s="53">
        <v>0</v>
      </c>
      <c r="D62" s="53">
        <v>11</v>
      </c>
      <c r="E62" s="53">
        <v>31</v>
      </c>
    </row>
    <row r="63" spans="1:5" x14ac:dyDescent="0.2">
      <c r="A63" s="42" t="s">
        <v>61</v>
      </c>
      <c r="B63" s="53">
        <v>1</v>
      </c>
      <c r="C63" s="53">
        <v>1</v>
      </c>
      <c r="D63" s="53">
        <v>38</v>
      </c>
      <c r="E63" s="53">
        <v>56</v>
      </c>
    </row>
    <row r="64" spans="1:5" x14ac:dyDescent="0.2">
      <c r="A64" s="42" t="s">
        <v>62</v>
      </c>
      <c r="B64" s="53">
        <v>0</v>
      </c>
      <c r="C64" s="53">
        <v>2</v>
      </c>
      <c r="D64" s="53">
        <v>21</v>
      </c>
      <c r="E64" s="53">
        <v>42</v>
      </c>
    </row>
    <row r="65" spans="1:5" x14ac:dyDescent="0.2">
      <c r="A65" s="42" t="s">
        <v>63</v>
      </c>
      <c r="B65" s="53">
        <v>6</v>
      </c>
      <c r="C65" s="53">
        <v>2</v>
      </c>
      <c r="D65" s="53">
        <v>166</v>
      </c>
      <c r="E65" s="53">
        <v>196</v>
      </c>
    </row>
    <row r="66" spans="1:5" x14ac:dyDescent="0.2">
      <c r="A66" s="42" t="s">
        <v>64</v>
      </c>
      <c r="B66" s="53">
        <v>0</v>
      </c>
      <c r="C66" s="53">
        <v>2</v>
      </c>
      <c r="D66" s="53">
        <v>40</v>
      </c>
      <c r="E66" s="53">
        <v>41</v>
      </c>
    </row>
    <row r="67" spans="1:5" x14ac:dyDescent="0.2">
      <c r="A67" s="42" t="s">
        <v>65</v>
      </c>
      <c r="B67" s="53">
        <v>4</v>
      </c>
      <c r="C67" s="53">
        <v>10</v>
      </c>
      <c r="D67" s="53">
        <v>285</v>
      </c>
      <c r="E67" s="53">
        <v>318</v>
      </c>
    </row>
    <row r="68" spans="1:5" x14ac:dyDescent="0.2">
      <c r="A68" s="42" t="s">
        <v>66</v>
      </c>
      <c r="B68" s="53">
        <v>1</v>
      </c>
      <c r="C68" s="53">
        <v>0</v>
      </c>
      <c r="D68" s="53">
        <v>28</v>
      </c>
      <c r="E68" s="53">
        <v>49</v>
      </c>
    </row>
    <row r="69" spans="1:5" x14ac:dyDescent="0.2">
      <c r="A69" s="42" t="s">
        <v>67</v>
      </c>
      <c r="B69" s="53">
        <v>29</v>
      </c>
      <c r="C69" s="53">
        <v>25</v>
      </c>
      <c r="D69" s="53">
        <v>894</v>
      </c>
      <c r="E69" s="53">
        <v>911</v>
      </c>
    </row>
    <row r="70" spans="1:5" x14ac:dyDescent="0.2">
      <c r="A70" s="39" t="s">
        <v>68</v>
      </c>
      <c r="B70" s="43">
        <f>SUM(B3:B69)</f>
        <v>956</v>
      </c>
      <c r="C70" s="43">
        <f>SUM(C3:C69)</f>
        <v>456</v>
      </c>
      <c r="D70" s="43">
        <f t="shared" ref="D70:E70" si="0">SUM(D3:D69)</f>
        <v>21776</v>
      </c>
      <c r="E70" s="43">
        <f t="shared" si="0"/>
        <v>15996</v>
      </c>
    </row>
    <row r="71" spans="1:5" x14ac:dyDescent="0.2">
      <c r="D71" s="91"/>
      <c r="E71" s="91"/>
    </row>
    <row r="72" spans="1:5" x14ac:dyDescent="0.2">
      <c r="B72" s="29"/>
      <c r="C72" s="29"/>
      <c r="D72" s="29"/>
      <c r="E72" s="29"/>
    </row>
    <row r="73" spans="1:5" x14ac:dyDescent="0.2">
      <c r="D73" s="91"/>
      <c r="E73" s="91"/>
    </row>
    <row r="74" spans="1:5" x14ac:dyDescent="0.2">
      <c r="D74" s="91"/>
      <c r="E74" s="91"/>
    </row>
    <row r="75" spans="1:5" x14ac:dyDescent="0.2">
      <c r="B75" s="29"/>
      <c r="D75" s="91"/>
      <c r="E75" s="91"/>
    </row>
    <row r="76" spans="1:5" x14ac:dyDescent="0.2">
      <c r="B76" s="29"/>
      <c r="D76" s="91"/>
      <c r="E76" s="91"/>
    </row>
    <row r="77" spans="1:5" x14ac:dyDescent="0.2">
      <c r="B77" s="29"/>
      <c r="D77" s="91"/>
      <c r="E77" s="91"/>
    </row>
    <row r="78" spans="1:5" x14ac:dyDescent="0.2">
      <c r="B78" s="29"/>
      <c r="D78" s="91"/>
      <c r="E78" s="91"/>
    </row>
    <row r="79" spans="1:5" x14ac:dyDescent="0.2">
      <c r="D79" s="91"/>
      <c r="E79" s="91"/>
    </row>
    <row r="80" spans="1:5" x14ac:dyDescent="0.2">
      <c r="D80" s="91"/>
      <c r="E80" s="91"/>
    </row>
    <row r="81" spans="4:5" x14ac:dyDescent="0.2">
      <c r="D81" s="91"/>
      <c r="E81" s="91"/>
    </row>
    <row r="82" spans="4:5" x14ac:dyDescent="0.2">
      <c r="D82" s="91"/>
      <c r="E82" s="91"/>
    </row>
    <row r="83" spans="4:5" x14ac:dyDescent="0.2">
      <c r="D83" s="91"/>
      <c r="E83" s="91"/>
    </row>
    <row r="84" spans="4:5" x14ac:dyDescent="0.2">
      <c r="D84" s="91"/>
      <c r="E84" s="91"/>
    </row>
    <row r="85" spans="4:5" x14ac:dyDescent="0.2">
      <c r="D85" s="91"/>
      <c r="E85" s="91"/>
    </row>
    <row r="86" spans="4:5" x14ac:dyDescent="0.2">
      <c r="D86" s="91"/>
      <c r="E86" s="91"/>
    </row>
    <row r="87" spans="4:5" x14ac:dyDescent="0.2">
      <c r="D87" s="91"/>
      <c r="E87" s="91"/>
    </row>
    <row r="88" spans="4:5" x14ac:dyDescent="0.2">
      <c r="D88" s="91"/>
      <c r="E88" s="91"/>
    </row>
    <row r="89" spans="4:5" x14ac:dyDescent="0.2">
      <c r="D89" s="91"/>
      <c r="E89" s="91"/>
    </row>
    <row r="90" spans="4:5" x14ac:dyDescent="0.2">
      <c r="D90" s="91"/>
      <c r="E90" s="91"/>
    </row>
    <row r="91" spans="4:5" x14ac:dyDescent="0.2">
      <c r="D91" s="91"/>
      <c r="E91" s="91"/>
    </row>
    <row r="92" spans="4:5" x14ac:dyDescent="0.2">
      <c r="D92" s="91"/>
      <c r="E92" s="91"/>
    </row>
    <row r="93" spans="4:5" x14ac:dyDescent="0.2">
      <c r="D93" s="91"/>
      <c r="E93" s="91"/>
    </row>
    <row r="94" spans="4:5" x14ac:dyDescent="0.2">
      <c r="D94" s="91"/>
      <c r="E94" s="91"/>
    </row>
    <row r="95" spans="4:5" x14ac:dyDescent="0.2">
      <c r="D95" s="91"/>
      <c r="E95" s="91"/>
    </row>
    <row r="96" spans="4:5" x14ac:dyDescent="0.2">
      <c r="D96" s="91"/>
      <c r="E96" s="91"/>
    </row>
    <row r="97" spans="4:5" x14ac:dyDescent="0.2">
      <c r="D97" s="91"/>
      <c r="E97" s="91"/>
    </row>
    <row r="98" spans="4:5" x14ac:dyDescent="0.2">
      <c r="D98" s="91"/>
      <c r="E98" s="91"/>
    </row>
    <row r="99" spans="4:5" x14ac:dyDescent="0.2">
      <c r="D99" s="91"/>
      <c r="E99" s="91"/>
    </row>
    <row r="100" spans="4:5" x14ac:dyDescent="0.2">
      <c r="D100" s="91"/>
      <c r="E100" s="91"/>
    </row>
    <row r="101" spans="4:5" x14ac:dyDescent="0.2">
      <c r="D101" s="91"/>
      <c r="E101" s="91"/>
    </row>
    <row r="102" spans="4:5" x14ac:dyDescent="0.2">
      <c r="D102" s="91"/>
      <c r="E102" s="91"/>
    </row>
    <row r="103" spans="4:5" x14ac:dyDescent="0.2">
      <c r="D103" s="91"/>
      <c r="E103" s="91"/>
    </row>
    <row r="104" spans="4:5" x14ac:dyDescent="0.2">
      <c r="D104" s="91"/>
      <c r="E104" s="91"/>
    </row>
    <row r="105" spans="4:5" x14ac:dyDescent="0.2">
      <c r="D105" s="91"/>
      <c r="E105" s="91"/>
    </row>
    <row r="106" spans="4:5" x14ac:dyDescent="0.2">
      <c r="D106" s="91"/>
      <c r="E106" s="91"/>
    </row>
    <row r="107" spans="4:5" x14ac:dyDescent="0.2">
      <c r="D107" s="91"/>
      <c r="E107" s="91"/>
    </row>
    <row r="108" spans="4:5" x14ac:dyDescent="0.2">
      <c r="D108" s="91"/>
      <c r="E108" s="91"/>
    </row>
    <row r="109" spans="4:5" x14ac:dyDescent="0.2">
      <c r="D109" s="91"/>
      <c r="E109" s="91"/>
    </row>
    <row r="110" spans="4:5" x14ac:dyDescent="0.2">
      <c r="D110" s="91"/>
      <c r="E110" s="91"/>
    </row>
    <row r="111" spans="4:5" x14ac:dyDescent="0.2">
      <c r="D111" s="91"/>
      <c r="E111" s="91"/>
    </row>
    <row r="112" spans="4:5" x14ac:dyDescent="0.2">
      <c r="D112" s="91"/>
      <c r="E112" s="91"/>
    </row>
    <row r="113" spans="4:5" x14ac:dyDescent="0.2">
      <c r="D113" s="91"/>
      <c r="E113" s="91"/>
    </row>
    <row r="114" spans="4:5" x14ac:dyDescent="0.2">
      <c r="D114" s="91"/>
      <c r="E114" s="91"/>
    </row>
    <row r="115" spans="4:5" x14ac:dyDescent="0.2">
      <c r="D115" s="91"/>
      <c r="E115" s="91"/>
    </row>
    <row r="116" spans="4:5" x14ac:dyDescent="0.2">
      <c r="D116" s="91"/>
      <c r="E116" s="91"/>
    </row>
    <row r="117" spans="4:5" x14ac:dyDescent="0.2">
      <c r="D117" s="91"/>
      <c r="E117" s="91"/>
    </row>
    <row r="118" spans="4:5" x14ac:dyDescent="0.2">
      <c r="D118" s="91"/>
      <c r="E118" s="91"/>
    </row>
    <row r="119" spans="4:5" x14ac:dyDescent="0.2">
      <c r="D119" s="91"/>
      <c r="E119" s="91"/>
    </row>
    <row r="120" spans="4:5" x14ac:dyDescent="0.2">
      <c r="D120" s="91"/>
      <c r="E120" s="91"/>
    </row>
    <row r="121" spans="4:5" x14ac:dyDescent="0.2">
      <c r="D121" s="91"/>
      <c r="E121" s="91"/>
    </row>
    <row r="122" spans="4:5" x14ac:dyDescent="0.2">
      <c r="D122" s="91"/>
      <c r="E122" s="91"/>
    </row>
    <row r="123" spans="4:5" x14ac:dyDescent="0.2">
      <c r="D123" s="91"/>
      <c r="E123" s="91"/>
    </row>
    <row r="124" spans="4:5" x14ac:dyDescent="0.2">
      <c r="D124" s="91"/>
      <c r="E124" s="91"/>
    </row>
    <row r="125" spans="4:5" x14ac:dyDescent="0.2">
      <c r="D125" s="91"/>
      <c r="E125" s="91"/>
    </row>
    <row r="126" spans="4:5" x14ac:dyDescent="0.2">
      <c r="D126" s="91"/>
      <c r="E126" s="91"/>
    </row>
    <row r="127" spans="4:5" x14ac:dyDescent="0.2">
      <c r="D127" s="91"/>
      <c r="E127" s="91"/>
    </row>
    <row r="128" spans="4:5" x14ac:dyDescent="0.2">
      <c r="D128" s="91"/>
      <c r="E128" s="91"/>
    </row>
    <row r="129" spans="4:5" x14ac:dyDescent="0.2">
      <c r="D129" s="91"/>
      <c r="E129" s="91"/>
    </row>
    <row r="130" spans="4:5" x14ac:dyDescent="0.2">
      <c r="D130" s="91"/>
      <c r="E130" s="91"/>
    </row>
    <row r="131" spans="4:5" x14ac:dyDescent="0.2">
      <c r="D131" s="91"/>
      <c r="E131" s="91"/>
    </row>
    <row r="132" spans="4:5" x14ac:dyDescent="0.2">
      <c r="D132" s="91"/>
      <c r="E132" s="91"/>
    </row>
    <row r="133" spans="4:5" x14ac:dyDescent="0.2">
      <c r="D133" s="91"/>
      <c r="E133" s="91"/>
    </row>
    <row r="134" spans="4:5" x14ac:dyDescent="0.2">
      <c r="D134" s="91"/>
      <c r="E134" s="91"/>
    </row>
    <row r="135" spans="4:5" x14ac:dyDescent="0.2">
      <c r="D135" s="91"/>
      <c r="E135" s="91"/>
    </row>
    <row r="136" spans="4:5" x14ac:dyDescent="0.2">
      <c r="D136" s="91"/>
      <c r="E136" s="91"/>
    </row>
    <row r="137" spans="4:5" x14ac:dyDescent="0.2">
      <c r="D137" s="92"/>
      <c r="E137" s="92"/>
    </row>
    <row r="138" spans="4:5" ht="15" x14ac:dyDescent="0.2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2" t="s">
        <v>97</v>
      </c>
      <c r="C1" s="82"/>
      <c r="D1" s="84" t="s">
        <v>98</v>
      </c>
      <c r="E1" s="84"/>
      <c r="F1" s="51" t="s">
        <v>96</v>
      </c>
      <c r="G1" s="82" t="s">
        <v>100</v>
      </c>
      <c r="H1" s="82"/>
      <c r="I1" s="82"/>
      <c r="J1" s="84" t="s">
        <v>101</v>
      </c>
      <c r="K1" s="84"/>
      <c r="L1" s="82" t="s">
        <v>105</v>
      </c>
      <c r="M1" s="82"/>
      <c r="N1" s="84" t="s">
        <v>106</v>
      </c>
      <c r="O1" s="84"/>
      <c r="P1" s="82" t="s">
        <v>107</v>
      </c>
      <c r="Q1" s="82"/>
      <c r="R1" s="82" t="s">
        <v>110</v>
      </c>
      <c r="S1" s="82"/>
      <c r="T1" s="82" t="s">
        <v>112</v>
      </c>
      <c r="U1" s="82"/>
      <c r="V1" s="82" t="s">
        <v>113</v>
      </c>
      <c r="W1" s="82"/>
      <c r="X1" s="88" t="s">
        <v>117</v>
      </c>
      <c r="Y1" s="88"/>
      <c r="Z1" s="95" t="s">
        <v>119</v>
      </c>
      <c r="AA1" s="96"/>
      <c r="AB1" s="95" t="s">
        <v>124</v>
      </c>
      <c r="AC1" s="96"/>
      <c r="AD1" s="95" t="s">
        <v>125</v>
      </c>
      <c r="AE1" s="96"/>
      <c r="AF1" s="84" t="s">
        <v>128</v>
      </c>
      <c r="AG1" s="84"/>
      <c r="AH1" s="84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91"/>
      <c r="AA71" s="91"/>
    </row>
    <row r="72" spans="1:34" x14ac:dyDescent="0.2">
      <c r="Z72" s="29"/>
      <c r="AA72" s="29"/>
    </row>
    <row r="73" spans="1:34" x14ac:dyDescent="0.2">
      <c r="Z73" s="91"/>
      <c r="AA73" s="91"/>
    </row>
    <row r="74" spans="1:34" x14ac:dyDescent="0.2">
      <c r="Z74" s="91"/>
      <c r="AA74" s="91"/>
    </row>
    <row r="75" spans="1:34" x14ac:dyDescent="0.2">
      <c r="Z75" s="91"/>
      <c r="AA75" s="91"/>
    </row>
    <row r="76" spans="1:34" x14ac:dyDescent="0.2">
      <c r="Z76" s="91"/>
      <c r="AA76" s="91"/>
    </row>
    <row r="77" spans="1:34" x14ac:dyDescent="0.2">
      <c r="Z77" s="91"/>
      <c r="AA77" s="91"/>
    </row>
    <row r="78" spans="1:34" x14ac:dyDescent="0.2">
      <c r="Z78" s="91"/>
      <c r="AA78" s="91"/>
    </row>
    <row r="79" spans="1:34" x14ac:dyDescent="0.2">
      <c r="Z79" s="91"/>
      <c r="AA79" s="91"/>
    </row>
    <row r="80" spans="1:34" x14ac:dyDescent="0.2">
      <c r="Z80" s="91"/>
      <c r="AA80" s="91"/>
    </row>
    <row r="81" spans="26:27" x14ac:dyDescent="0.2">
      <c r="Z81" s="91"/>
      <c r="AA81" s="91"/>
    </row>
    <row r="82" spans="26:27" x14ac:dyDescent="0.2">
      <c r="Z82" s="91"/>
      <c r="AA82" s="91"/>
    </row>
    <row r="83" spans="26:27" x14ac:dyDescent="0.2">
      <c r="Z83" s="91"/>
      <c r="AA83" s="91"/>
    </row>
    <row r="84" spans="26:27" x14ac:dyDescent="0.2">
      <c r="Z84" s="91"/>
      <c r="AA84" s="91"/>
    </row>
    <row r="85" spans="26:27" x14ac:dyDescent="0.2">
      <c r="Z85" s="91"/>
      <c r="AA85" s="91"/>
    </row>
    <row r="86" spans="26:27" x14ac:dyDescent="0.2">
      <c r="Z86" s="91"/>
      <c r="AA86" s="91"/>
    </row>
    <row r="87" spans="26:27" x14ac:dyDescent="0.2">
      <c r="Z87" s="91"/>
      <c r="AA87" s="91"/>
    </row>
    <row r="88" spans="26:27" x14ac:dyDescent="0.2">
      <c r="Z88" s="91"/>
      <c r="AA88" s="91"/>
    </row>
    <row r="89" spans="26:27" x14ac:dyDescent="0.2">
      <c r="Z89" s="91"/>
      <c r="AA89" s="91"/>
    </row>
    <row r="90" spans="26:27" x14ac:dyDescent="0.2">
      <c r="Z90" s="91"/>
      <c r="AA90" s="91"/>
    </row>
    <row r="91" spans="26:27" x14ac:dyDescent="0.2">
      <c r="Z91" s="91"/>
      <c r="AA91" s="91"/>
    </row>
    <row r="92" spans="26:27" x14ac:dyDescent="0.2">
      <c r="Z92" s="91"/>
      <c r="AA92" s="91"/>
    </row>
    <row r="93" spans="26:27" x14ac:dyDescent="0.2">
      <c r="Z93" s="91"/>
      <c r="AA93" s="91"/>
    </row>
    <row r="94" spans="26:27" x14ac:dyDescent="0.2">
      <c r="Z94" s="91"/>
      <c r="AA94" s="91"/>
    </row>
    <row r="95" spans="26:27" x14ac:dyDescent="0.2">
      <c r="Z95" s="91"/>
      <c r="AA95" s="91"/>
    </row>
    <row r="96" spans="26:27" x14ac:dyDescent="0.2">
      <c r="Z96" s="91"/>
      <c r="AA96" s="91"/>
    </row>
    <row r="97" spans="26:27" x14ac:dyDescent="0.2">
      <c r="Z97" s="91"/>
      <c r="AA97" s="91"/>
    </row>
    <row r="98" spans="26:27" x14ac:dyDescent="0.2">
      <c r="Z98" s="91"/>
      <c r="AA98" s="91"/>
    </row>
    <row r="99" spans="26:27" x14ac:dyDescent="0.2">
      <c r="Z99" s="91"/>
      <c r="AA99" s="91"/>
    </row>
    <row r="100" spans="26:27" x14ac:dyDescent="0.2">
      <c r="Z100" s="91"/>
      <c r="AA100" s="91"/>
    </row>
    <row r="101" spans="26:27" x14ac:dyDescent="0.2">
      <c r="Z101" s="91"/>
      <c r="AA101" s="91"/>
    </row>
    <row r="102" spans="26:27" x14ac:dyDescent="0.2">
      <c r="Z102" s="91"/>
      <c r="AA102" s="91"/>
    </row>
    <row r="103" spans="26:27" x14ac:dyDescent="0.2">
      <c r="Z103" s="91"/>
      <c r="AA103" s="91"/>
    </row>
    <row r="104" spans="26:27" x14ac:dyDescent="0.2">
      <c r="Z104" s="91"/>
      <c r="AA104" s="91"/>
    </row>
    <row r="105" spans="26:27" x14ac:dyDescent="0.2">
      <c r="Z105" s="91"/>
      <c r="AA105" s="91"/>
    </row>
    <row r="106" spans="26:27" x14ac:dyDescent="0.2">
      <c r="Z106" s="91"/>
      <c r="AA106" s="91"/>
    </row>
    <row r="107" spans="26:27" x14ac:dyDescent="0.2">
      <c r="Z107" s="91"/>
      <c r="AA107" s="91"/>
    </row>
    <row r="108" spans="26:27" x14ac:dyDescent="0.2">
      <c r="Z108" s="91"/>
      <c r="AA108" s="91"/>
    </row>
    <row r="109" spans="26:27" x14ac:dyDescent="0.2">
      <c r="Z109" s="91"/>
      <c r="AA109" s="91"/>
    </row>
    <row r="110" spans="26:27" x14ac:dyDescent="0.2">
      <c r="Z110" s="91"/>
      <c r="AA110" s="91"/>
    </row>
    <row r="111" spans="26:27" x14ac:dyDescent="0.2">
      <c r="Z111" s="91"/>
      <c r="AA111" s="91"/>
    </row>
    <row r="112" spans="26:27" x14ac:dyDescent="0.2">
      <c r="Z112" s="91"/>
      <c r="AA112" s="91"/>
    </row>
    <row r="113" spans="26:27" x14ac:dyDescent="0.2">
      <c r="Z113" s="91"/>
      <c r="AA113" s="91"/>
    </row>
    <row r="114" spans="26:27" x14ac:dyDescent="0.2">
      <c r="Z114" s="91"/>
      <c r="AA114" s="91"/>
    </row>
    <row r="115" spans="26:27" x14ac:dyDescent="0.2">
      <c r="Z115" s="91"/>
      <c r="AA115" s="91"/>
    </row>
    <row r="116" spans="26:27" x14ac:dyDescent="0.2">
      <c r="Z116" s="91"/>
      <c r="AA116" s="91"/>
    </row>
    <row r="117" spans="26:27" x14ac:dyDescent="0.2">
      <c r="Z117" s="91"/>
      <c r="AA117" s="91"/>
    </row>
    <row r="118" spans="26:27" x14ac:dyDescent="0.2">
      <c r="Z118" s="91"/>
      <c r="AA118" s="91"/>
    </row>
    <row r="119" spans="26:27" x14ac:dyDescent="0.2">
      <c r="Z119" s="91"/>
      <c r="AA119" s="91"/>
    </row>
    <row r="120" spans="26:27" x14ac:dyDescent="0.2">
      <c r="Z120" s="91"/>
      <c r="AA120" s="91"/>
    </row>
    <row r="121" spans="26:27" x14ac:dyDescent="0.2">
      <c r="Z121" s="91"/>
      <c r="AA121" s="91"/>
    </row>
    <row r="122" spans="26:27" x14ac:dyDescent="0.2">
      <c r="Z122" s="91"/>
      <c r="AA122" s="91"/>
    </row>
    <row r="123" spans="26:27" x14ac:dyDescent="0.2">
      <c r="Z123" s="91"/>
      <c r="AA123" s="91"/>
    </row>
    <row r="124" spans="26:27" x14ac:dyDescent="0.2">
      <c r="Z124" s="91"/>
      <c r="AA124" s="91"/>
    </row>
    <row r="125" spans="26:27" x14ac:dyDescent="0.2">
      <c r="Z125" s="91"/>
      <c r="AA125" s="91"/>
    </row>
    <row r="126" spans="26:27" x14ac:dyDescent="0.2">
      <c r="Z126" s="91"/>
      <c r="AA126" s="91"/>
    </row>
    <row r="127" spans="26:27" x14ac:dyDescent="0.2">
      <c r="Z127" s="91"/>
      <c r="AA127" s="91"/>
    </row>
    <row r="128" spans="26:27" x14ac:dyDescent="0.2">
      <c r="Z128" s="91"/>
      <c r="AA128" s="91"/>
    </row>
    <row r="129" spans="26:27" x14ac:dyDescent="0.2">
      <c r="Z129" s="91"/>
      <c r="AA129" s="91"/>
    </row>
    <row r="130" spans="26:27" x14ac:dyDescent="0.2">
      <c r="Z130" s="91"/>
      <c r="AA130" s="91"/>
    </row>
    <row r="131" spans="26:27" x14ac:dyDescent="0.2">
      <c r="Z131" s="91"/>
      <c r="AA131" s="91"/>
    </row>
    <row r="132" spans="26:27" x14ac:dyDescent="0.2">
      <c r="Z132" s="91"/>
      <c r="AA132" s="91"/>
    </row>
    <row r="133" spans="26:27" x14ac:dyDescent="0.2">
      <c r="Z133" s="91"/>
      <c r="AA133" s="91"/>
    </row>
    <row r="134" spans="26:27" x14ac:dyDescent="0.2">
      <c r="Z134" s="91"/>
      <c r="AA134" s="91"/>
    </row>
    <row r="135" spans="26:27" x14ac:dyDescent="0.2">
      <c r="Z135" s="91"/>
      <c r="AA135" s="91"/>
    </row>
    <row r="136" spans="26:27" x14ac:dyDescent="0.2">
      <c r="Z136" s="91"/>
      <c r="AA136" s="91"/>
    </row>
    <row r="137" spans="26:27" x14ac:dyDescent="0.2">
      <c r="Z137" s="92"/>
      <c r="AA137" s="92"/>
    </row>
    <row r="138" spans="26:27" ht="15" x14ac:dyDescent="0.2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4" sqref="I4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9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9" x14ac:dyDescent="0.2">
      <c r="A2" s="11" t="s">
        <v>1</v>
      </c>
      <c r="B2" s="11">
        <v>6303</v>
      </c>
      <c r="C2" s="11">
        <v>10632</v>
      </c>
      <c r="D2" s="11">
        <v>10892</v>
      </c>
      <c r="E2" s="11">
        <v>10048</v>
      </c>
      <c r="F2" s="11">
        <v>13715</v>
      </c>
      <c r="G2" s="11">
        <v>14060</v>
      </c>
      <c r="H2" s="11">
        <v>10956</v>
      </c>
    </row>
    <row r="3" spans="1:9" x14ac:dyDescent="0.2">
      <c r="A3" s="11" t="s">
        <v>2</v>
      </c>
      <c r="B3" s="11">
        <v>79564</v>
      </c>
      <c r="C3" s="11">
        <v>172238</v>
      </c>
      <c r="D3" s="11">
        <v>161904</v>
      </c>
      <c r="E3" s="11">
        <v>123363</v>
      </c>
      <c r="F3" s="11">
        <v>131652</v>
      </c>
      <c r="G3" s="11">
        <v>139417</v>
      </c>
      <c r="H3" s="11">
        <v>108880</v>
      </c>
      <c r="I3" s="11" t="s">
        <v>115</v>
      </c>
    </row>
    <row r="4" spans="1:9" x14ac:dyDescent="0.2">
      <c r="A4" s="11" t="s">
        <v>3</v>
      </c>
      <c r="B4" s="11">
        <v>3125</v>
      </c>
      <c r="C4" s="11">
        <v>5619</v>
      </c>
      <c r="D4" s="11">
        <v>6140</v>
      </c>
      <c r="E4" s="11">
        <v>6391</v>
      </c>
      <c r="F4" s="11">
        <v>7723</v>
      </c>
      <c r="G4" s="11">
        <v>8245</v>
      </c>
      <c r="H4" s="11">
        <v>6358</v>
      </c>
    </row>
    <row r="5" spans="1:9" x14ac:dyDescent="0.2">
      <c r="A5" s="11" t="s">
        <v>4</v>
      </c>
      <c r="B5" s="11">
        <v>7535</v>
      </c>
      <c r="C5" s="11">
        <v>16066</v>
      </c>
      <c r="D5" s="11">
        <v>17893</v>
      </c>
      <c r="E5" s="11">
        <v>16273</v>
      </c>
      <c r="F5" s="11">
        <v>19567</v>
      </c>
      <c r="G5" s="11">
        <v>21012</v>
      </c>
      <c r="H5" s="11">
        <v>15747</v>
      </c>
    </row>
    <row r="6" spans="1:9" x14ac:dyDescent="0.2">
      <c r="A6" s="11" t="s">
        <v>5</v>
      </c>
      <c r="B6" s="11">
        <v>2242</v>
      </c>
      <c r="C6" s="11">
        <v>4238</v>
      </c>
      <c r="D6" s="11">
        <v>4457</v>
      </c>
      <c r="E6" s="11">
        <v>4785</v>
      </c>
      <c r="F6" s="11">
        <v>6051</v>
      </c>
      <c r="G6" s="11">
        <v>6357</v>
      </c>
      <c r="H6" s="11">
        <v>4907</v>
      </c>
    </row>
    <row r="7" spans="1:9" x14ac:dyDescent="0.2">
      <c r="A7" s="11" t="s">
        <v>6</v>
      </c>
      <c r="B7" s="11">
        <v>23433</v>
      </c>
      <c r="C7" s="11">
        <v>41880</v>
      </c>
      <c r="D7" s="11">
        <v>43994</v>
      </c>
      <c r="E7" s="11">
        <v>40624</v>
      </c>
      <c r="F7" s="11">
        <v>47605</v>
      </c>
      <c r="G7" s="11">
        <v>42959</v>
      </c>
      <c r="H7" s="11">
        <v>33746</v>
      </c>
    </row>
    <row r="8" spans="1:9" x14ac:dyDescent="0.2">
      <c r="A8" s="11" t="s">
        <v>7</v>
      </c>
      <c r="B8" s="11">
        <v>6232</v>
      </c>
      <c r="C8" s="11">
        <v>11296</v>
      </c>
      <c r="D8" s="11">
        <v>12285</v>
      </c>
      <c r="E8" s="11">
        <v>12191</v>
      </c>
      <c r="F8" s="11">
        <v>13617</v>
      </c>
      <c r="G8" s="11">
        <v>13985</v>
      </c>
      <c r="H8" s="11">
        <v>11934</v>
      </c>
    </row>
    <row r="9" spans="1:9" x14ac:dyDescent="0.2">
      <c r="A9" s="11" t="s">
        <v>8</v>
      </c>
      <c r="B9" s="11">
        <v>2920</v>
      </c>
      <c r="C9" s="11">
        <v>5294</v>
      </c>
      <c r="D9" s="11">
        <v>5749</v>
      </c>
      <c r="E9" s="11">
        <v>5387</v>
      </c>
      <c r="F9" s="11">
        <v>6984</v>
      </c>
      <c r="G9" s="11">
        <v>6895</v>
      </c>
      <c r="H9" s="11">
        <v>5645</v>
      </c>
    </row>
    <row r="10" spans="1:9" x14ac:dyDescent="0.2">
      <c r="A10" s="11" t="s">
        <v>9</v>
      </c>
      <c r="B10" s="11">
        <v>39540</v>
      </c>
      <c r="C10" s="11">
        <v>68344</v>
      </c>
      <c r="D10" s="11">
        <v>73716</v>
      </c>
      <c r="E10" s="11">
        <v>71048</v>
      </c>
      <c r="F10" s="11">
        <v>86715</v>
      </c>
      <c r="G10" s="11">
        <v>82349</v>
      </c>
      <c r="H10" s="11">
        <v>62684</v>
      </c>
    </row>
    <row r="11" spans="1:9" x14ac:dyDescent="0.2">
      <c r="A11" s="11" t="s">
        <v>10</v>
      </c>
      <c r="B11" s="11">
        <v>11057</v>
      </c>
      <c r="C11" s="11">
        <v>20455</v>
      </c>
      <c r="D11" s="11">
        <v>22541</v>
      </c>
      <c r="E11" s="11">
        <v>20840</v>
      </c>
      <c r="F11" s="11">
        <v>25036</v>
      </c>
      <c r="G11" s="11">
        <v>24598</v>
      </c>
      <c r="H11" s="11">
        <v>18917</v>
      </c>
    </row>
    <row r="12" spans="1:9" x14ac:dyDescent="0.2">
      <c r="A12" s="11" t="s">
        <v>11</v>
      </c>
      <c r="B12" s="11">
        <v>6266</v>
      </c>
      <c r="C12" s="11">
        <v>11176</v>
      </c>
      <c r="D12" s="11">
        <v>12039</v>
      </c>
      <c r="E12" s="11">
        <v>12611</v>
      </c>
      <c r="F12" s="11">
        <v>14473</v>
      </c>
      <c r="G12" s="11">
        <v>16343</v>
      </c>
      <c r="H12" s="11">
        <v>12884</v>
      </c>
    </row>
    <row r="13" spans="1:9" x14ac:dyDescent="0.2">
      <c r="A13" s="11" t="s">
        <v>12</v>
      </c>
      <c r="B13" s="11">
        <v>147</v>
      </c>
      <c r="C13" s="11">
        <v>294</v>
      </c>
      <c r="D13" s="11">
        <v>362</v>
      </c>
      <c r="E13" s="11">
        <v>348</v>
      </c>
      <c r="F13" s="11">
        <v>546</v>
      </c>
      <c r="G13" s="11">
        <v>655</v>
      </c>
      <c r="H13" s="11">
        <v>534</v>
      </c>
    </row>
    <row r="14" spans="1:9" x14ac:dyDescent="0.2">
      <c r="A14" s="11" t="s">
        <v>13</v>
      </c>
      <c r="B14" s="11">
        <v>3158</v>
      </c>
      <c r="C14" s="11">
        <v>6156</v>
      </c>
      <c r="D14" s="11">
        <v>6822</v>
      </c>
      <c r="E14" s="11">
        <v>6846</v>
      </c>
      <c r="F14" s="11">
        <v>8594</v>
      </c>
      <c r="G14" s="11">
        <v>8294</v>
      </c>
      <c r="H14" s="11">
        <v>5868</v>
      </c>
    </row>
    <row r="15" spans="1:9" x14ac:dyDescent="0.2">
      <c r="A15" s="11" t="s">
        <v>14</v>
      </c>
      <c r="B15" s="11">
        <v>17477</v>
      </c>
      <c r="C15" s="11">
        <v>19457</v>
      </c>
      <c r="D15" s="11">
        <v>13814</v>
      </c>
      <c r="E15" s="11">
        <v>12350</v>
      </c>
      <c r="F15" s="11">
        <v>13890</v>
      </c>
      <c r="G15" s="11">
        <v>13538</v>
      </c>
      <c r="H15" s="11">
        <v>11486</v>
      </c>
    </row>
    <row r="16" spans="1:9" x14ac:dyDescent="0.2">
      <c r="A16" s="11" t="s">
        <v>15</v>
      </c>
      <c r="B16" s="11">
        <v>36798</v>
      </c>
      <c r="C16" s="11">
        <v>60729</v>
      </c>
      <c r="D16" s="11">
        <v>60119</v>
      </c>
      <c r="E16" s="11">
        <v>58895</v>
      </c>
      <c r="F16" s="11">
        <v>66686</v>
      </c>
      <c r="G16" s="11">
        <v>59765</v>
      </c>
      <c r="H16" s="11">
        <v>46308</v>
      </c>
    </row>
    <row r="17" spans="1:8" x14ac:dyDescent="0.2">
      <c r="A17" s="11" t="s">
        <v>16</v>
      </c>
      <c r="B17" s="11">
        <v>1673</v>
      </c>
      <c r="C17" s="11">
        <v>3083</v>
      </c>
      <c r="D17" s="11">
        <v>3284</v>
      </c>
      <c r="E17" s="11">
        <v>3395</v>
      </c>
      <c r="F17" s="11">
        <v>4212</v>
      </c>
      <c r="G17" s="11">
        <v>4298</v>
      </c>
      <c r="H17" s="11">
        <v>3385</v>
      </c>
    </row>
    <row r="18" spans="1:8" x14ac:dyDescent="0.2">
      <c r="A18" s="11" t="s">
        <v>17</v>
      </c>
      <c r="B18" s="11">
        <v>3345</v>
      </c>
      <c r="C18" s="11">
        <v>6430</v>
      </c>
      <c r="D18" s="11">
        <v>7101</v>
      </c>
      <c r="E18" s="11">
        <v>7470</v>
      </c>
      <c r="F18" s="11">
        <v>9114</v>
      </c>
      <c r="G18" s="11">
        <v>8992</v>
      </c>
      <c r="H18" s="11">
        <v>7094</v>
      </c>
    </row>
    <row r="19" spans="1:8" x14ac:dyDescent="0.2">
      <c r="A19" s="11" t="s">
        <v>18</v>
      </c>
      <c r="B19" s="11">
        <v>1719</v>
      </c>
      <c r="C19" s="11">
        <v>3279</v>
      </c>
      <c r="D19" s="11">
        <v>3283</v>
      </c>
      <c r="E19" s="11">
        <v>3335</v>
      </c>
      <c r="F19" s="11">
        <v>3831</v>
      </c>
      <c r="G19" s="11">
        <v>3955</v>
      </c>
      <c r="H19" s="11">
        <v>3096</v>
      </c>
    </row>
    <row r="20" spans="1:8" x14ac:dyDescent="0.2">
      <c r="A20" s="11" t="s">
        <v>19</v>
      </c>
      <c r="B20" s="11">
        <v>3743</v>
      </c>
      <c r="C20" s="11">
        <v>5934</v>
      </c>
      <c r="D20" s="11">
        <v>5891</v>
      </c>
      <c r="E20" s="11">
        <v>5773</v>
      </c>
      <c r="F20" s="11">
        <v>6728</v>
      </c>
      <c r="G20" s="11">
        <v>6982</v>
      </c>
      <c r="H20" s="11">
        <v>5500</v>
      </c>
    </row>
    <row r="21" spans="1:8" x14ac:dyDescent="0.2">
      <c r="A21" s="11" t="s">
        <v>20</v>
      </c>
      <c r="B21" s="11">
        <v>3905</v>
      </c>
      <c r="C21" s="11">
        <v>6989</v>
      </c>
      <c r="D21" s="11">
        <v>7468</v>
      </c>
      <c r="E21" s="11">
        <v>7357</v>
      </c>
      <c r="F21" s="11">
        <v>9296</v>
      </c>
      <c r="G21" s="11">
        <v>9776</v>
      </c>
      <c r="H21" s="11">
        <v>8150</v>
      </c>
    </row>
    <row r="22" spans="1:8" x14ac:dyDescent="0.2">
      <c r="A22" s="11" t="s">
        <v>21</v>
      </c>
      <c r="B22" s="11">
        <v>16022</v>
      </c>
      <c r="C22" s="11">
        <v>28136</v>
      </c>
      <c r="D22" s="11">
        <v>30242</v>
      </c>
      <c r="E22" s="11">
        <v>27326</v>
      </c>
      <c r="F22" s="11">
        <v>29190</v>
      </c>
      <c r="G22" s="11">
        <v>28208</v>
      </c>
      <c r="H22" s="11">
        <v>24514</v>
      </c>
    </row>
    <row r="23" spans="1:8" x14ac:dyDescent="0.2">
      <c r="A23" s="11" t="s">
        <v>22</v>
      </c>
      <c r="B23" s="11">
        <v>17058</v>
      </c>
      <c r="C23" s="11">
        <v>34635</v>
      </c>
      <c r="D23" s="11">
        <v>34750</v>
      </c>
      <c r="E23" s="11">
        <v>29987</v>
      </c>
      <c r="F23" s="11">
        <v>32499</v>
      </c>
      <c r="G23" s="11">
        <v>30379</v>
      </c>
      <c r="H23" s="11">
        <v>21814</v>
      </c>
    </row>
    <row r="24" spans="1:8" x14ac:dyDescent="0.2">
      <c r="A24" s="11" t="s">
        <v>23</v>
      </c>
      <c r="B24" s="11">
        <v>37697</v>
      </c>
      <c r="C24" s="11">
        <v>66317</v>
      </c>
      <c r="D24" s="11">
        <v>72555</v>
      </c>
      <c r="E24" s="11">
        <v>60831</v>
      </c>
      <c r="F24" s="11">
        <v>65312</v>
      </c>
      <c r="G24" s="11">
        <v>61974</v>
      </c>
      <c r="H24" s="11">
        <v>45881</v>
      </c>
    </row>
    <row r="25" spans="1:8" x14ac:dyDescent="0.2">
      <c r="A25" s="11" t="s">
        <v>24</v>
      </c>
      <c r="B25" s="11">
        <v>1469</v>
      </c>
      <c r="C25" s="11">
        <v>2539</v>
      </c>
      <c r="D25" s="11">
        <v>2748</v>
      </c>
      <c r="E25" s="11">
        <v>2827</v>
      </c>
      <c r="F25" s="11">
        <v>3909</v>
      </c>
      <c r="G25" s="11">
        <v>3937</v>
      </c>
      <c r="H25" s="11">
        <v>3016</v>
      </c>
    </row>
    <row r="26" spans="1:8" x14ac:dyDescent="0.2">
      <c r="A26" s="11" t="s">
        <v>25</v>
      </c>
      <c r="B26" s="11">
        <v>14454</v>
      </c>
      <c r="C26" s="11">
        <v>27149</v>
      </c>
      <c r="D26" s="11">
        <v>27227</v>
      </c>
      <c r="E26" s="11">
        <v>25195</v>
      </c>
      <c r="F26" s="11">
        <v>28669</v>
      </c>
      <c r="G26" s="11">
        <v>29553</v>
      </c>
      <c r="H26" s="11">
        <v>22538</v>
      </c>
    </row>
    <row r="27" spans="1:8" x14ac:dyDescent="0.2">
      <c r="A27" s="11" t="s">
        <v>26</v>
      </c>
      <c r="B27" s="11">
        <v>5065</v>
      </c>
      <c r="C27" s="11">
        <v>10720</v>
      </c>
      <c r="D27" s="11">
        <v>11650</v>
      </c>
      <c r="E27" s="11">
        <v>12072</v>
      </c>
      <c r="F27" s="11">
        <v>14062</v>
      </c>
      <c r="G27" s="11">
        <v>14637</v>
      </c>
      <c r="H27" s="11">
        <v>11304</v>
      </c>
    </row>
    <row r="28" spans="1:8" x14ac:dyDescent="0.2">
      <c r="A28" s="11" t="s">
        <v>27</v>
      </c>
      <c r="B28" s="11">
        <v>153</v>
      </c>
      <c r="C28" s="11">
        <v>239</v>
      </c>
      <c r="D28" s="11">
        <v>302</v>
      </c>
      <c r="E28" s="11">
        <v>390</v>
      </c>
      <c r="F28" s="11">
        <v>670</v>
      </c>
      <c r="G28" s="11">
        <v>836</v>
      </c>
      <c r="H28" s="11">
        <v>650</v>
      </c>
    </row>
    <row r="29" spans="1:8" x14ac:dyDescent="0.2">
      <c r="A29" s="11" t="s">
        <v>28</v>
      </c>
      <c r="B29" s="11">
        <v>8289</v>
      </c>
      <c r="C29" s="11">
        <v>15420</v>
      </c>
      <c r="D29" s="11">
        <v>16160</v>
      </c>
      <c r="E29" s="11">
        <v>15704</v>
      </c>
      <c r="F29" s="11">
        <v>18063</v>
      </c>
      <c r="G29" s="11">
        <v>16955</v>
      </c>
      <c r="H29" s="11">
        <v>14796</v>
      </c>
    </row>
    <row r="30" spans="1:8" x14ac:dyDescent="0.2">
      <c r="A30" s="11" t="s">
        <v>29</v>
      </c>
      <c r="B30" s="11">
        <v>722</v>
      </c>
      <c r="C30" s="11">
        <v>1373</v>
      </c>
      <c r="D30" s="11">
        <v>1395</v>
      </c>
      <c r="E30" s="11">
        <v>1528</v>
      </c>
      <c r="F30" s="11">
        <v>1877</v>
      </c>
      <c r="G30" s="11">
        <v>1761</v>
      </c>
      <c r="H30" s="11">
        <v>1444</v>
      </c>
    </row>
    <row r="31" spans="1:8" x14ac:dyDescent="0.2">
      <c r="A31" s="11" t="s">
        <v>30</v>
      </c>
      <c r="B31" s="11">
        <v>1526</v>
      </c>
      <c r="C31" s="11">
        <v>2988</v>
      </c>
      <c r="D31" s="11">
        <v>3057</v>
      </c>
      <c r="E31" s="11">
        <v>3419</v>
      </c>
      <c r="F31" s="11">
        <v>3796</v>
      </c>
      <c r="G31" s="11">
        <v>3985</v>
      </c>
      <c r="H31" s="11">
        <v>3018</v>
      </c>
    </row>
    <row r="32" spans="1:8" x14ac:dyDescent="0.2">
      <c r="A32" s="11" t="s">
        <v>31</v>
      </c>
      <c r="B32" s="11">
        <v>2291</v>
      </c>
      <c r="C32" s="11">
        <v>3730</v>
      </c>
      <c r="D32" s="11">
        <v>3614</v>
      </c>
      <c r="E32" s="11">
        <v>3992</v>
      </c>
      <c r="F32" s="11">
        <v>4943</v>
      </c>
      <c r="G32" s="11">
        <v>5053</v>
      </c>
      <c r="H32" s="11">
        <v>4240</v>
      </c>
    </row>
    <row r="33" spans="1:8" x14ac:dyDescent="0.2">
      <c r="A33" s="11" t="s">
        <v>32</v>
      </c>
      <c r="B33" s="11">
        <v>4469</v>
      </c>
      <c r="C33" s="11">
        <v>6614</v>
      </c>
      <c r="D33" s="11">
        <v>6741</v>
      </c>
      <c r="E33" s="11">
        <v>6930</v>
      </c>
      <c r="F33" s="11">
        <v>8306</v>
      </c>
      <c r="G33" s="11">
        <v>8989</v>
      </c>
      <c r="H33" s="11">
        <v>7044</v>
      </c>
    </row>
    <row r="34" spans="1:8" x14ac:dyDescent="0.2">
      <c r="A34" s="11" t="s">
        <v>33</v>
      </c>
      <c r="B34" s="11">
        <v>2071</v>
      </c>
      <c r="C34" s="11">
        <v>3596</v>
      </c>
      <c r="D34" s="11">
        <v>4161</v>
      </c>
      <c r="E34" s="11">
        <v>4072</v>
      </c>
      <c r="F34" s="11">
        <v>4898</v>
      </c>
      <c r="G34" s="11">
        <v>5293</v>
      </c>
      <c r="H34" s="11">
        <v>3994</v>
      </c>
    </row>
    <row r="35" spans="1:8" x14ac:dyDescent="0.2">
      <c r="A35" s="11" t="s">
        <v>34</v>
      </c>
      <c r="B35" s="11">
        <v>943</v>
      </c>
      <c r="C35" s="11">
        <v>1770</v>
      </c>
      <c r="D35" s="11">
        <v>2000</v>
      </c>
      <c r="E35" s="11">
        <v>2109</v>
      </c>
      <c r="F35" s="11">
        <v>2611</v>
      </c>
      <c r="G35" s="11">
        <v>2569</v>
      </c>
      <c r="H35" s="11">
        <v>2073</v>
      </c>
    </row>
    <row r="36" spans="1:8" x14ac:dyDescent="0.2">
      <c r="A36" s="11" t="s">
        <v>35</v>
      </c>
      <c r="B36" s="11">
        <v>12078</v>
      </c>
      <c r="C36" s="11">
        <v>22872</v>
      </c>
      <c r="D36" s="11">
        <v>24200</v>
      </c>
      <c r="E36" s="11">
        <v>21705</v>
      </c>
      <c r="F36" s="11">
        <v>24998</v>
      </c>
      <c r="G36" s="11">
        <v>24105</v>
      </c>
      <c r="H36" s="11">
        <v>19880</v>
      </c>
    </row>
    <row r="37" spans="1:8" x14ac:dyDescent="0.2">
      <c r="A37" s="11" t="s">
        <v>36</v>
      </c>
      <c r="B37" s="11">
        <v>30579</v>
      </c>
      <c r="C37" s="11">
        <v>58830</v>
      </c>
      <c r="D37" s="11">
        <v>59589</v>
      </c>
      <c r="E37" s="11">
        <v>51071</v>
      </c>
      <c r="F37" s="11">
        <v>56762</v>
      </c>
      <c r="G37" s="11">
        <v>57505</v>
      </c>
      <c r="H37" s="11">
        <v>49852</v>
      </c>
    </row>
    <row r="38" spans="1:8" x14ac:dyDescent="0.2">
      <c r="A38" s="11" t="s">
        <v>37</v>
      </c>
      <c r="B38" s="11">
        <v>4249</v>
      </c>
      <c r="C38" s="11">
        <v>7858</v>
      </c>
      <c r="D38" s="11">
        <v>8379</v>
      </c>
      <c r="E38" s="11">
        <v>8291</v>
      </c>
      <c r="F38" s="11">
        <v>9760</v>
      </c>
      <c r="G38" s="11">
        <v>10394</v>
      </c>
      <c r="H38" s="11">
        <v>8375</v>
      </c>
    </row>
    <row r="39" spans="1:8" x14ac:dyDescent="0.2">
      <c r="A39" s="11" t="s">
        <v>38</v>
      </c>
      <c r="B39" s="11">
        <v>7254</v>
      </c>
      <c r="C39" s="11">
        <v>13113</v>
      </c>
      <c r="D39" s="11">
        <v>14475</v>
      </c>
      <c r="E39" s="11">
        <v>14086</v>
      </c>
      <c r="F39" s="11">
        <v>15922</v>
      </c>
      <c r="G39" s="11">
        <v>15673</v>
      </c>
      <c r="H39" s="11">
        <v>13541</v>
      </c>
    </row>
    <row r="40" spans="1:8" x14ac:dyDescent="0.2">
      <c r="A40" s="11" t="s">
        <v>39</v>
      </c>
      <c r="B40" s="11">
        <v>21624</v>
      </c>
      <c r="C40" s="11">
        <v>41902</v>
      </c>
      <c r="D40" s="11">
        <v>42506</v>
      </c>
      <c r="E40" s="11">
        <v>38641</v>
      </c>
      <c r="F40" s="11">
        <v>41264</v>
      </c>
      <c r="G40" s="11">
        <v>38357</v>
      </c>
      <c r="H40" s="11">
        <v>29907</v>
      </c>
    </row>
    <row r="41" spans="1:8" x14ac:dyDescent="0.2">
      <c r="A41" s="11" t="s">
        <v>40</v>
      </c>
      <c r="B41" s="11">
        <v>16003</v>
      </c>
      <c r="C41" s="11">
        <v>30865</v>
      </c>
      <c r="D41" s="11">
        <v>33314</v>
      </c>
      <c r="E41" s="11">
        <v>30655</v>
      </c>
      <c r="F41" s="11">
        <v>35923</v>
      </c>
      <c r="G41" s="11">
        <v>33401</v>
      </c>
      <c r="H41" s="11">
        <v>27401</v>
      </c>
    </row>
    <row r="42" spans="1:8" x14ac:dyDescent="0.2">
      <c r="A42" s="11" t="s">
        <v>41</v>
      </c>
      <c r="B42" s="11">
        <v>5549</v>
      </c>
      <c r="C42" s="11">
        <v>10032</v>
      </c>
      <c r="D42" s="11">
        <v>11455</v>
      </c>
      <c r="E42" s="11">
        <v>10445</v>
      </c>
      <c r="F42" s="11">
        <v>12169</v>
      </c>
      <c r="G42" s="11">
        <v>12978</v>
      </c>
      <c r="H42" s="11">
        <v>10005</v>
      </c>
    </row>
    <row r="43" spans="1:8" x14ac:dyDescent="0.2">
      <c r="A43" s="11" t="s">
        <v>91</v>
      </c>
      <c r="B43" s="11">
        <v>1740</v>
      </c>
      <c r="C43" s="11">
        <v>3251</v>
      </c>
      <c r="D43" s="11">
        <v>3646</v>
      </c>
      <c r="E43" s="11">
        <v>3753</v>
      </c>
      <c r="F43" s="11">
        <v>4542</v>
      </c>
      <c r="G43" s="11">
        <v>4649</v>
      </c>
      <c r="H43" s="11">
        <v>3605</v>
      </c>
    </row>
    <row r="44" spans="1:8" x14ac:dyDescent="0.2">
      <c r="A44" s="11" t="s">
        <v>43</v>
      </c>
      <c r="B44" s="11">
        <v>5510</v>
      </c>
      <c r="C44" s="11">
        <v>9806</v>
      </c>
      <c r="D44" s="11">
        <v>9989</v>
      </c>
      <c r="E44" s="11">
        <v>9880</v>
      </c>
      <c r="F44" s="11">
        <v>12354</v>
      </c>
      <c r="G44" s="11">
        <v>13462</v>
      </c>
      <c r="H44" s="11">
        <v>10874</v>
      </c>
    </row>
    <row r="45" spans="1:8" x14ac:dyDescent="0.2">
      <c r="A45" s="11" t="s">
        <v>44</v>
      </c>
      <c r="B45" s="11">
        <v>1734</v>
      </c>
      <c r="C45" s="11">
        <v>3644</v>
      </c>
      <c r="D45" s="11">
        <v>3887</v>
      </c>
      <c r="E45" s="11">
        <v>3914</v>
      </c>
      <c r="F45" s="11">
        <v>5010</v>
      </c>
      <c r="G45" s="11">
        <v>4775</v>
      </c>
      <c r="H45" s="11">
        <v>4174</v>
      </c>
    </row>
    <row r="46" spans="1:8" x14ac:dyDescent="0.2">
      <c r="A46" s="11" t="s">
        <v>45</v>
      </c>
      <c r="B46" s="11">
        <v>9594</v>
      </c>
      <c r="C46" s="11">
        <v>17520</v>
      </c>
      <c r="D46" s="11">
        <v>17762</v>
      </c>
      <c r="E46" s="11">
        <v>17463</v>
      </c>
      <c r="F46" s="11">
        <v>22505</v>
      </c>
      <c r="G46" s="11">
        <v>20280</v>
      </c>
      <c r="H46" s="11">
        <v>12408</v>
      </c>
    </row>
    <row r="47" spans="1:8" x14ac:dyDescent="0.2">
      <c r="A47" s="11" t="s">
        <v>46</v>
      </c>
      <c r="B47" s="11">
        <v>53786</v>
      </c>
      <c r="C47" s="11">
        <v>96755</v>
      </c>
      <c r="D47" s="11">
        <v>105005</v>
      </c>
      <c r="E47" s="11">
        <v>93678</v>
      </c>
      <c r="F47" s="11">
        <v>101569</v>
      </c>
      <c r="G47" s="11">
        <v>95430</v>
      </c>
      <c r="H47" s="11">
        <v>77537</v>
      </c>
    </row>
    <row r="48" spans="1:8" x14ac:dyDescent="0.2">
      <c r="A48" s="11" t="s">
        <v>47</v>
      </c>
      <c r="B48" s="11">
        <v>815</v>
      </c>
      <c r="C48" s="11">
        <v>1866</v>
      </c>
      <c r="D48" s="11">
        <v>2012</v>
      </c>
      <c r="E48" s="11">
        <v>1652</v>
      </c>
      <c r="F48" s="11">
        <v>1976</v>
      </c>
      <c r="G48" s="11">
        <v>2167</v>
      </c>
      <c r="H48" s="11">
        <v>1854</v>
      </c>
    </row>
    <row r="49" spans="1:8" x14ac:dyDescent="0.2">
      <c r="A49" s="11" t="s">
        <v>48</v>
      </c>
      <c r="B49" s="11">
        <v>22560</v>
      </c>
      <c r="C49" s="11">
        <v>36835</v>
      </c>
      <c r="D49" s="11">
        <v>35862</v>
      </c>
      <c r="E49" s="11">
        <v>33152</v>
      </c>
      <c r="F49" s="11">
        <v>38456</v>
      </c>
      <c r="G49" s="11">
        <v>36401</v>
      </c>
      <c r="H49" s="11">
        <v>28981</v>
      </c>
    </row>
    <row r="50" spans="1:8" x14ac:dyDescent="0.2">
      <c r="A50" s="11" t="s">
        <v>49</v>
      </c>
      <c r="B50" s="11">
        <v>3650</v>
      </c>
      <c r="C50" s="11">
        <v>7190</v>
      </c>
      <c r="D50" s="11">
        <v>8566</v>
      </c>
      <c r="E50" s="11">
        <v>8220</v>
      </c>
      <c r="F50" s="11">
        <v>9682</v>
      </c>
      <c r="G50" s="11">
        <v>10029</v>
      </c>
      <c r="H50" s="11">
        <v>7985</v>
      </c>
    </row>
    <row r="51" spans="1:8" x14ac:dyDescent="0.2">
      <c r="A51" s="11" t="s">
        <v>50</v>
      </c>
      <c r="B51" s="11">
        <v>2359</v>
      </c>
      <c r="C51" s="11">
        <v>4336</v>
      </c>
      <c r="D51" s="11">
        <v>4869</v>
      </c>
      <c r="E51" s="11">
        <v>4736</v>
      </c>
      <c r="F51" s="11">
        <v>5825</v>
      </c>
      <c r="G51" s="11">
        <v>5357</v>
      </c>
      <c r="H51" s="11">
        <v>3754</v>
      </c>
    </row>
    <row r="52" spans="1:8" x14ac:dyDescent="0.2">
      <c r="A52" s="11" t="s">
        <v>51</v>
      </c>
      <c r="B52" s="11">
        <v>99468</v>
      </c>
      <c r="C52" s="11">
        <v>258639</v>
      </c>
      <c r="D52" s="11">
        <v>222051</v>
      </c>
      <c r="E52" s="11">
        <v>144156</v>
      </c>
      <c r="F52" s="11">
        <v>144551</v>
      </c>
      <c r="G52" s="11">
        <v>127055</v>
      </c>
      <c r="H52" s="11">
        <v>91966</v>
      </c>
    </row>
    <row r="53" spans="1:8" x14ac:dyDescent="0.2">
      <c r="A53" s="11" t="s">
        <v>52</v>
      </c>
      <c r="B53" s="11">
        <v>3152</v>
      </c>
      <c r="C53" s="11">
        <v>5947</v>
      </c>
      <c r="D53" s="11">
        <v>6492</v>
      </c>
      <c r="E53" s="11">
        <v>6625</v>
      </c>
      <c r="F53" s="11">
        <v>9545</v>
      </c>
      <c r="G53" s="11">
        <v>9226</v>
      </c>
      <c r="H53" s="11">
        <v>6373</v>
      </c>
    </row>
    <row r="54" spans="1:8" x14ac:dyDescent="0.2">
      <c r="A54" s="11" t="s">
        <v>53</v>
      </c>
      <c r="B54" s="11">
        <v>738</v>
      </c>
      <c r="C54" s="11">
        <v>1260</v>
      </c>
      <c r="D54" s="11">
        <v>1471</v>
      </c>
      <c r="E54" s="11">
        <v>1500</v>
      </c>
      <c r="F54" s="11">
        <v>2043</v>
      </c>
      <c r="G54" s="11">
        <v>2218</v>
      </c>
      <c r="H54" s="11">
        <v>1769</v>
      </c>
    </row>
    <row r="55" spans="1:8" x14ac:dyDescent="0.2">
      <c r="A55" s="11" t="s">
        <v>54</v>
      </c>
      <c r="B55" s="11">
        <v>6861</v>
      </c>
      <c r="C55" s="11">
        <v>12475</v>
      </c>
      <c r="D55" s="11">
        <v>13873</v>
      </c>
      <c r="E55" s="11">
        <v>14197</v>
      </c>
      <c r="F55" s="11">
        <v>16632</v>
      </c>
      <c r="G55" s="11">
        <v>16136</v>
      </c>
      <c r="H55" s="11">
        <v>12260</v>
      </c>
    </row>
    <row r="56" spans="1:8" x14ac:dyDescent="0.2">
      <c r="A56" s="11" t="s">
        <v>55</v>
      </c>
      <c r="B56" s="11">
        <v>2219</v>
      </c>
      <c r="C56" s="11">
        <v>3211</v>
      </c>
      <c r="D56" s="11">
        <v>3472</v>
      </c>
      <c r="E56" s="11">
        <v>3445</v>
      </c>
      <c r="F56" s="11">
        <v>4150</v>
      </c>
      <c r="G56" s="11">
        <v>3968</v>
      </c>
      <c r="H56" s="11">
        <v>3392</v>
      </c>
    </row>
    <row r="57" spans="1:8" x14ac:dyDescent="0.2">
      <c r="A57" s="11" t="s">
        <v>56</v>
      </c>
      <c r="B57" s="11">
        <v>3249</v>
      </c>
      <c r="C57" s="11">
        <v>5992</v>
      </c>
      <c r="D57" s="11">
        <v>6777</v>
      </c>
      <c r="E57" s="11">
        <v>7063</v>
      </c>
      <c r="F57" s="11">
        <v>8569</v>
      </c>
      <c r="G57" s="11">
        <v>9373</v>
      </c>
      <c r="H57" s="11">
        <v>7479</v>
      </c>
    </row>
    <row r="58" spans="1:8" x14ac:dyDescent="0.2">
      <c r="A58" s="11" t="s">
        <v>57</v>
      </c>
      <c r="B58" s="11">
        <v>250</v>
      </c>
      <c r="C58" s="11">
        <v>410</v>
      </c>
      <c r="D58" s="11">
        <v>561</v>
      </c>
      <c r="E58" s="11">
        <v>562</v>
      </c>
      <c r="F58" s="11">
        <v>805</v>
      </c>
      <c r="G58" s="11">
        <v>1074</v>
      </c>
      <c r="H58" s="11">
        <v>796</v>
      </c>
    </row>
    <row r="59" spans="1:8" x14ac:dyDescent="0.2">
      <c r="A59" s="11" t="s">
        <v>58</v>
      </c>
      <c r="B59" s="11">
        <v>1868</v>
      </c>
      <c r="C59" s="11">
        <v>3640</v>
      </c>
      <c r="D59" s="11">
        <v>3978</v>
      </c>
      <c r="E59" s="11">
        <v>3691</v>
      </c>
      <c r="F59" s="11">
        <v>5033</v>
      </c>
      <c r="G59" s="11">
        <v>5342</v>
      </c>
      <c r="H59" s="11">
        <v>4207</v>
      </c>
    </row>
    <row r="60" spans="1:8" x14ac:dyDescent="0.2">
      <c r="A60" s="11" t="s">
        <v>59</v>
      </c>
      <c r="B60" s="11">
        <v>1867</v>
      </c>
      <c r="C60" s="11">
        <v>3290</v>
      </c>
      <c r="D60" s="11">
        <v>3908</v>
      </c>
      <c r="E60" s="11">
        <v>3749</v>
      </c>
      <c r="F60" s="11">
        <v>4758</v>
      </c>
      <c r="G60" s="11">
        <v>5061</v>
      </c>
      <c r="H60" s="11">
        <v>4165</v>
      </c>
    </row>
    <row r="61" spans="1:8" x14ac:dyDescent="0.2">
      <c r="A61" s="11" t="s">
        <v>60</v>
      </c>
      <c r="B61" s="11">
        <v>3628</v>
      </c>
      <c r="C61" s="11">
        <v>4054</v>
      </c>
      <c r="D61" s="11">
        <v>3652</v>
      </c>
      <c r="E61" s="11">
        <v>3446</v>
      </c>
      <c r="F61" s="11">
        <v>3995</v>
      </c>
      <c r="G61" s="11">
        <v>3884</v>
      </c>
      <c r="H61" s="11">
        <v>3745</v>
      </c>
    </row>
    <row r="62" spans="1:8" x14ac:dyDescent="0.2">
      <c r="A62" s="11" t="s">
        <v>61</v>
      </c>
      <c r="B62" s="11">
        <v>2213</v>
      </c>
      <c r="C62" s="11">
        <v>3922</v>
      </c>
      <c r="D62" s="11">
        <v>4668</v>
      </c>
      <c r="E62" s="11">
        <v>4769</v>
      </c>
      <c r="F62" s="11">
        <v>5692</v>
      </c>
      <c r="G62" s="11">
        <v>6587</v>
      </c>
      <c r="H62" s="11">
        <v>4932</v>
      </c>
    </row>
    <row r="63" spans="1:8" x14ac:dyDescent="0.2">
      <c r="A63" s="11" t="s">
        <v>62</v>
      </c>
      <c r="B63" s="11">
        <v>1724</v>
      </c>
      <c r="C63" s="11">
        <v>3061</v>
      </c>
      <c r="D63" s="11">
        <v>3617</v>
      </c>
      <c r="E63" s="11">
        <v>3504</v>
      </c>
      <c r="F63" s="11">
        <v>4676</v>
      </c>
      <c r="G63" s="11">
        <v>5024</v>
      </c>
      <c r="H63" s="11">
        <v>3810</v>
      </c>
    </row>
    <row r="64" spans="1:8" x14ac:dyDescent="0.2">
      <c r="A64" s="11" t="s">
        <v>63</v>
      </c>
      <c r="B64" s="11">
        <v>10392</v>
      </c>
      <c r="C64" s="11">
        <v>19662</v>
      </c>
      <c r="D64" s="11">
        <v>22497</v>
      </c>
      <c r="E64" s="11">
        <v>21269</v>
      </c>
      <c r="F64" s="11">
        <v>25044</v>
      </c>
      <c r="G64" s="11">
        <v>26070</v>
      </c>
      <c r="H64" s="11">
        <v>19987</v>
      </c>
    </row>
    <row r="65" spans="1:8" x14ac:dyDescent="0.2">
      <c r="A65" s="11" t="s">
        <v>64</v>
      </c>
      <c r="B65" s="11">
        <v>2207</v>
      </c>
      <c r="C65" s="11">
        <v>4561</v>
      </c>
      <c r="D65" s="11">
        <v>5029</v>
      </c>
      <c r="E65" s="11">
        <v>4906</v>
      </c>
      <c r="F65" s="11">
        <v>6900</v>
      </c>
      <c r="G65" s="11">
        <v>7433</v>
      </c>
      <c r="H65" s="11">
        <v>5636</v>
      </c>
    </row>
    <row r="66" spans="1:8" x14ac:dyDescent="0.2">
      <c r="A66" s="11" t="s">
        <v>65</v>
      </c>
      <c r="B66" s="11">
        <v>17381</v>
      </c>
      <c r="C66" s="11">
        <v>33084</v>
      </c>
      <c r="D66" s="11">
        <v>36394</v>
      </c>
      <c r="E66" s="11">
        <v>35117</v>
      </c>
      <c r="F66" s="11">
        <v>44121</v>
      </c>
      <c r="G66" s="11">
        <v>46575</v>
      </c>
      <c r="H66" s="11">
        <v>38013</v>
      </c>
    </row>
    <row r="67" spans="1:8" x14ac:dyDescent="0.2">
      <c r="A67" s="11" t="s">
        <v>66</v>
      </c>
      <c r="B67" s="11">
        <v>1352</v>
      </c>
      <c r="C67" s="11">
        <v>2478</v>
      </c>
      <c r="D67" s="11">
        <v>2702</v>
      </c>
      <c r="E67" s="11">
        <v>2691</v>
      </c>
      <c r="F67" s="11">
        <v>3247</v>
      </c>
      <c r="G67" s="11">
        <v>3345</v>
      </c>
      <c r="H67" s="11">
        <v>2645</v>
      </c>
    </row>
    <row r="68" spans="1:8" ht="13.5" thickBot="1" x14ac:dyDescent="0.25">
      <c r="A68" s="13" t="s">
        <v>67</v>
      </c>
      <c r="B68" s="13">
        <v>26645</v>
      </c>
      <c r="C68" s="13">
        <v>50329</v>
      </c>
      <c r="D68" s="13">
        <v>54740</v>
      </c>
      <c r="E68" s="13">
        <v>50247</v>
      </c>
      <c r="F68" s="13">
        <v>57043</v>
      </c>
      <c r="G68" s="13">
        <v>50492</v>
      </c>
      <c r="H68" s="13">
        <v>38203</v>
      </c>
    </row>
    <row r="69" spans="1:8" x14ac:dyDescent="0.2">
      <c r="A69" s="32" t="s">
        <v>68</v>
      </c>
      <c r="B69" s="32">
        <f>SUM(B2:B68)</f>
        <v>756709</v>
      </c>
      <c r="C69" s="32">
        <f t="shared" ref="C69:G69" si="0">SUM(C2:C68)</f>
        <v>1467505</v>
      </c>
      <c r="D69" s="32">
        <f t="shared" si="0"/>
        <v>1477754</v>
      </c>
      <c r="E69" s="32">
        <f t="shared" si="0"/>
        <v>1287991</v>
      </c>
      <c r="F69" s="32">
        <f t="shared" si="0"/>
        <v>1460361</v>
      </c>
      <c r="G69" s="32">
        <f t="shared" si="0"/>
        <v>1420430</v>
      </c>
      <c r="H69" s="32">
        <f>SUM(H2:H68)</f>
        <v>1109916</v>
      </c>
    </row>
    <row r="70" spans="1:8" x14ac:dyDescent="0.2">
      <c r="B70" s="17">
        <f t="shared" ref="B70:H70" si="1">B69/$B$72</f>
        <v>8.4259786523627533E-2</v>
      </c>
      <c r="C70" s="17">
        <f>C69/$B$72</f>
        <v>0.16340714597336101</v>
      </c>
      <c r="D70" s="17">
        <f>D69/$B$72</f>
        <v>0.16454837536547959</v>
      </c>
      <c r="E70" s="17">
        <f t="shared" si="1"/>
        <v>0.1434182052867794</v>
      </c>
      <c r="F70" s="17">
        <f t="shared" si="1"/>
        <v>0.16261165931346294</v>
      </c>
      <c r="G70" s="17">
        <f t="shared" si="1"/>
        <v>0.15816532983188553</v>
      </c>
      <c r="H70" s="17">
        <f t="shared" si="1"/>
        <v>0.12358949770540403</v>
      </c>
    </row>
    <row r="72" spans="1:8" x14ac:dyDescent="0.2">
      <c r="A72" s="32" t="s">
        <v>80</v>
      </c>
      <c r="B72" s="16">
        <f>SUM(B69:H69)</f>
        <v>8980666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7" sqref="L7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0</v>
      </c>
      <c r="C2" s="11">
        <v>1952</v>
      </c>
      <c r="D2" s="11">
        <v>2778</v>
      </c>
      <c r="E2" s="11">
        <v>2343</v>
      </c>
      <c r="F2" s="11">
        <v>2121</v>
      </c>
      <c r="G2" s="11">
        <v>2646</v>
      </c>
      <c r="H2" s="11">
        <v>3787</v>
      </c>
      <c r="I2" s="11">
        <v>3539</v>
      </c>
    </row>
    <row r="3" spans="1:10" x14ac:dyDescent="0.2">
      <c r="A3" s="11" t="s">
        <v>2</v>
      </c>
      <c r="B3" s="10" t="s">
        <v>0</v>
      </c>
      <c r="C3" s="11">
        <v>41597</v>
      </c>
      <c r="D3" s="11">
        <v>94605</v>
      </c>
      <c r="E3" s="11">
        <v>89565</v>
      </c>
      <c r="F3" s="11">
        <v>64384</v>
      </c>
      <c r="G3" s="11">
        <v>67280</v>
      </c>
      <c r="H3" s="11">
        <v>79968</v>
      </c>
      <c r="I3" s="11">
        <v>65801</v>
      </c>
      <c r="J3" s="11" t="s">
        <v>115</v>
      </c>
    </row>
    <row r="4" spans="1:10" x14ac:dyDescent="0.2">
      <c r="A4" s="11" t="s">
        <v>3</v>
      </c>
      <c r="B4" s="10" t="s">
        <v>0</v>
      </c>
      <c r="C4" s="11">
        <v>607</v>
      </c>
      <c r="D4" s="11">
        <v>1099</v>
      </c>
      <c r="E4" s="11">
        <v>1194</v>
      </c>
      <c r="F4" s="11">
        <v>1267</v>
      </c>
      <c r="G4" s="11">
        <v>1748</v>
      </c>
      <c r="H4" s="11">
        <v>2543</v>
      </c>
      <c r="I4" s="11">
        <v>2189</v>
      </c>
    </row>
    <row r="5" spans="1:10" x14ac:dyDescent="0.2">
      <c r="A5" s="11" t="s">
        <v>4</v>
      </c>
      <c r="B5" s="10" t="s">
        <v>0</v>
      </c>
      <c r="C5" s="11">
        <v>2519</v>
      </c>
      <c r="D5" s="11">
        <v>5675</v>
      </c>
      <c r="E5" s="11">
        <v>6394</v>
      </c>
      <c r="F5" s="11">
        <v>5911</v>
      </c>
      <c r="G5" s="11">
        <v>7325</v>
      </c>
      <c r="H5" s="11">
        <v>9819</v>
      </c>
      <c r="I5" s="11">
        <v>8065</v>
      </c>
    </row>
    <row r="6" spans="1:10" x14ac:dyDescent="0.2">
      <c r="A6" s="11" t="s">
        <v>5</v>
      </c>
      <c r="B6" s="10" t="s">
        <v>0</v>
      </c>
      <c r="C6" s="11">
        <v>308</v>
      </c>
      <c r="D6" s="11">
        <v>522</v>
      </c>
      <c r="E6" s="11">
        <v>583</v>
      </c>
      <c r="F6" s="11">
        <v>622</v>
      </c>
      <c r="G6" s="11">
        <v>856</v>
      </c>
      <c r="H6" s="11">
        <v>1181</v>
      </c>
      <c r="I6" s="11">
        <v>1194</v>
      </c>
    </row>
    <row r="7" spans="1:10" x14ac:dyDescent="0.2">
      <c r="A7" s="11" t="s">
        <v>6</v>
      </c>
      <c r="B7" s="10" t="s">
        <v>0</v>
      </c>
      <c r="C7" s="11">
        <v>8545</v>
      </c>
      <c r="D7" s="11">
        <v>15773</v>
      </c>
      <c r="E7" s="11">
        <v>16329</v>
      </c>
      <c r="F7" s="11">
        <v>14899</v>
      </c>
      <c r="G7" s="11">
        <v>16840</v>
      </c>
      <c r="H7" s="11">
        <v>17338</v>
      </c>
      <c r="I7" s="11">
        <v>14547</v>
      </c>
    </row>
    <row r="8" spans="1:10" x14ac:dyDescent="0.2">
      <c r="A8" s="11" t="s">
        <v>7</v>
      </c>
      <c r="B8" s="10" t="s">
        <v>0</v>
      </c>
      <c r="C8" s="11">
        <v>1521</v>
      </c>
      <c r="D8" s="11">
        <v>3047</v>
      </c>
      <c r="E8" s="11">
        <v>3121</v>
      </c>
      <c r="F8" s="11">
        <v>2557</v>
      </c>
      <c r="G8" s="11">
        <v>2736</v>
      </c>
      <c r="H8" s="11">
        <v>3535</v>
      </c>
      <c r="I8" s="11">
        <v>3272</v>
      </c>
    </row>
    <row r="9" spans="1:10" x14ac:dyDescent="0.2">
      <c r="A9" s="11" t="s">
        <v>8</v>
      </c>
      <c r="B9" s="10" t="s">
        <v>0</v>
      </c>
      <c r="C9" s="11">
        <v>514</v>
      </c>
      <c r="D9" s="11">
        <v>1058</v>
      </c>
      <c r="E9" s="11">
        <v>1068</v>
      </c>
      <c r="F9" s="11">
        <v>910</v>
      </c>
      <c r="G9" s="11">
        <v>1169</v>
      </c>
      <c r="H9" s="11">
        <v>1600</v>
      </c>
      <c r="I9" s="11">
        <v>1492</v>
      </c>
    </row>
    <row r="10" spans="1:10" x14ac:dyDescent="0.2">
      <c r="A10" s="11" t="s">
        <v>9</v>
      </c>
      <c r="B10" s="10" t="s">
        <v>0</v>
      </c>
      <c r="C10" s="11">
        <v>15663</v>
      </c>
      <c r="D10" s="11">
        <v>28153</v>
      </c>
      <c r="E10" s="11">
        <v>30061</v>
      </c>
      <c r="F10" s="11">
        <v>27157</v>
      </c>
      <c r="G10" s="11">
        <v>31094</v>
      </c>
      <c r="H10" s="11">
        <v>34572</v>
      </c>
      <c r="I10" s="11">
        <v>27187</v>
      </c>
    </row>
    <row r="11" spans="1:10" x14ac:dyDescent="0.2">
      <c r="A11" s="11" t="s">
        <v>10</v>
      </c>
      <c r="B11" s="10" t="s">
        <v>0</v>
      </c>
      <c r="C11" s="11">
        <v>2953</v>
      </c>
      <c r="D11" s="11">
        <v>5308</v>
      </c>
      <c r="E11" s="11">
        <v>5923</v>
      </c>
      <c r="F11" s="11">
        <v>5043</v>
      </c>
      <c r="G11" s="11">
        <v>5746</v>
      </c>
      <c r="H11" s="11">
        <v>7539</v>
      </c>
      <c r="I11" s="11">
        <v>6647</v>
      </c>
    </row>
    <row r="12" spans="1:10" x14ac:dyDescent="0.2">
      <c r="A12" s="11" t="s">
        <v>11</v>
      </c>
      <c r="B12" s="10" t="s">
        <v>0</v>
      </c>
      <c r="C12" s="11">
        <v>1710</v>
      </c>
      <c r="D12" s="11">
        <v>3319</v>
      </c>
      <c r="E12" s="11">
        <v>3674</v>
      </c>
      <c r="F12" s="11">
        <v>3700</v>
      </c>
      <c r="G12" s="11">
        <v>4627</v>
      </c>
      <c r="H12" s="11">
        <v>6594</v>
      </c>
      <c r="I12" s="11">
        <v>5713</v>
      </c>
    </row>
    <row r="13" spans="1:10" x14ac:dyDescent="0.2">
      <c r="A13" s="11" t="s">
        <v>12</v>
      </c>
      <c r="B13" s="10" t="s">
        <v>0</v>
      </c>
      <c r="C13" s="11">
        <v>35</v>
      </c>
      <c r="D13" s="11">
        <v>66</v>
      </c>
      <c r="E13" s="11">
        <v>79</v>
      </c>
      <c r="F13" s="11">
        <v>61</v>
      </c>
      <c r="G13" s="11">
        <v>106</v>
      </c>
      <c r="H13" s="11">
        <v>171</v>
      </c>
      <c r="I13" s="11">
        <v>147</v>
      </c>
    </row>
    <row r="14" spans="1:10" x14ac:dyDescent="0.2">
      <c r="A14" s="11" t="s">
        <v>13</v>
      </c>
      <c r="B14" s="10" t="s">
        <v>0</v>
      </c>
      <c r="C14" s="11">
        <v>876</v>
      </c>
      <c r="D14" s="11">
        <v>1773</v>
      </c>
      <c r="E14" s="11">
        <v>1940</v>
      </c>
      <c r="F14" s="11">
        <v>1926</v>
      </c>
      <c r="G14" s="11">
        <v>2395</v>
      </c>
      <c r="H14" s="11">
        <v>2879</v>
      </c>
      <c r="I14" s="11">
        <v>2287</v>
      </c>
    </row>
    <row r="15" spans="1:10" x14ac:dyDescent="0.2">
      <c r="A15" s="11" t="s">
        <v>14</v>
      </c>
      <c r="B15" s="10" t="s">
        <v>0</v>
      </c>
      <c r="C15" s="11">
        <v>7627</v>
      </c>
      <c r="D15" s="11">
        <v>9119</v>
      </c>
      <c r="E15" s="11">
        <v>5729</v>
      </c>
      <c r="F15" s="11">
        <v>4643</v>
      </c>
      <c r="G15" s="11">
        <v>4497</v>
      </c>
      <c r="H15" s="11">
        <v>5090</v>
      </c>
      <c r="I15" s="11">
        <v>4695</v>
      </c>
    </row>
    <row r="16" spans="1:10" x14ac:dyDescent="0.2">
      <c r="A16" s="11" t="s">
        <v>15</v>
      </c>
      <c r="B16" s="10" t="s">
        <v>0</v>
      </c>
      <c r="C16" s="11">
        <v>16500</v>
      </c>
      <c r="D16" s="11">
        <v>27337</v>
      </c>
      <c r="E16" s="11">
        <v>26355</v>
      </c>
      <c r="F16" s="11">
        <v>23434</v>
      </c>
      <c r="G16" s="11">
        <v>24012</v>
      </c>
      <c r="H16" s="11">
        <v>24432</v>
      </c>
      <c r="I16" s="11">
        <v>18842</v>
      </c>
    </row>
    <row r="17" spans="1:9" x14ac:dyDescent="0.2">
      <c r="A17" s="11" t="s">
        <v>16</v>
      </c>
      <c r="B17" s="10" t="s">
        <v>0</v>
      </c>
      <c r="C17" s="11">
        <v>301</v>
      </c>
      <c r="D17" s="11">
        <v>642</v>
      </c>
      <c r="E17" s="11">
        <v>596</v>
      </c>
      <c r="F17" s="11">
        <v>595</v>
      </c>
      <c r="G17" s="11">
        <v>721</v>
      </c>
      <c r="H17" s="11">
        <v>1160</v>
      </c>
      <c r="I17" s="11">
        <v>1036</v>
      </c>
    </row>
    <row r="18" spans="1:9" x14ac:dyDescent="0.2">
      <c r="A18" s="11" t="s">
        <v>17</v>
      </c>
      <c r="B18" s="10" t="s">
        <v>0</v>
      </c>
      <c r="C18" s="11">
        <v>693</v>
      </c>
      <c r="D18" s="11">
        <v>1358</v>
      </c>
      <c r="E18" s="11">
        <v>1466</v>
      </c>
      <c r="F18" s="11">
        <v>1515</v>
      </c>
      <c r="G18" s="11">
        <v>1952</v>
      </c>
      <c r="H18" s="11">
        <v>2558</v>
      </c>
      <c r="I18" s="11">
        <v>2480</v>
      </c>
    </row>
    <row r="19" spans="1:9" x14ac:dyDescent="0.2">
      <c r="A19" s="11" t="s">
        <v>18</v>
      </c>
      <c r="B19" s="10" t="s">
        <v>0</v>
      </c>
      <c r="C19" s="11">
        <v>391</v>
      </c>
      <c r="D19" s="11">
        <v>849</v>
      </c>
      <c r="E19" s="11">
        <v>778</v>
      </c>
      <c r="F19" s="11">
        <v>748</v>
      </c>
      <c r="G19" s="11">
        <v>905</v>
      </c>
      <c r="H19" s="11">
        <v>1273</v>
      </c>
      <c r="I19" s="11">
        <v>1122</v>
      </c>
    </row>
    <row r="20" spans="1:9" x14ac:dyDescent="0.2">
      <c r="A20" s="11" t="s">
        <v>19</v>
      </c>
      <c r="B20" s="10" t="s">
        <v>0</v>
      </c>
      <c r="C20" s="11">
        <v>1173</v>
      </c>
      <c r="D20" s="11">
        <v>1735</v>
      </c>
      <c r="E20" s="11">
        <v>1665</v>
      </c>
      <c r="F20" s="11">
        <v>1475</v>
      </c>
      <c r="G20" s="11">
        <v>1607</v>
      </c>
      <c r="H20" s="11">
        <v>2197</v>
      </c>
      <c r="I20" s="11">
        <v>1899</v>
      </c>
    </row>
    <row r="21" spans="1:9" x14ac:dyDescent="0.2">
      <c r="A21" s="11" t="s">
        <v>20</v>
      </c>
      <c r="B21" s="10" t="s">
        <v>0</v>
      </c>
      <c r="C21" s="11">
        <v>1014</v>
      </c>
      <c r="D21" s="11">
        <v>1827</v>
      </c>
      <c r="E21" s="11">
        <v>1756</v>
      </c>
      <c r="F21" s="11">
        <v>1741</v>
      </c>
      <c r="G21" s="11">
        <v>2148</v>
      </c>
      <c r="H21" s="11">
        <v>3034</v>
      </c>
      <c r="I21" s="11">
        <v>2882</v>
      </c>
    </row>
    <row r="22" spans="1:9" x14ac:dyDescent="0.2">
      <c r="A22" s="11" t="s">
        <v>21</v>
      </c>
      <c r="B22" s="10" t="s">
        <v>0</v>
      </c>
      <c r="C22" s="11">
        <v>6278</v>
      </c>
      <c r="D22" s="11">
        <v>10379</v>
      </c>
      <c r="E22" s="11">
        <v>10888</v>
      </c>
      <c r="F22" s="11">
        <v>8730</v>
      </c>
      <c r="G22" s="11">
        <v>8008</v>
      </c>
      <c r="H22" s="11">
        <v>9055</v>
      </c>
      <c r="I22" s="11">
        <v>8352</v>
      </c>
    </row>
    <row r="23" spans="1:9" x14ac:dyDescent="0.2">
      <c r="A23" s="11" t="s">
        <v>22</v>
      </c>
      <c r="B23" s="10" t="s">
        <v>0</v>
      </c>
      <c r="C23" s="11">
        <v>7425</v>
      </c>
      <c r="D23" s="11">
        <v>15684</v>
      </c>
      <c r="E23" s="11">
        <v>15291</v>
      </c>
      <c r="F23" s="11">
        <v>12892</v>
      </c>
      <c r="G23" s="11">
        <v>13010</v>
      </c>
      <c r="H23" s="11">
        <v>13146</v>
      </c>
      <c r="I23" s="11">
        <v>9184</v>
      </c>
    </row>
    <row r="24" spans="1:9" x14ac:dyDescent="0.2">
      <c r="A24" s="11" t="s">
        <v>23</v>
      </c>
      <c r="B24" s="10" t="s">
        <v>0</v>
      </c>
      <c r="C24" s="11">
        <v>19125</v>
      </c>
      <c r="D24" s="11">
        <v>34972</v>
      </c>
      <c r="E24" s="11">
        <v>38734</v>
      </c>
      <c r="F24" s="11">
        <v>30602</v>
      </c>
      <c r="G24" s="11">
        <v>29417</v>
      </c>
      <c r="H24" s="11">
        <v>29046</v>
      </c>
      <c r="I24" s="11">
        <v>20889</v>
      </c>
    </row>
    <row r="25" spans="1:9" x14ac:dyDescent="0.2">
      <c r="A25" s="11" t="s">
        <v>24</v>
      </c>
      <c r="B25" s="10" t="s">
        <v>0</v>
      </c>
      <c r="C25" s="11">
        <v>322</v>
      </c>
      <c r="D25" s="11">
        <v>596</v>
      </c>
      <c r="E25" s="11">
        <v>651</v>
      </c>
      <c r="F25" s="11">
        <v>641</v>
      </c>
      <c r="G25" s="11">
        <v>1005</v>
      </c>
      <c r="H25" s="11">
        <v>1316</v>
      </c>
      <c r="I25" s="11">
        <v>1238</v>
      </c>
    </row>
    <row r="26" spans="1:9" x14ac:dyDescent="0.2">
      <c r="A26" s="11" t="s">
        <v>25</v>
      </c>
      <c r="B26" s="10" t="s">
        <v>0</v>
      </c>
      <c r="C26" s="11">
        <v>5437</v>
      </c>
      <c r="D26" s="11">
        <v>11278</v>
      </c>
      <c r="E26" s="11">
        <v>11159</v>
      </c>
      <c r="F26" s="11">
        <v>10142</v>
      </c>
      <c r="G26" s="11">
        <v>11691</v>
      </c>
      <c r="H26" s="11">
        <v>14836</v>
      </c>
      <c r="I26" s="11">
        <v>11903</v>
      </c>
    </row>
    <row r="27" spans="1:9" x14ac:dyDescent="0.2">
      <c r="A27" s="11" t="s">
        <v>26</v>
      </c>
      <c r="B27" s="10" t="s">
        <v>0</v>
      </c>
      <c r="C27" s="11">
        <v>1339</v>
      </c>
      <c r="D27" s="11">
        <v>2923</v>
      </c>
      <c r="E27" s="11">
        <v>3488</v>
      </c>
      <c r="F27" s="11">
        <v>3831</v>
      </c>
      <c r="G27" s="11">
        <v>5020</v>
      </c>
      <c r="H27" s="11">
        <v>6847</v>
      </c>
      <c r="I27" s="11">
        <v>5995</v>
      </c>
    </row>
    <row r="28" spans="1:9" x14ac:dyDescent="0.2">
      <c r="A28" s="11" t="s">
        <v>27</v>
      </c>
      <c r="B28" s="10" t="s">
        <v>0</v>
      </c>
      <c r="C28" s="11">
        <v>18</v>
      </c>
      <c r="D28" s="11">
        <v>47</v>
      </c>
      <c r="E28" s="11">
        <v>57</v>
      </c>
      <c r="F28" s="11">
        <v>69</v>
      </c>
      <c r="G28" s="11">
        <v>147</v>
      </c>
      <c r="H28" s="11">
        <v>243</v>
      </c>
      <c r="I28" s="11">
        <v>205</v>
      </c>
    </row>
    <row r="29" spans="1:9" x14ac:dyDescent="0.2">
      <c r="A29" s="11" t="s">
        <v>28</v>
      </c>
      <c r="B29" s="10" t="s">
        <v>0</v>
      </c>
      <c r="C29" s="11">
        <v>2028</v>
      </c>
      <c r="D29" s="11">
        <v>3698</v>
      </c>
      <c r="E29" s="11">
        <v>3464</v>
      </c>
      <c r="F29" s="11">
        <v>3100</v>
      </c>
      <c r="G29" s="11">
        <v>3224</v>
      </c>
      <c r="H29" s="11">
        <v>3957</v>
      </c>
      <c r="I29" s="11">
        <v>4026</v>
      </c>
    </row>
    <row r="30" spans="1:9" x14ac:dyDescent="0.2">
      <c r="A30" s="11" t="s">
        <v>29</v>
      </c>
      <c r="B30" s="10" t="s">
        <v>0</v>
      </c>
      <c r="C30" s="11">
        <v>84</v>
      </c>
      <c r="D30" s="11">
        <v>138</v>
      </c>
      <c r="E30" s="11">
        <v>158</v>
      </c>
      <c r="F30" s="11">
        <v>173</v>
      </c>
      <c r="G30" s="11">
        <v>247</v>
      </c>
      <c r="H30" s="11">
        <v>284</v>
      </c>
      <c r="I30" s="11">
        <v>386</v>
      </c>
    </row>
    <row r="31" spans="1:9" x14ac:dyDescent="0.2">
      <c r="A31" s="11" t="s">
        <v>30</v>
      </c>
      <c r="B31" s="10" t="s">
        <v>0</v>
      </c>
      <c r="C31" s="11">
        <v>302</v>
      </c>
      <c r="D31" s="11">
        <v>669</v>
      </c>
      <c r="E31" s="11">
        <v>820</v>
      </c>
      <c r="F31" s="11">
        <v>943</v>
      </c>
      <c r="G31" s="11">
        <v>1278</v>
      </c>
      <c r="H31" s="11">
        <v>1814</v>
      </c>
      <c r="I31" s="11">
        <v>1537</v>
      </c>
    </row>
    <row r="32" spans="1:9" x14ac:dyDescent="0.2">
      <c r="A32" s="11" t="s">
        <v>31</v>
      </c>
      <c r="B32" s="10" t="s">
        <v>0</v>
      </c>
      <c r="C32" s="11">
        <v>589</v>
      </c>
      <c r="D32" s="11">
        <v>850</v>
      </c>
      <c r="E32" s="11">
        <v>601</v>
      </c>
      <c r="F32" s="11">
        <v>715</v>
      </c>
      <c r="G32" s="11">
        <v>860</v>
      </c>
      <c r="H32" s="11">
        <v>1205</v>
      </c>
      <c r="I32" s="11">
        <v>1180</v>
      </c>
    </row>
    <row r="33" spans="1:9" x14ac:dyDescent="0.2">
      <c r="A33" s="11" t="s">
        <v>32</v>
      </c>
      <c r="B33" s="10" t="s">
        <v>0</v>
      </c>
      <c r="C33" s="11">
        <v>1271</v>
      </c>
      <c r="D33" s="11">
        <v>1826</v>
      </c>
      <c r="E33" s="11">
        <v>1521</v>
      </c>
      <c r="F33" s="11">
        <v>1518</v>
      </c>
      <c r="G33" s="11">
        <v>2065</v>
      </c>
      <c r="H33" s="11">
        <v>3003</v>
      </c>
      <c r="I33" s="11">
        <v>2667</v>
      </c>
    </row>
    <row r="34" spans="1:9" x14ac:dyDescent="0.2">
      <c r="A34" s="11" t="s">
        <v>33</v>
      </c>
      <c r="B34" s="10" t="s">
        <v>0</v>
      </c>
      <c r="C34" s="11">
        <v>350</v>
      </c>
      <c r="D34" s="11">
        <v>622</v>
      </c>
      <c r="E34" s="11">
        <v>670</v>
      </c>
      <c r="F34" s="11">
        <v>665</v>
      </c>
      <c r="G34" s="11">
        <v>792</v>
      </c>
      <c r="H34" s="11">
        <v>1263</v>
      </c>
      <c r="I34" s="11">
        <v>1072</v>
      </c>
    </row>
    <row r="35" spans="1:9" x14ac:dyDescent="0.2">
      <c r="A35" s="11" t="s">
        <v>34</v>
      </c>
      <c r="B35" s="10" t="s">
        <v>0</v>
      </c>
      <c r="C35" s="11">
        <v>137</v>
      </c>
      <c r="D35" s="11">
        <v>244</v>
      </c>
      <c r="E35" s="11">
        <v>298</v>
      </c>
      <c r="F35" s="11">
        <v>325</v>
      </c>
      <c r="G35" s="11">
        <v>408</v>
      </c>
      <c r="H35" s="11">
        <v>598</v>
      </c>
      <c r="I35" s="11">
        <v>529</v>
      </c>
    </row>
    <row r="36" spans="1:9" x14ac:dyDescent="0.2">
      <c r="A36" s="11" t="s">
        <v>35</v>
      </c>
      <c r="B36" s="10" t="s">
        <v>0</v>
      </c>
      <c r="C36" s="11">
        <v>5225</v>
      </c>
      <c r="D36" s="11">
        <v>10629</v>
      </c>
      <c r="E36" s="11">
        <v>11762</v>
      </c>
      <c r="F36" s="11">
        <v>10288</v>
      </c>
      <c r="G36" s="11">
        <v>12543</v>
      </c>
      <c r="H36" s="11">
        <v>14044</v>
      </c>
      <c r="I36" s="11">
        <v>12236</v>
      </c>
    </row>
    <row r="37" spans="1:9" x14ac:dyDescent="0.2">
      <c r="A37" s="11" t="s">
        <v>36</v>
      </c>
      <c r="B37" s="10" t="s">
        <v>0</v>
      </c>
      <c r="C37" s="11">
        <v>9734</v>
      </c>
      <c r="D37" s="11">
        <v>20064</v>
      </c>
      <c r="E37" s="11">
        <v>19656</v>
      </c>
      <c r="F37" s="11">
        <v>15289</v>
      </c>
      <c r="G37" s="11">
        <v>15263</v>
      </c>
      <c r="H37" s="11">
        <v>17449</v>
      </c>
      <c r="I37" s="11">
        <v>15442</v>
      </c>
    </row>
    <row r="38" spans="1:9" x14ac:dyDescent="0.2">
      <c r="A38" s="11" t="s">
        <v>37</v>
      </c>
      <c r="B38" s="10" t="s">
        <v>0</v>
      </c>
      <c r="C38" s="11">
        <v>1161</v>
      </c>
      <c r="D38" s="11">
        <v>2389</v>
      </c>
      <c r="E38" s="11">
        <v>2499</v>
      </c>
      <c r="F38" s="11">
        <v>2469</v>
      </c>
      <c r="G38" s="11">
        <v>3233</v>
      </c>
      <c r="H38" s="11">
        <v>4197</v>
      </c>
      <c r="I38" s="11">
        <v>3725</v>
      </c>
    </row>
    <row r="39" spans="1:9" x14ac:dyDescent="0.2">
      <c r="A39" s="11" t="s">
        <v>38</v>
      </c>
      <c r="B39" s="10" t="s">
        <v>0</v>
      </c>
      <c r="C39" s="11">
        <v>2081</v>
      </c>
      <c r="D39" s="11">
        <v>3721</v>
      </c>
      <c r="E39" s="11">
        <v>4042</v>
      </c>
      <c r="F39" s="11">
        <v>3663</v>
      </c>
      <c r="G39" s="11">
        <v>3854</v>
      </c>
      <c r="H39" s="11">
        <v>4229</v>
      </c>
      <c r="I39" s="11">
        <v>3858</v>
      </c>
    </row>
    <row r="40" spans="1:9" x14ac:dyDescent="0.2">
      <c r="A40" s="11" t="s">
        <v>39</v>
      </c>
      <c r="B40" s="10" t="s">
        <v>0</v>
      </c>
      <c r="C40" s="11">
        <v>9278</v>
      </c>
      <c r="D40" s="11">
        <v>18375</v>
      </c>
      <c r="E40" s="11">
        <v>18703</v>
      </c>
      <c r="F40" s="11">
        <v>16751</v>
      </c>
      <c r="G40" s="11">
        <v>17043</v>
      </c>
      <c r="H40" s="11">
        <v>17454</v>
      </c>
      <c r="I40" s="11">
        <v>14099</v>
      </c>
    </row>
    <row r="41" spans="1:9" x14ac:dyDescent="0.2">
      <c r="A41" s="11" t="s">
        <v>40</v>
      </c>
      <c r="B41" s="10" t="s">
        <v>0</v>
      </c>
      <c r="C41" s="11">
        <v>6022</v>
      </c>
      <c r="D41" s="11">
        <v>12227</v>
      </c>
      <c r="E41" s="11">
        <v>13300</v>
      </c>
      <c r="F41" s="11">
        <v>11962</v>
      </c>
      <c r="G41" s="11">
        <v>13773</v>
      </c>
      <c r="H41" s="11">
        <v>15016</v>
      </c>
      <c r="I41" s="11">
        <v>12901</v>
      </c>
    </row>
    <row r="42" spans="1:9" x14ac:dyDescent="0.2">
      <c r="A42" s="11" t="s">
        <v>41</v>
      </c>
      <c r="B42" s="10" t="s">
        <v>0</v>
      </c>
      <c r="C42" s="11">
        <v>1424</v>
      </c>
      <c r="D42" s="11">
        <v>2891</v>
      </c>
      <c r="E42" s="11">
        <v>2833</v>
      </c>
      <c r="F42" s="11">
        <v>2336</v>
      </c>
      <c r="G42" s="11">
        <v>2587</v>
      </c>
      <c r="H42" s="11">
        <v>3366</v>
      </c>
      <c r="I42" s="11">
        <v>2762</v>
      </c>
    </row>
    <row r="43" spans="1:9" x14ac:dyDescent="0.2">
      <c r="A43" s="11" t="s">
        <v>42</v>
      </c>
      <c r="B43" s="10" t="s">
        <v>0</v>
      </c>
      <c r="C43" s="11">
        <v>353</v>
      </c>
      <c r="D43" s="11">
        <v>732</v>
      </c>
      <c r="E43" s="11">
        <v>688</v>
      </c>
      <c r="F43" s="11">
        <v>651</v>
      </c>
      <c r="G43" s="11">
        <v>779</v>
      </c>
      <c r="H43" s="11">
        <v>1120</v>
      </c>
      <c r="I43" s="11">
        <v>964</v>
      </c>
    </row>
    <row r="44" spans="1:9" x14ac:dyDescent="0.2">
      <c r="A44" s="11" t="s">
        <v>43</v>
      </c>
      <c r="B44" s="10" t="s">
        <v>0</v>
      </c>
      <c r="C44" s="11">
        <v>1385</v>
      </c>
      <c r="D44" s="11">
        <v>2669</v>
      </c>
      <c r="E44" s="11">
        <v>2954</v>
      </c>
      <c r="F44" s="11">
        <v>2763</v>
      </c>
      <c r="G44" s="11">
        <v>3666</v>
      </c>
      <c r="H44" s="11">
        <v>5232</v>
      </c>
      <c r="I44" s="11">
        <v>4444</v>
      </c>
    </row>
    <row r="45" spans="1:9" x14ac:dyDescent="0.2">
      <c r="A45" s="11" t="s">
        <v>44</v>
      </c>
      <c r="B45" s="10" t="s">
        <v>0</v>
      </c>
      <c r="C45" s="11">
        <v>309</v>
      </c>
      <c r="D45" s="11">
        <v>691</v>
      </c>
      <c r="E45" s="11">
        <v>760</v>
      </c>
      <c r="F45" s="11">
        <v>699</v>
      </c>
      <c r="G45" s="11">
        <v>794</v>
      </c>
      <c r="H45" s="11">
        <v>1023</v>
      </c>
      <c r="I45" s="11">
        <v>1096</v>
      </c>
    </row>
    <row r="46" spans="1:9" x14ac:dyDescent="0.2">
      <c r="A46" s="11" t="s">
        <v>45</v>
      </c>
      <c r="B46" s="10" t="s">
        <v>0</v>
      </c>
      <c r="C46" s="11">
        <v>4105</v>
      </c>
      <c r="D46" s="11">
        <v>7329</v>
      </c>
      <c r="E46" s="11">
        <v>6753</v>
      </c>
      <c r="F46" s="11">
        <v>6928</v>
      </c>
      <c r="G46" s="11">
        <v>9097</v>
      </c>
      <c r="H46" s="11">
        <v>8795</v>
      </c>
      <c r="I46" s="11">
        <v>5555</v>
      </c>
    </row>
    <row r="47" spans="1:9" x14ac:dyDescent="0.2">
      <c r="A47" s="11" t="s">
        <v>46</v>
      </c>
      <c r="B47" s="10" t="s">
        <v>0</v>
      </c>
      <c r="C47" s="11">
        <v>26817</v>
      </c>
      <c r="D47" s="11">
        <v>49175</v>
      </c>
      <c r="E47" s="11">
        <v>54044</v>
      </c>
      <c r="F47" s="11">
        <v>45618</v>
      </c>
      <c r="G47" s="11">
        <v>44615</v>
      </c>
      <c r="H47" s="11">
        <v>46417</v>
      </c>
      <c r="I47" s="11">
        <v>38789</v>
      </c>
    </row>
    <row r="48" spans="1:9" x14ac:dyDescent="0.2">
      <c r="A48" s="11" t="s">
        <v>47</v>
      </c>
      <c r="B48" s="10" t="s">
        <v>0</v>
      </c>
      <c r="C48" s="11">
        <v>238</v>
      </c>
      <c r="D48" s="11">
        <v>588</v>
      </c>
      <c r="E48" s="11">
        <v>630</v>
      </c>
      <c r="F48" s="11">
        <v>447</v>
      </c>
      <c r="G48" s="11">
        <v>507</v>
      </c>
      <c r="H48" s="11">
        <v>712</v>
      </c>
      <c r="I48" s="11">
        <v>646</v>
      </c>
    </row>
    <row r="49" spans="1:9" x14ac:dyDescent="0.2">
      <c r="A49" s="11" t="s">
        <v>48</v>
      </c>
      <c r="B49" s="10" t="s">
        <v>0</v>
      </c>
      <c r="C49" s="11">
        <v>9950</v>
      </c>
      <c r="D49" s="11">
        <v>15223</v>
      </c>
      <c r="E49" s="11">
        <v>14385</v>
      </c>
      <c r="F49" s="11">
        <v>12974</v>
      </c>
      <c r="G49" s="11">
        <v>14264</v>
      </c>
      <c r="H49" s="11">
        <v>15788</v>
      </c>
      <c r="I49" s="11">
        <v>13482</v>
      </c>
    </row>
    <row r="50" spans="1:9" x14ac:dyDescent="0.2">
      <c r="A50" s="11" t="s">
        <v>49</v>
      </c>
      <c r="B50" s="10" t="s">
        <v>0</v>
      </c>
      <c r="C50" s="11">
        <v>864</v>
      </c>
      <c r="D50" s="11">
        <v>1915</v>
      </c>
      <c r="E50" s="11">
        <v>2213</v>
      </c>
      <c r="F50" s="11">
        <v>2068</v>
      </c>
      <c r="G50" s="11">
        <v>2359</v>
      </c>
      <c r="H50" s="11">
        <v>3169</v>
      </c>
      <c r="I50" s="11">
        <v>2742</v>
      </c>
    </row>
    <row r="51" spans="1:9" x14ac:dyDescent="0.2">
      <c r="A51" s="11" t="s">
        <v>50</v>
      </c>
      <c r="B51" s="10" t="s">
        <v>0</v>
      </c>
      <c r="C51" s="11">
        <v>470</v>
      </c>
      <c r="D51" s="11">
        <v>825</v>
      </c>
      <c r="E51" s="11">
        <v>894</v>
      </c>
      <c r="F51" s="11">
        <v>836</v>
      </c>
      <c r="G51" s="11">
        <v>953</v>
      </c>
      <c r="H51" s="11">
        <v>1102</v>
      </c>
      <c r="I51" s="11">
        <v>944</v>
      </c>
    </row>
    <row r="52" spans="1:9" x14ac:dyDescent="0.2">
      <c r="A52" s="11" t="s">
        <v>51</v>
      </c>
      <c r="B52" s="10" t="s">
        <v>0</v>
      </c>
      <c r="C52" s="11">
        <v>61276</v>
      </c>
      <c r="D52" s="11">
        <v>177322</v>
      </c>
      <c r="E52" s="11">
        <v>156489</v>
      </c>
      <c r="F52" s="11">
        <v>103076</v>
      </c>
      <c r="G52" s="11">
        <v>108765</v>
      </c>
      <c r="H52" s="11">
        <v>98945</v>
      </c>
      <c r="I52" s="11">
        <v>71928</v>
      </c>
    </row>
    <row r="53" spans="1:9" x14ac:dyDescent="0.2">
      <c r="A53" s="11" t="s">
        <v>52</v>
      </c>
      <c r="B53" s="10" t="s">
        <v>0</v>
      </c>
      <c r="C53" s="11">
        <v>962</v>
      </c>
      <c r="D53" s="11">
        <v>1780</v>
      </c>
      <c r="E53" s="11">
        <v>1721</v>
      </c>
      <c r="F53" s="11">
        <v>1779</v>
      </c>
      <c r="G53" s="11">
        <v>2479</v>
      </c>
      <c r="H53" s="11">
        <v>2819</v>
      </c>
      <c r="I53" s="11">
        <v>2071</v>
      </c>
    </row>
    <row r="54" spans="1:9" x14ac:dyDescent="0.2">
      <c r="A54" s="11" t="s">
        <v>53</v>
      </c>
      <c r="B54" s="10" t="s">
        <v>0</v>
      </c>
      <c r="C54" s="11">
        <v>108</v>
      </c>
      <c r="D54" s="11">
        <v>140</v>
      </c>
      <c r="E54" s="11">
        <v>202</v>
      </c>
      <c r="F54" s="11">
        <v>205</v>
      </c>
      <c r="G54" s="11">
        <v>285</v>
      </c>
      <c r="H54" s="11">
        <v>424</v>
      </c>
      <c r="I54" s="11">
        <v>374</v>
      </c>
    </row>
    <row r="55" spans="1:9" x14ac:dyDescent="0.2">
      <c r="A55" s="11" t="s">
        <v>54</v>
      </c>
      <c r="B55" s="10" t="s">
        <v>0</v>
      </c>
      <c r="C55" s="11">
        <v>1523</v>
      </c>
      <c r="D55" s="11">
        <v>3286</v>
      </c>
      <c r="E55" s="11">
        <v>3661</v>
      </c>
      <c r="F55" s="11">
        <v>3517</v>
      </c>
      <c r="G55" s="11">
        <v>4167</v>
      </c>
      <c r="H55" s="11">
        <v>5073</v>
      </c>
      <c r="I55" s="11">
        <v>4134</v>
      </c>
    </row>
    <row r="56" spans="1:9" x14ac:dyDescent="0.2">
      <c r="A56" s="11" t="s">
        <v>55</v>
      </c>
      <c r="B56" s="10" t="s">
        <v>0</v>
      </c>
      <c r="C56" s="11">
        <v>603</v>
      </c>
      <c r="D56" s="11">
        <v>706</v>
      </c>
      <c r="E56" s="11">
        <v>636</v>
      </c>
      <c r="F56" s="11">
        <v>596</v>
      </c>
      <c r="G56" s="11">
        <v>682</v>
      </c>
      <c r="H56" s="11">
        <v>851</v>
      </c>
      <c r="I56" s="11">
        <v>814</v>
      </c>
    </row>
    <row r="57" spans="1:9" x14ac:dyDescent="0.2">
      <c r="A57" s="11" t="s">
        <v>56</v>
      </c>
      <c r="B57" s="10" t="s">
        <v>0</v>
      </c>
      <c r="C57" s="11">
        <v>486</v>
      </c>
      <c r="D57" s="11">
        <v>1044</v>
      </c>
      <c r="E57" s="11">
        <v>1336</v>
      </c>
      <c r="F57" s="11">
        <v>1254</v>
      </c>
      <c r="G57" s="11">
        <v>1625</v>
      </c>
      <c r="H57" s="11">
        <v>2441</v>
      </c>
      <c r="I57" s="11">
        <v>2305</v>
      </c>
    </row>
    <row r="58" spans="1:9" x14ac:dyDescent="0.2">
      <c r="A58" s="11" t="s">
        <v>57</v>
      </c>
      <c r="B58" s="10" t="s">
        <v>0</v>
      </c>
      <c r="C58" s="11">
        <v>46</v>
      </c>
      <c r="D58" s="11">
        <v>81</v>
      </c>
      <c r="E58" s="11">
        <v>98</v>
      </c>
      <c r="F58" s="11">
        <v>105</v>
      </c>
      <c r="G58" s="11">
        <v>167</v>
      </c>
      <c r="H58" s="11">
        <v>304</v>
      </c>
      <c r="I58" s="11">
        <v>269</v>
      </c>
    </row>
    <row r="59" spans="1:9" x14ac:dyDescent="0.2">
      <c r="A59" s="11" t="s">
        <v>58</v>
      </c>
      <c r="B59" s="10" t="s">
        <v>0</v>
      </c>
      <c r="C59" s="11">
        <v>355</v>
      </c>
      <c r="D59" s="11">
        <v>724</v>
      </c>
      <c r="E59" s="11">
        <v>773</v>
      </c>
      <c r="F59" s="11">
        <v>748</v>
      </c>
      <c r="G59" s="11">
        <v>1030</v>
      </c>
      <c r="H59" s="11">
        <v>1369</v>
      </c>
      <c r="I59" s="11">
        <v>1231</v>
      </c>
    </row>
    <row r="60" spans="1:9" x14ac:dyDescent="0.2">
      <c r="A60" s="11" t="s">
        <v>59</v>
      </c>
      <c r="B60" s="10" t="s">
        <v>0</v>
      </c>
      <c r="C60" s="11">
        <v>385</v>
      </c>
      <c r="D60" s="11">
        <v>607</v>
      </c>
      <c r="E60" s="11">
        <v>614</v>
      </c>
      <c r="F60" s="11">
        <v>609</v>
      </c>
      <c r="G60" s="11">
        <v>743</v>
      </c>
      <c r="H60" s="11">
        <v>1030</v>
      </c>
      <c r="I60" s="11">
        <v>935</v>
      </c>
    </row>
    <row r="61" spans="1:9" x14ac:dyDescent="0.2">
      <c r="A61" s="11" t="s">
        <v>60</v>
      </c>
      <c r="B61" s="10" t="s">
        <v>0</v>
      </c>
      <c r="C61" s="11">
        <v>1452</v>
      </c>
      <c r="D61" s="11">
        <v>1393</v>
      </c>
      <c r="E61" s="11">
        <v>1029</v>
      </c>
      <c r="F61" s="11">
        <v>863</v>
      </c>
      <c r="G61" s="11">
        <v>888</v>
      </c>
      <c r="H61" s="11">
        <v>1070</v>
      </c>
      <c r="I61" s="11">
        <v>1093</v>
      </c>
    </row>
    <row r="62" spans="1:9" x14ac:dyDescent="0.2">
      <c r="A62" s="11" t="s">
        <v>61</v>
      </c>
      <c r="B62" s="10" t="s">
        <v>0</v>
      </c>
      <c r="C62" s="11">
        <v>492</v>
      </c>
      <c r="D62" s="11">
        <v>877</v>
      </c>
      <c r="E62" s="11">
        <v>1024</v>
      </c>
      <c r="F62" s="11">
        <v>951</v>
      </c>
      <c r="G62" s="11">
        <v>1180</v>
      </c>
      <c r="H62" s="11">
        <v>1931</v>
      </c>
      <c r="I62" s="11">
        <v>1566</v>
      </c>
    </row>
    <row r="63" spans="1:9" x14ac:dyDescent="0.2">
      <c r="A63" s="11" t="s">
        <v>62</v>
      </c>
      <c r="B63" s="10" t="s">
        <v>0</v>
      </c>
      <c r="C63" s="11">
        <v>378</v>
      </c>
      <c r="D63" s="11">
        <v>647</v>
      </c>
      <c r="E63" s="11">
        <v>768</v>
      </c>
      <c r="F63" s="11">
        <v>708</v>
      </c>
      <c r="G63" s="11">
        <v>1054</v>
      </c>
      <c r="H63" s="11">
        <v>1475</v>
      </c>
      <c r="I63" s="11">
        <v>1309</v>
      </c>
    </row>
    <row r="64" spans="1:9" x14ac:dyDescent="0.2">
      <c r="A64" s="11" t="s">
        <v>63</v>
      </c>
      <c r="B64" s="10" t="s">
        <v>0</v>
      </c>
      <c r="C64" s="11">
        <v>3078</v>
      </c>
      <c r="D64" s="11">
        <v>5879</v>
      </c>
      <c r="E64" s="11">
        <v>7065</v>
      </c>
      <c r="F64" s="11">
        <v>6596</v>
      </c>
      <c r="G64" s="11">
        <v>8489</v>
      </c>
      <c r="H64" s="11">
        <v>11429</v>
      </c>
      <c r="I64" s="11">
        <v>10026</v>
      </c>
    </row>
    <row r="65" spans="1:9" x14ac:dyDescent="0.2">
      <c r="A65" s="11" t="s">
        <v>64</v>
      </c>
      <c r="B65" s="10" t="s">
        <v>0</v>
      </c>
      <c r="C65" s="11">
        <v>500</v>
      </c>
      <c r="D65" s="11">
        <v>1026</v>
      </c>
      <c r="E65" s="11">
        <v>1183</v>
      </c>
      <c r="F65" s="11">
        <v>1095</v>
      </c>
      <c r="G65" s="11">
        <v>1423</v>
      </c>
      <c r="H65" s="11">
        <v>1909</v>
      </c>
      <c r="I65" s="11">
        <v>1571</v>
      </c>
    </row>
    <row r="66" spans="1:9" x14ac:dyDescent="0.2">
      <c r="A66" s="11" t="s">
        <v>65</v>
      </c>
      <c r="B66" s="10" t="s">
        <v>0</v>
      </c>
      <c r="C66" s="11">
        <v>5225</v>
      </c>
      <c r="D66" s="11">
        <v>10021</v>
      </c>
      <c r="E66" s="11">
        <v>11273</v>
      </c>
      <c r="F66" s="11">
        <v>10555</v>
      </c>
      <c r="G66" s="11">
        <v>13570</v>
      </c>
      <c r="H66" s="11">
        <v>18811</v>
      </c>
      <c r="I66" s="11">
        <v>17267</v>
      </c>
    </row>
    <row r="67" spans="1:9" x14ac:dyDescent="0.2">
      <c r="A67" s="11" t="s">
        <v>66</v>
      </c>
      <c r="B67" s="10" t="s">
        <v>0</v>
      </c>
      <c r="C67" s="11">
        <v>325</v>
      </c>
      <c r="D67" s="11">
        <v>615</v>
      </c>
      <c r="E67" s="11">
        <v>659</v>
      </c>
      <c r="F67" s="11">
        <v>606</v>
      </c>
      <c r="G67" s="11">
        <v>766</v>
      </c>
      <c r="H67" s="11">
        <v>961</v>
      </c>
      <c r="I67" s="11">
        <v>747</v>
      </c>
    </row>
    <row r="68" spans="1:9" ht="13.5" thickBot="1" x14ac:dyDescent="0.25">
      <c r="A68" s="13" t="s">
        <v>67</v>
      </c>
      <c r="B68" s="12" t="s">
        <v>0</v>
      </c>
      <c r="C68" s="11">
        <v>8141</v>
      </c>
      <c r="D68" s="11">
        <v>15245</v>
      </c>
      <c r="E68" s="11">
        <v>15869</v>
      </c>
      <c r="F68" s="11">
        <v>14185</v>
      </c>
      <c r="G68" s="11">
        <v>14428</v>
      </c>
      <c r="H68" s="11">
        <v>15495</v>
      </c>
      <c r="I68" s="11">
        <v>13205</v>
      </c>
    </row>
    <row r="69" spans="1:9" x14ac:dyDescent="0.2">
      <c r="A69" s="32" t="s">
        <v>68</v>
      </c>
      <c r="C69" s="14">
        <f>SUM(C2:C68)</f>
        <v>315955</v>
      </c>
      <c r="D69" s="14">
        <f>SUM(D2:D68)</f>
        <v>660805</v>
      </c>
      <c r="E69" s="14">
        <f t="shared" ref="E69:I69" si="0">SUM(E2:E68)</f>
        <v>648935</v>
      </c>
      <c r="F69" s="14">
        <f t="shared" si="0"/>
        <v>522245</v>
      </c>
      <c r="G69" s="14">
        <f t="shared" si="0"/>
        <v>564653</v>
      </c>
      <c r="H69" s="14">
        <f t="shared" si="0"/>
        <v>623333</v>
      </c>
      <c r="I69" s="14">
        <f t="shared" si="0"/>
        <v>508729</v>
      </c>
    </row>
    <row r="70" spans="1:9" x14ac:dyDescent="0.2">
      <c r="C70" s="17">
        <f>C69/$C$73</f>
        <v>8.2180325672914736E-2</v>
      </c>
      <c r="D70" s="17">
        <f t="shared" ref="D70:I70" si="1">D69/$C$73</f>
        <v>0.17187628018638865</v>
      </c>
      <c r="E70" s="17">
        <f t="shared" si="1"/>
        <v>0.16878887702537679</v>
      </c>
      <c r="F70" s="17">
        <f t="shared" si="1"/>
        <v>0.13583663553686873</v>
      </c>
      <c r="G70" s="17">
        <f t="shared" si="1"/>
        <v>0.14686701407538519</v>
      </c>
      <c r="H70" s="17">
        <f t="shared" si="1"/>
        <v>0.16212976196823903</v>
      </c>
      <c r="I70" s="17">
        <f t="shared" si="1"/>
        <v>0.13232110553482693</v>
      </c>
    </row>
    <row r="73" spans="1:9" x14ac:dyDescent="0.2">
      <c r="A73" s="32" t="s">
        <v>80</v>
      </c>
      <c r="C73" s="16">
        <f>SUM(C69:I69)</f>
        <v>3844655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" sqref="K3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2755</v>
      </c>
      <c r="D2" s="52">
        <v>5197</v>
      </c>
      <c r="E2" s="52">
        <v>5993</v>
      </c>
      <c r="F2" s="52">
        <v>5999</v>
      </c>
      <c r="G2" s="52">
        <v>9154</v>
      </c>
      <c r="H2" s="52">
        <v>8561</v>
      </c>
      <c r="I2" s="52">
        <v>6314</v>
      </c>
      <c r="J2" s="10"/>
    </row>
    <row r="3" spans="1:10" x14ac:dyDescent="0.2">
      <c r="A3" s="11" t="s">
        <v>2</v>
      </c>
      <c r="B3" s="10" t="s">
        <v>70</v>
      </c>
      <c r="C3" s="52">
        <v>18537</v>
      </c>
      <c r="D3" s="52">
        <v>38740</v>
      </c>
      <c r="E3" s="52">
        <v>38984</v>
      </c>
      <c r="F3" s="52">
        <v>36655</v>
      </c>
      <c r="G3" s="52">
        <v>47860</v>
      </c>
      <c r="H3" s="52">
        <v>46665</v>
      </c>
      <c r="I3" s="52">
        <v>35458</v>
      </c>
    </row>
    <row r="4" spans="1:10" x14ac:dyDescent="0.2">
      <c r="A4" s="11" t="s">
        <v>3</v>
      </c>
      <c r="B4" s="10" t="s">
        <v>70</v>
      </c>
      <c r="C4" s="52">
        <v>1972</v>
      </c>
      <c r="D4" s="52">
        <v>3441</v>
      </c>
      <c r="E4" s="52">
        <v>3895</v>
      </c>
      <c r="F4" s="52">
        <v>4195</v>
      </c>
      <c r="G4" s="52">
        <v>5258</v>
      </c>
      <c r="H4" s="52">
        <v>5084</v>
      </c>
      <c r="I4" s="52">
        <v>3807</v>
      </c>
    </row>
    <row r="5" spans="1:10" x14ac:dyDescent="0.2">
      <c r="A5" s="11" t="s">
        <v>4</v>
      </c>
      <c r="B5" s="10" t="s">
        <v>70</v>
      </c>
      <c r="C5" s="52">
        <v>3381</v>
      </c>
      <c r="D5" s="52">
        <v>6711</v>
      </c>
      <c r="E5" s="52">
        <v>7913</v>
      </c>
      <c r="F5" s="52">
        <v>7691</v>
      </c>
      <c r="G5" s="52">
        <v>9998</v>
      </c>
      <c r="H5" s="52">
        <v>9491</v>
      </c>
      <c r="I5" s="52">
        <v>6686</v>
      </c>
    </row>
    <row r="6" spans="1:10" x14ac:dyDescent="0.2">
      <c r="A6" s="11" t="s">
        <v>5</v>
      </c>
      <c r="B6" s="10" t="s">
        <v>70</v>
      </c>
      <c r="C6" s="52">
        <v>1647</v>
      </c>
      <c r="D6" s="52">
        <v>3062</v>
      </c>
      <c r="E6" s="52">
        <v>3263</v>
      </c>
      <c r="F6" s="52">
        <v>3612</v>
      </c>
      <c r="G6" s="52">
        <v>4737</v>
      </c>
      <c r="H6" s="52">
        <v>4757</v>
      </c>
      <c r="I6" s="52">
        <v>3490</v>
      </c>
    </row>
    <row r="7" spans="1:10" x14ac:dyDescent="0.2">
      <c r="A7" s="11" t="s">
        <v>6</v>
      </c>
      <c r="B7" s="10" t="s">
        <v>70</v>
      </c>
      <c r="C7" s="52">
        <v>8048</v>
      </c>
      <c r="D7" s="52">
        <v>14612</v>
      </c>
      <c r="E7" s="52">
        <v>16807</v>
      </c>
      <c r="F7" s="52">
        <v>17445</v>
      </c>
      <c r="G7" s="52">
        <v>23815</v>
      </c>
      <c r="H7" s="52">
        <v>20832</v>
      </c>
      <c r="I7" s="52">
        <v>16404</v>
      </c>
    </row>
    <row r="8" spans="1:10" x14ac:dyDescent="0.2">
      <c r="A8" s="11" t="s">
        <v>7</v>
      </c>
      <c r="B8" s="10" t="s">
        <v>70</v>
      </c>
      <c r="C8" s="52">
        <v>3510</v>
      </c>
      <c r="D8" s="52">
        <v>5851</v>
      </c>
      <c r="E8" s="52">
        <v>6864</v>
      </c>
      <c r="F8" s="52">
        <v>7708</v>
      </c>
      <c r="G8" s="52">
        <v>9448</v>
      </c>
      <c r="H8" s="52">
        <v>9303</v>
      </c>
      <c r="I8" s="52">
        <v>7887</v>
      </c>
    </row>
    <row r="9" spans="1:10" x14ac:dyDescent="0.2">
      <c r="A9" s="11" t="s">
        <v>8</v>
      </c>
      <c r="B9" s="10" t="s">
        <v>70</v>
      </c>
      <c r="C9" s="52">
        <v>1826</v>
      </c>
      <c r="D9" s="52">
        <v>3163</v>
      </c>
      <c r="E9" s="52">
        <v>3609</v>
      </c>
      <c r="F9" s="52">
        <v>3635</v>
      </c>
      <c r="G9" s="52">
        <v>4987</v>
      </c>
      <c r="H9" s="52">
        <v>4623</v>
      </c>
      <c r="I9" s="52">
        <v>3788</v>
      </c>
    </row>
    <row r="10" spans="1:10" x14ac:dyDescent="0.2">
      <c r="A10" s="11" t="s">
        <v>9</v>
      </c>
      <c r="B10" s="10" t="s">
        <v>70</v>
      </c>
      <c r="C10" s="52">
        <v>13858</v>
      </c>
      <c r="D10" s="52">
        <v>24242</v>
      </c>
      <c r="E10" s="52">
        <v>26366</v>
      </c>
      <c r="F10" s="52">
        <v>28531</v>
      </c>
      <c r="G10" s="52">
        <v>41800</v>
      </c>
      <c r="H10" s="52">
        <v>37624</v>
      </c>
      <c r="I10" s="52">
        <v>29305</v>
      </c>
    </row>
    <row r="11" spans="1:10" x14ac:dyDescent="0.2">
      <c r="A11" s="11" t="s">
        <v>10</v>
      </c>
      <c r="B11" s="10" t="s">
        <v>70</v>
      </c>
      <c r="C11" s="52">
        <v>5747</v>
      </c>
      <c r="D11" s="52">
        <v>10923</v>
      </c>
      <c r="E11" s="52">
        <v>12148</v>
      </c>
      <c r="F11" s="52">
        <v>12288</v>
      </c>
      <c r="G11" s="52">
        <v>16312</v>
      </c>
      <c r="H11" s="52">
        <v>14645</v>
      </c>
      <c r="I11" s="52">
        <v>10777</v>
      </c>
    </row>
    <row r="12" spans="1:10" x14ac:dyDescent="0.2">
      <c r="A12" s="11" t="s">
        <v>11</v>
      </c>
      <c r="B12" s="10" t="s">
        <v>70</v>
      </c>
      <c r="C12" s="52">
        <v>3495</v>
      </c>
      <c r="D12" s="52">
        <v>5803</v>
      </c>
      <c r="E12" s="52">
        <v>6352</v>
      </c>
      <c r="F12" s="52">
        <v>7172</v>
      </c>
      <c r="G12" s="52">
        <v>8573</v>
      </c>
      <c r="H12" s="52">
        <v>8554</v>
      </c>
      <c r="I12" s="52">
        <v>6523</v>
      </c>
    </row>
    <row r="13" spans="1:10" x14ac:dyDescent="0.2">
      <c r="A13" s="11" t="s">
        <v>12</v>
      </c>
      <c r="B13" s="10" t="s">
        <v>70</v>
      </c>
      <c r="C13" s="52">
        <v>86</v>
      </c>
      <c r="D13" s="52">
        <v>165</v>
      </c>
      <c r="E13" s="52">
        <v>210</v>
      </c>
      <c r="F13" s="52">
        <v>230</v>
      </c>
      <c r="G13" s="52">
        <v>385</v>
      </c>
      <c r="H13" s="52">
        <v>417</v>
      </c>
      <c r="I13" s="52">
        <v>350</v>
      </c>
    </row>
    <row r="14" spans="1:10" x14ac:dyDescent="0.2">
      <c r="A14" s="11" t="s">
        <v>13</v>
      </c>
      <c r="B14" s="10" t="s">
        <v>70</v>
      </c>
      <c r="C14" s="52">
        <v>1518</v>
      </c>
      <c r="D14" s="52">
        <v>2829</v>
      </c>
      <c r="E14" s="52">
        <v>3317</v>
      </c>
      <c r="F14" s="52">
        <v>3663</v>
      </c>
      <c r="G14" s="52">
        <v>5020</v>
      </c>
      <c r="H14" s="52">
        <v>4465</v>
      </c>
      <c r="I14" s="52">
        <v>3090</v>
      </c>
    </row>
    <row r="15" spans="1:10" x14ac:dyDescent="0.2">
      <c r="A15" s="11" t="s">
        <v>14</v>
      </c>
      <c r="B15" s="10" t="s">
        <v>70</v>
      </c>
      <c r="C15" s="52">
        <v>5400</v>
      </c>
      <c r="D15" s="52">
        <v>5873</v>
      </c>
      <c r="E15" s="52">
        <v>5208</v>
      </c>
      <c r="F15" s="52">
        <v>5293</v>
      </c>
      <c r="G15" s="52">
        <v>7396</v>
      </c>
      <c r="H15" s="52">
        <v>6884</v>
      </c>
      <c r="I15" s="52">
        <v>5738</v>
      </c>
    </row>
    <row r="16" spans="1:10" x14ac:dyDescent="0.2">
      <c r="A16" s="11" t="s">
        <v>15</v>
      </c>
      <c r="B16" s="10" t="s">
        <v>70</v>
      </c>
      <c r="C16" s="52">
        <v>10793</v>
      </c>
      <c r="D16" s="52">
        <v>19057</v>
      </c>
      <c r="E16" s="52">
        <v>19566</v>
      </c>
      <c r="F16" s="52">
        <v>21709</v>
      </c>
      <c r="G16" s="52">
        <v>31145</v>
      </c>
      <c r="H16" s="52">
        <v>27244</v>
      </c>
      <c r="I16" s="52">
        <v>22261</v>
      </c>
    </row>
    <row r="17" spans="1:9" x14ac:dyDescent="0.2">
      <c r="A17" s="11" t="s">
        <v>16</v>
      </c>
      <c r="B17" s="10" t="s">
        <v>70</v>
      </c>
      <c r="C17" s="52">
        <v>1085</v>
      </c>
      <c r="D17" s="52">
        <v>1892</v>
      </c>
      <c r="E17" s="52">
        <v>2144</v>
      </c>
      <c r="F17" s="52">
        <v>2350</v>
      </c>
      <c r="G17" s="52">
        <v>3113</v>
      </c>
      <c r="H17" s="52">
        <v>2790</v>
      </c>
      <c r="I17" s="52">
        <v>2177</v>
      </c>
    </row>
    <row r="18" spans="1:9" x14ac:dyDescent="0.2">
      <c r="A18" s="11" t="s">
        <v>17</v>
      </c>
      <c r="B18" s="10" t="s">
        <v>70</v>
      </c>
      <c r="C18" s="52">
        <v>2022</v>
      </c>
      <c r="D18" s="52">
        <v>3884</v>
      </c>
      <c r="E18" s="52">
        <v>4391</v>
      </c>
      <c r="F18" s="52">
        <v>4923</v>
      </c>
      <c r="G18" s="52">
        <v>6267</v>
      </c>
      <c r="H18" s="52">
        <v>5727</v>
      </c>
      <c r="I18" s="52">
        <v>4214</v>
      </c>
    </row>
    <row r="19" spans="1:9" x14ac:dyDescent="0.2">
      <c r="A19" s="11" t="s">
        <v>18</v>
      </c>
      <c r="B19" s="10" t="s">
        <v>70</v>
      </c>
      <c r="C19" s="52">
        <v>957</v>
      </c>
      <c r="D19" s="52">
        <v>1729</v>
      </c>
      <c r="E19" s="52">
        <v>1848</v>
      </c>
      <c r="F19" s="52">
        <v>2082</v>
      </c>
      <c r="G19" s="52">
        <v>2538</v>
      </c>
      <c r="H19" s="52">
        <v>2337</v>
      </c>
      <c r="I19" s="52">
        <v>1777</v>
      </c>
    </row>
    <row r="20" spans="1:9" x14ac:dyDescent="0.2">
      <c r="A20" s="11" t="s">
        <v>19</v>
      </c>
      <c r="B20" s="10" t="s">
        <v>70</v>
      </c>
      <c r="C20" s="52">
        <v>1688</v>
      </c>
      <c r="D20" s="52">
        <v>2854</v>
      </c>
      <c r="E20" s="52">
        <v>3019</v>
      </c>
      <c r="F20" s="52">
        <v>3333</v>
      </c>
      <c r="G20" s="52">
        <v>4256</v>
      </c>
      <c r="H20" s="52">
        <v>4103</v>
      </c>
      <c r="I20" s="52">
        <v>3186</v>
      </c>
    </row>
    <row r="21" spans="1:9" x14ac:dyDescent="0.2">
      <c r="A21" s="11" t="s">
        <v>20</v>
      </c>
      <c r="B21" s="10" t="s">
        <v>70</v>
      </c>
      <c r="C21" s="52">
        <v>2113</v>
      </c>
      <c r="D21" s="52">
        <v>3756</v>
      </c>
      <c r="E21" s="52">
        <v>4323</v>
      </c>
      <c r="F21" s="52">
        <v>4591</v>
      </c>
      <c r="G21" s="52">
        <v>6184</v>
      </c>
      <c r="H21" s="52">
        <v>5993</v>
      </c>
      <c r="I21" s="52">
        <v>4792</v>
      </c>
    </row>
    <row r="22" spans="1:9" x14ac:dyDescent="0.2">
      <c r="A22" s="11" t="s">
        <v>21</v>
      </c>
      <c r="B22" s="10" t="s">
        <v>70</v>
      </c>
      <c r="C22" s="52">
        <v>5760</v>
      </c>
      <c r="D22" s="52">
        <v>10904</v>
      </c>
      <c r="E22" s="52">
        <v>12402</v>
      </c>
      <c r="F22" s="52">
        <v>12782</v>
      </c>
      <c r="G22" s="52">
        <v>16764</v>
      </c>
      <c r="H22" s="52">
        <v>15704</v>
      </c>
      <c r="I22" s="52">
        <v>13894</v>
      </c>
    </row>
    <row r="23" spans="1:9" x14ac:dyDescent="0.2">
      <c r="A23" s="11" t="s">
        <v>22</v>
      </c>
      <c r="B23" s="10" t="s">
        <v>70</v>
      </c>
      <c r="C23" s="52">
        <v>4791</v>
      </c>
      <c r="D23" s="52">
        <v>9751</v>
      </c>
      <c r="E23" s="52">
        <v>10849</v>
      </c>
      <c r="F23" s="52">
        <v>10978</v>
      </c>
      <c r="G23" s="52">
        <v>14763</v>
      </c>
      <c r="H23" s="52">
        <v>14017</v>
      </c>
      <c r="I23" s="52">
        <v>10786</v>
      </c>
    </row>
    <row r="24" spans="1:9" x14ac:dyDescent="0.2">
      <c r="A24" s="11" t="s">
        <v>23</v>
      </c>
      <c r="B24" s="10" t="s">
        <v>70</v>
      </c>
      <c r="C24" s="52">
        <v>9450</v>
      </c>
      <c r="D24" s="52">
        <v>17578</v>
      </c>
      <c r="E24" s="52">
        <v>19780</v>
      </c>
      <c r="F24" s="52">
        <v>19611</v>
      </c>
      <c r="G24" s="52">
        <v>27918</v>
      </c>
      <c r="H24" s="52">
        <v>27063</v>
      </c>
      <c r="I24" s="52">
        <v>21301</v>
      </c>
    </row>
    <row r="25" spans="1:9" x14ac:dyDescent="0.2">
      <c r="A25" s="11" t="s">
        <v>24</v>
      </c>
      <c r="B25" s="10" t="s">
        <v>70</v>
      </c>
      <c r="C25" s="52">
        <v>815</v>
      </c>
      <c r="D25" s="52">
        <v>1486</v>
      </c>
      <c r="E25" s="52">
        <v>1646</v>
      </c>
      <c r="F25" s="52">
        <v>1748</v>
      </c>
      <c r="G25" s="52">
        <v>2518</v>
      </c>
      <c r="H25" s="52">
        <v>2303</v>
      </c>
      <c r="I25" s="52">
        <v>1602</v>
      </c>
    </row>
    <row r="26" spans="1:9" x14ac:dyDescent="0.2">
      <c r="A26" s="11" t="s">
        <v>25</v>
      </c>
      <c r="B26" s="10" t="s">
        <v>70</v>
      </c>
      <c r="C26" s="52">
        <v>5325</v>
      </c>
      <c r="D26" s="52">
        <v>9434</v>
      </c>
      <c r="E26" s="52">
        <v>10264</v>
      </c>
      <c r="F26" s="52">
        <v>10782</v>
      </c>
      <c r="G26" s="52">
        <v>13741</v>
      </c>
      <c r="H26" s="52">
        <v>12112</v>
      </c>
      <c r="I26" s="52">
        <v>9163</v>
      </c>
    </row>
    <row r="27" spans="1:9" x14ac:dyDescent="0.2">
      <c r="A27" s="11" t="s">
        <v>26</v>
      </c>
      <c r="B27" s="10" t="s">
        <v>70</v>
      </c>
      <c r="C27" s="52">
        <v>2772</v>
      </c>
      <c r="D27" s="52">
        <v>5816</v>
      </c>
      <c r="E27" s="52">
        <v>6219</v>
      </c>
      <c r="F27" s="52">
        <v>6761</v>
      </c>
      <c r="G27" s="52">
        <v>7931</v>
      </c>
      <c r="H27" s="52">
        <v>6946</v>
      </c>
      <c r="I27" s="52">
        <v>4858</v>
      </c>
    </row>
    <row r="28" spans="1:9" x14ac:dyDescent="0.2">
      <c r="A28" s="11" t="s">
        <v>27</v>
      </c>
      <c r="B28" s="10" t="s">
        <v>70</v>
      </c>
      <c r="C28" s="52">
        <v>107</v>
      </c>
      <c r="D28" s="52">
        <v>139</v>
      </c>
      <c r="E28" s="52">
        <v>197</v>
      </c>
      <c r="F28" s="52">
        <v>273</v>
      </c>
      <c r="G28" s="52">
        <v>446</v>
      </c>
      <c r="H28" s="52">
        <v>497</v>
      </c>
      <c r="I28" s="52">
        <v>394</v>
      </c>
    </row>
    <row r="29" spans="1:9" x14ac:dyDescent="0.2">
      <c r="A29" s="11" t="s">
        <v>28</v>
      </c>
      <c r="B29" s="10" t="s">
        <v>70</v>
      </c>
      <c r="C29" s="52">
        <v>4202</v>
      </c>
      <c r="D29" s="52">
        <v>8051</v>
      </c>
      <c r="E29" s="52">
        <v>9122</v>
      </c>
      <c r="F29" s="52">
        <v>9754</v>
      </c>
      <c r="G29" s="52">
        <v>12493</v>
      </c>
      <c r="H29" s="52">
        <v>11188</v>
      </c>
      <c r="I29" s="52">
        <v>9516</v>
      </c>
    </row>
    <row r="30" spans="1:9" x14ac:dyDescent="0.2">
      <c r="A30" s="11" t="s">
        <v>29</v>
      </c>
      <c r="B30" s="10" t="s">
        <v>70</v>
      </c>
      <c r="C30" s="52">
        <v>525</v>
      </c>
      <c r="D30" s="52">
        <v>994</v>
      </c>
      <c r="E30" s="52">
        <v>1008</v>
      </c>
      <c r="F30" s="52">
        <v>1148</v>
      </c>
      <c r="G30" s="52">
        <v>1459</v>
      </c>
      <c r="H30" s="52">
        <v>1344</v>
      </c>
      <c r="I30" s="52">
        <v>981</v>
      </c>
    </row>
    <row r="31" spans="1:9" x14ac:dyDescent="0.2">
      <c r="A31" s="11" t="s">
        <v>30</v>
      </c>
      <c r="B31" s="10" t="s">
        <v>70</v>
      </c>
      <c r="C31" s="52">
        <v>980</v>
      </c>
      <c r="D31" s="52">
        <v>1768</v>
      </c>
      <c r="E31" s="52">
        <v>1772</v>
      </c>
      <c r="F31" s="52">
        <v>2072</v>
      </c>
      <c r="G31" s="52">
        <v>2251</v>
      </c>
      <c r="H31" s="52">
        <v>1946</v>
      </c>
      <c r="I31" s="52">
        <v>1382</v>
      </c>
    </row>
    <row r="32" spans="1:9" x14ac:dyDescent="0.2">
      <c r="A32" s="11" t="s">
        <v>31</v>
      </c>
      <c r="B32" s="10" t="s">
        <v>70</v>
      </c>
      <c r="C32" s="52">
        <v>1365</v>
      </c>
      <c r="D32" s="52">
        <v>2303</v>
      </c>
      <c r="E32" s="52">
        <v>2460</v>
      </c>
      <c r="F32" s="52">
        <v>2777</v>
      </c>
      <c r="G32" s="52">
        <v>3667</v>
      </c>
      <c r="H32" s="52">
        <v>3503</v>
      </c>
      <c r="I32" s="52">
        <v>2815</v>
      </c>
    </row>
    <row r="33" spans="1:9" x14ac:dyDescent="0.2">
      <c r="A33" s="11" t="s">
        <v>32</v>
      </c>
      <c r="B33" s="10" t="s">
        <v>70</v>
      </c>
      <c r="C33" s="52">
        <v>2399</v>
      </c>
      <c r="D33" s="52">
        <v>3557</v>
      </c>
      <c r="E33" s="52">
        <v>3973</v>
      </c>
      <c r="F33" s="52">
        <v>4395</v>
      </c>
      <c r="G33" s="52">
        <v>5374</v>
      </c>
      <c r="H33" s="52">
        <v>5207</v>
      </c>
      <c r="I33" s="52">
        <v>3947</v>
      </c>
    </row>
    <row r="34" spans="1:9" x14ac:dyDescent="0.2">
      <c r="A34" s="11" t="s">
        <v>33</v>
      </c>
      <c r="B34" s="10" t="s">
        <v>70</v>
      </c>
      <c r="C34" s="52">
        <v>1331</v>
      </c>
      <c r="D34" s="52">
        <v>2366</v>
      </c>
      <c r="E34" s="52">
        <v>2835</v>
      </c>
      <c r="F34" s="52">
        <v>2854</v>
      </c>
      <c r="G34" s="52">
        <v>3689</v>
      </c>
      <c r="H34" s="52">
        <v>3627</v>
      </c>
      <c r="I34" s="52">
        <v>2725</v>
      </c>
    </row>
    <row r="35" spans="1:9" x14ac:dyDescent="0.2">
      <c r="A35" s="11" t="s">
        <v>34</v>
      </c>
      <c r="B35" s="10" t="s">
        <v>70</v>
      </c>
      <c r="C35" s="52">
        <v>663</v>
      </c>
      <c r="D35" s="52">
        <v>1275</v>
      </c>
      <c r="E35" s="52">
        <v>1370</v>
      </c>
      <c r="F35" s="52">
        <v>1505</v>
      </c>
      <c r="G35" s="52">
        <v>1969</v>
      </c>
      <c r="H35" s="52">
        <v>1807</v>
      </c>
      <c r="I35" s="52">
        <v>1432</v>
      </c>
    </row>
    <row r="36" spans="1:9" x14ac:dyDescent="0.2">
      <c r="A36" s="11" t="s">
        <v>35</v>
      </c>
      <c r="B36" s="10" t="s">
        <v>70</v>
      </c>
      <c r="C36" s="52">
        <v>4181</v>
      </c>
      <c r="D36" s="52">
        <v>7240</v>
      </c>
      <c r="E36" s="52">
        <v>7838</v>
      </c>
      <c r="F36" s="52">
        <v>8181</v>
      </c>
      <c r="G36" s="52">
        <v>10021</v>
      </c>
      <c r="H36" s="52">
        <v>8292</v>
      </c>
      <c r="I36" s="52">
        <v>6517</v>
      </c>
    </row>
    <row r="37" spans="1:9" x14ac:dyDescent="0.2">
      <c r="A37" s="11" t="s">
        <v>36</v>
      </c>
      <c r="B37" s="10" t="s">
        <v>70</v>
      </c>
      <c r="C37" s="52">
        <v>12872</v>
      </c>
      <c r="D37" s="52">
        <v>24388</v>
      </c>
      <c r="E37" s="52">
        <v>26234</v>
      </c>
      <c r="F37" s="52">
        <v>25251</v>
      </c>
      <c r="G37" s="52">
        <v>32779</v>
      </c>
      <c r="H37" s="52">
        <v>32754</v>
      </c>
      <c r="I37" s="52">
        <v>29332</v>
      </c>
    </row>
    <row r="38" spans="1:9" x14ac:dyDescent="0.2">
      <c r="A38" s="11" t="s">
        <v>37</v>
      </c>
      <c r="B38" s="10" t="s">
        <v>70</v>
      </c>
      <c r="C38" s="52">
        <v>2332</v>
      </c>
      <c r="D38" s="52">
        <v>3843</v>
      </c>
      <c r="E38" s="52">
        <v>4255</v>
      </c>
      <c r="F38" s="52">
        <v>4600</v>
      </c>
      <c r="G38" s="52">
        <v>5541</v>
      </c>
      <c r="H38" s="52">
        <v>5370</v>
      </c>
      <c r="I38" s="52">
        <v>4157</v>
      </c>
    </row>
    <row r="39" spans="1:9" x14ac:dyDescent="0.2">
      <c r="A39" s="11" t="s">
        <v>38</v>
      </c>
      <c r="B39" s="10" t="s">
        <v>70</v>
      </c>
      <c r="C39" s="52">
        <v>3380</v>
      </c>
      <c r="D39" s="52">
        <v>6218</v>
      </c>
      <c r="E39" s="52">
        <v>7126</v>
      </c>
      <c r="F39" s="52">
        <v>7751</v>
      </c>
      <c r="G39" s="52">
        <v>9839</v>
      </c>
      <c r="H39" s="52">
        <v>9747</v>
      </c>
      <c r="I39" s="52">
        <v>8550</v>
      </c>
    </row>
    <row r="40" spans="1:9" x14ac:dyDescent="0.2">
      <c r="A40" s="11" t="s">
        <v>39</v>
      </c>
      <c r="B40" s="10" t="s">
        <v>70</v>
      </c>
      <c r="C40" s="52">
        <v>5843</v>
      </c>
      <c r="D40" s="52">
        <v>11499</v>
      </c>
      <c r="E40" s="52">
        <v>12611</v>
      </c>
      <c r="F40" s="52">
        <v>13161</v>
      </c>
      <c r="G40" s="52">
        <v>17329</v>
      </c>
      <c r="H40" s="52">
        <v>15991</v>
      </c>
      <c r="I40" s="52">
        <v>12993</v>
      </c>
    </row>
    <row r="41" spans="1:9" x14ac:dyDescent="0.2">
      <c r="A41" s="11" t="s">
        <v>40</v>
      </c>
      <c r="B41" s="10" t="s">
        <v>70</v>
      </c>
      <c r="C41" s="52">
        <v>5817</v>
      </c>
      <c r="D41" s="52">
        <v>11207</v>
      </c>
      <c r="E41" s="52">
        <v>13144</v>
      </c>
      <c r="F41" s="52">
        <v>13831</v>
      </c>
      <c r="G41" s="52">
        <v>18348</v>
      </c>
      <c r="H41" s="52">
        <v>15658</v>
      </c>
      <c r="I41" s="52">
        <v>12829</v>
      </c>
    </row>
    <row r="42" spans="1:9" x14ac:dyDescent="0.2">
      <c r="A42" s="11" t="s">
        <v>41</v>
      </c>
      <c r="B42" s="10" t="s">
        <v>70</v>
      </c>
      <c r="C42" s="52">
        <v>2823</v>
      </c>
      <c r="D42" s="52">
        <v>4952</v>
      </c>
      <c r="E42" s="52">
        <v>6286</v>
      </c>
      <c r="F42" s="52">
        <v>6351</v>
      </c>
      <c r="G42" s="52">
        <v>8190</v>
      </c>
      <c r="H42" s="52">
        <v>8483</v>
      </c>
      <c r="I42" s="52">
        <v>6643</v>
      </c>
    </row>
    <row r="43" spans="1:9" x14ac:dyDescent="0.2">
      <c r="A43" s="11" t="s">
        <v>42</v>
      </c>
      <c r="B43" s="10" t="s">
        <v>70</v>
      </c>
      <c r="C43" s="52">
        <v>1017</v>
      </c>
      <c r="D43" s="52">
        <v>1846</v>
      </c>
      <c r="E43" s="52">
        <v>2191</v>
      </c>
      <c r="F43" s="52">
        <v>2414</v>
      </c>
      <c r="G43" s="52">
        <v>3209</v>
      </c>
      <c r="H43" s="52">
        <v>3099</v>
      </c>
      <c r="I43" s="52">
        <v>2393</v>
      </c>
    </row>
    <row r="44" spans="1:9" x14ac:dyDescent="0.2">
      <c r="A44" s="11" t="s">
        <v>43</v>
      </c>
      <c r="B44" s="10" t="s">
        <v>70</v>
      </c>
      <c r="C44" s="52">
        <v>2912</v>
      </c>
      <c r="D44" s="52">
        <v>4989</v>
      </c>
      <c r="E44" s="52">
        <v>5002</v>
      </c>
      <c r="F44" s="52">
        <v>5505</v>
      </c>
      <c r="G44" s="52">
        <v>7206</v>
      </c>
      <c r="H44" s="52">
        <v>6992</v>
      </c>
      <c r="I44" s="52">
        <v>5696</v>
      </c>
    </row>
    <row r="45" spans="1:9" x14ac:dyDescent="0.2">
      <c r="A45" s="11" t="s">
        <v>44</v>
      </c>
      <c r="B45" s="10" t="s">
        <v>70</v>
      </c>
      <c r="C45" s="52">
        <v>1134</v>
      </c>
      <c r="D45" s="52">
        <v>2330</v>
      </c>
      <c r="E45" s="52">
        <v>2491</v>
      </c>
      <c r="F45" s="52">
        <v>2684</v>
      </c>
      <c r="G45" s="52">
        <v>3722</v>
      </c>
      <c r="H45" s="52">
        <v>3411</v>
      </c>
      <c r="I45" s="52">
        <v>2863</v>
      </c>
    </row>
    <row r="46" spans="1:9" x14ac:dyDescent="0.2">
      <c r="A46" s="11" t="s">
        <v>45</v>
      </c>
      <c r="B46" s="10" t="s">
        <v>70</v>
      </c>
      <c r="C46" s="52">
        <v>2516</v>
      </c>
      <c r="D46" s="52">
        <v>5189</v>
      </c>
      <c r="E46" s="52">
        <v>6168</v>
      </c>
      <c r="F46" s="52">
        <v>6485</v>
      </c>
      <c r="G46" s="52">
        <v>9332</v>
      </c>
      <c r="H46" s="52">
        <v>8407</v>
      </c>
      <c r="I46" s="52">
        <v>5200</v>
      </c>
    </row>
    <row r="47" spans="1:9" x14ac:dyDescent="0.2">
      <c r="A47" s="11" t="s">
        <v>46</v>
      </c>
      <c r="B47" s="10" t="s">
        <v>70</v>
      </c>
      <c r="C47" s="52">
        <v>13965</v>
      </c>
      <c r="D47" s="52">
        <v>26034</v>
      </c>
      <c r="E47" s="52">
        <v>28095</v>
      </c>
      <c r="F47" s="52">
        <v>29126</v>
      </c>
      <c r="G47" s="52">
        <v>41072</v>
      </c>
      <c r="H47" s="52">
        <v>37736</v>
      </c>
      <c r="I47" s="52">
        <v>31604</v>
      </c>
    </row>
    <row r="48" spans="1:9" x14ac:dyDescent="0.2">
      <c r="A48" s="11" t="s">
        <v>47</v>
      </c>
      <c r="B48" s="10" t="s">
        <v>70</v>
      </c>
      <c r="C48" s="52">
        <v>396</v>
      </c>
      <c r="D48" s="52">
        <v>815</v>
      </c>
      <c r="E48" s="52">
        <v>934</v>
      </c>
      <c r="F48" s="52">
        <v>874</v>
      </c>
      <c r="G48" s="52">
        <v>1215</v>
      </c>
      <c r="H48" s="52">
        <v>1239</v>
      </c>
      <c r="I48" s="52">
        <v>1075</v>
      </c>
    </row>
    <row r="49" spans="1:9" x14ac:dyDescent="0.2">
      <c r="A49" s="11" t="s">
        <v>48</v>
      </c>
      <c r="B49" s="10" t="s">
        <v>70</v>
      </c>
      <c r="C49" s="52">
        <v>6074</v>
      </c>
      <c r="D49" s="52">
        <v>11223</v>
      </c>
      <c r="E49" s="52">
        <v>11865</v>
      </c>
      <c r="F49" s="52">
        <v>12466</v>
      </c>
      <c r="G49" s="52">
        <v>17384</v>
      </c>
      <c r="H49" s="52">
        <v>15503</v>
      </c>
      <c r="I49" s="52">
        <v>12272</v>
      </c>
    </row>
    <row r="50" spans="1:9" x14ac:dyDescent="0.2">
      <c r="A50" s="11" t="s">
        <v>49</v>
      </c>
      <c r="B50" s="10" t="s">
        <v>70</v>
      </c>
      <c r="C50" s="52">
        <v>2005</v>
      </c>
      <c r="D50" s="52">
        <v>3650</v>
      </c>
      <c r="E50" s="52">
        <v>4593</v>
      </c>
      <c r="F50" s="52">
        <v>4820</v>
      </c>
      <c r="G50" s="52">
        <v>6191</v>
      </c>
      <c r="H50" s="52">
        <v>5966</v>
      </c>
      <c r="I50" s="52">
        <v>4705</v>
      </c>
    </row>
    <row r="51" spans="1:9" x14ac:dyDescent="0.2">
      <c r="A51" s="11" t="s">
        <v>50</v>
      </c>
      <c r="B51" s="10" t="s">
        <v>70</v>
      </c>
      <c r="C51" s="52">
        <v>1412</v>
      </c>
      <c r="D51" s="52">
        <v>2640</v>
      </c>
      <c r="E51" s="52">
        <v>3051</v>
      </c>
      <c r="F51" s="52">
        <v>3194</v>
      </c>
      <c r="G51" s="52">
        <v>4254</v>
      </c>
      <c r="H51" s="52">
        <v>3803</v>
      </c>
      <c r="I51" s="52">
        <v>2573</v>
      </c>
    </row>
    <row r="52" spans="1:9" x14ac:dyDescent="0.2">
      <c r="A52" s="11" t="s">
        <v>51</v>
      </c>
      <c r="B52" s="10" t="s">
        <v>70</v>
      </c>
      <c r="C52" s="52">
        <v>9832</v>
      </c>
      <c r="D52" s="52">
        <v>25704</v>
      </c>
      <c r="E52" s="52">
        <v>23644</v>
      </c>
      <c r="F52" s="52">
        <v>18693</v>
      </c>
      <c r="G52" s="52">
        <v>20745</v>
      </c>
      <c r="H52" s="52">
        <v>18131</v>
      </c>
      <c r="I52" s="52">
        <v>14357</v>
      </c>
    </row>
    <row r="53" spans="1:9" x14ac:dyDescent="0.2">
      <c r="A53" s="11" t="s">
        <v>52</v>
      </c>
      <c r="B53" s="10" t="s">
        <v>70</v>
      </c>
      <c r="C53" s="52">
        <v>1232</v>
      </c>
      <c r="D53" s="52">
        <v>2430</v>
      </c>
      <c r="E53" s="52">
        <v>2990</v>
      </c>
      <c r="F53" s="52">
        <v>3244</v>
      </c>
      <c r="G53" s="52">
        <v>5215</v>
      </c>
      <c r="H53" s="52">
        <v>4724</v>
      </c>
      <c r="I53" s="52">
        <v>3262</v>
      </c>
    </row>
    <row r="54" spans="1:9" x14ac:dyDescent="0.2">
      <c r="A54" s="11" t="s">
        <v>53</v>
      </c>
      <c r="B54" s="10" t="s">
        <v>70</v>
      </c>
      <c r="C54" s="52">
        <v>497</v>
      </c>
      <c r="D54" s="52">
        <v>907</v>
      </c>
      <c r="E54" s="52">
        <v>1052</v>
      </c>
      <c r="F54" s="52">
        <v>1067</v>
      </c>
      <c r="G54" s="52">
        <v>1558</v>
      </c>
      <c r="H54" s="52">
        <v>1620</v>
      </c>
      <c r="I54" s="52">
        <v>1294</v>
      </c>
    </row>
    <row r="55" spans="1:9" x14ac:dyDescent="0.2">
      <c r="A55" s="11" t="s">
        <v>54</v>
      </c>
      <c r="B55" s="10" t="s">
        <v>70</v>
      </c>
      <c r="C55" s="52">
        <v>3646</v>
      </c>
      <c r="D55" s="52">
        <v>6296</v>
      </c>
      <c r="E55" s="52">
        <v>7367</v>
      </c>
      <c r="F55" s="52">
        <v>8334</v>
      </c>
      <c r="G55" s="52">
        <v>10531</v>
      </c>
      <c r="H55" s="52">
        <v>9659</v>
      </c>
      <c r="I55" s="52">
        <v>7333</v>
      </c>
    </row>
    <row r="56" spans="1:9" x14ac:dyDescent="0.2">
      <c r="A56" s="11" t="s">
        <v>55</v>
      </c>
      <c r="B56" s="10" t="s">
        <v>70</v>
      </c>
      <c r="C56" s="52">
        <v>1215</v>
      </c>
      <c r="D56" s="52">
        <v>1859</v>
      </c>
      <c r="E56" s="52">
        <v>2246</v>
      </c>
      <c r="F56" s="52">
        <v>2366</v>
      </c>
      <c r="G56" s="52">
        <v>3045</v>
      </c>
      <c r="H56" s="52">
        <v>2820</v>
      </c>
      <c r="I56" s="52">
        <v>2394</v>
      </c>
    </row>
    <row r="57" spans="1:9" x14ac:dyDescent="0.2">
      <c r="A57" s="11" t="s">
        <v>56</v>
      </c>
      <c r="B57" s="10" t="s">
        <v>70</v>
      </c>
      <c r="C57" s="52">
        <v>2241</v>
      </c>
      <c r="D57" s="52">
        <v>3949</v>
      </c>
      <c r="E57" s="52">
        <v>4388</v>
      </c>
      <c r="F57" s="52">
        <v>4908</v>
      </c>
      <c r="G57" s="52">
        <v>6250</v>
      </c>
      <c r="H57" s="52">
        <v>6331</v>
      </c>
      <c r="I57" s="52">
        <v>4768</v>
      </c>
    </row>
    <row r="58" spans="1:9" x14ac:dyDescent="0.2">
      <c r="A58" s="11" t="s">
        <v>57</v>
      </c>
      <c r="B58" s="10" t="s">
        <v>70</v>
      </c>
      <c r="C58" s="52">
        <v>164</v>
      </c>
      <c r="D58" s="52">
        <v>260</v>
      </c>
      <c r="E58" s="52">
        <v>351</v>
      </c>
      <c r="F58" s="52">
        <v>375</v>
      </c>
      <c r="G58" s="52">
        <v>563</v>
      </c>
      <c r="H58" s="52">
        <v>663</v>
      </c>
      <c r="I58" s="52">
        <v>470</v>
      </c>
    </row>
    <row r="59" spans="1:9" x14ac:dyDescent="0.2">
      <c r="A59" s="11" t="s">
        <v>58</v>
      </c>
      <c r="B59" s="10" t="s">
        <v>70</v>
      </c>
      <c r="C59" s="52">
        <v>1120</v>
      </c>
      <c r="D59" s="52">
        <v>2152</v>
      </c>
      <c r="E59" s="52">
        <v>2402</v>
      </c>
      <c r="F59" s="52">
        <v>2370</v>
      </c>
      <c r="G59" s="52">
        <v>3435</v>
      </c>
      <c r="H59" s="52">
        <v>3351</v>
      </c>
      <c r="I59" s="52">
        <v>2614</v>
      </c>
    </row>
    <row r="60" spans="1:9" x14ac:dyDescent="0.2">
      <c r="A60" s="11" t="s">
        <v>59</v>
      </c>
      <c r="B60" s="10" t="s">
        <v>70</v>
      </c>
      <c r="C60" s="52">
        <v>1076</v>
      </c>
      <c r="D60" s="52">
        <v>1988</v>
      </c>
      <c r="E60" s="52">
        <v>2466</v>
      </c>
      <c r="F60" s="52">
        <v>2551</v>
      </c>
      <c r="G60" s="52">
        <v>3473</v>
      </c>
      <c r="H60" s="52">
        <v>3579</v>
      </c>
      <c r="I60" s="52">
        <v>2975</v>
      </c>
    </row>
    <row r="61" spans="1:9" x14ac:dyDescent="0.2">
      <c r="A61" s="11" t="s">
        <v>60</v>
      </c>
      <c r="B61" s="10" t="s">
        <v>70</v>
      </c>
      <c r="C61" s="52">
        <v>1334</v>
      </c>
      <c r="D61" s="52">
        <v>1778</v>
      </c>
      <c r="E61" s="52">
        <v>1916</v>
      </c>
      <c r="F61" s="52">
        <v>1952</v>
      </c>
      <c r="G61" s="52">
        <v>2635</v>
      </c>
      <c r="H61" s="52">
        <v>2407</v>
      </c>
      <c r="I61" s="52">
        <v>2372</v>
      </c>
    </row>
    <row r="62" spans="1:9" x14ac:dyDescent="0.2">
      <c r="A62" s="11" t="s">
        <v>61</v>
      </c>
      <c r="B62" s="10" t="s">
        <v>70</v>
      </c>
      <c r="C62" s="52">
        <v>1226</v>
      </c>
      <c r="D62" s="52">
        <v>2210</v>
      </c>
      <c r="E62" s="52">
        <v>2707</v>
      </c>
      <c r="F62" s="52">
        <v>3027</v>
      </c>
      <c r="G62" s="52">
        <v>3871</v>
      </c>
      <c r="H62" s="52">
        <v>4041</v>
      </c>
      <c r="I62" s="52">
        <v>3030</v>
      </c>
    </row>
    <row r="63" spans="1:9" x14ac:dyDescent="0.2">
      <c r="A63" s="11" t="s">
        <v>62</v>
      </c>
      <c r="B63" s="10" t="s">
        <v>70</v>
      </c>
      <c r="C63" s="52">
        <v>961</v>
      </c>
      <c r="D63" s="52">
        <v>1737</v>
      </c>
      <c r="E63" s="52">
        <v>2064</v>
      </c>
      <c r="F63" s="52">
        <v>2158</v>
      </c>
      <c r="G63" s="52">
        <v>3072</v>
      </c>
      <c r="H63" s="52">
        <v>3040</v>
      </c>
      <c r="I63" s="52">
        <v>2199</v>
      </c>
    </row>
    <row r="64" spans="1:9" x14ac:dyDescent="0.2">
      <c r="A64" s="11" t="s">
        <v>63</v>
      </c>
      <c r="B64" s="10" t="s">
        <v>70</v>
      </c>
      <c r="C64" s="52">
        <v>5235</v>
      </c>
      <c r="D64" s="52">
        <v>9675</v>
      </c>
      <c r="E64" s="52">
        <v>11109</v>
      </c>
      <c r="F64" s="52">
        <v>11447</v>
      </c>
      <c r="G64" s="52">
        <v>13853</v>
      </c>
      <c r="H64" s="52">
        <v>12554</v>
      </c>
      <c r="I64" s="52">
        <v>8774</v>
      </c>
    </row>
    <row r="65" spans="1:9" x14ac:dyDescent="0.2">
      <c r="A65" s="11" t="s">
        <v>64</v>
      </c>
      <c r="B65" s="10" t="s">
        <v>70</v>
      </c>
      <c r="C65" s="52">
        <v>1262</v>
      </c>
      <c r="D65" s="52">
        <v>2507</v>
      </c>
      <c r="E65" s="52">
        <v>2782</v>
      </c>
      <c r="F65" s="52">
        <v>2883</v>
      </c>
      <c r="G65" s="52">
        <v>4509</v>
      </c>
      <c r="H65" s="52">
        <v>4437</v>
      </c>
      <c r="I65" s="52">
        <v>3362</v>
      </c>
    </row>
    <row r="66" spans="1:9" x14ac:dyDescent="0.2">
      <c r="A66" s="11" t="s">
        <v>65</v>
      </c>
      <c r="B66" s="10" t="s">
        <v>70</v>
      </c>
      <c r="C66" s="52">
        <v>8767</v>
      </c>
      <c r="D66" s="52">
        <v>16493</v>
      </c>
      <c r="E66" s="52">
        <v>18369</v>
      </c>
      <c r="F66" s="52">
        <v>19191</v>
      </c>
      <c r="G66" s="52">
        <v>25876</v>
      </c>
      <c r="H66" s="52">
        <v>23870</v>
      </c>
      <c r="I66" s="52">
        <v>18234</v>
      </c>
    </row>
    <row r="67" spans="1:9" x14ac:dyDescent="0.2">
      <c r="A67" s="11" t="s">
        <v>66</v>
      </c>
      <c r="B67" s="10" t="s">
        <v>70</v>
      </c>
      <c r="C67" s="52">
        <v>721</v>
      </c>
      <c r="D67" s="52">
        <v>1367</v>
      </c>
      <c r="E67" s="52">
        <v>1529</v>
      </c>
      <c r="F67" s="52">
        <v>1734</v>
      </c>
      <c r="G67" s="52">
        <v>2145</v>
      </c>
      <c r="H67" s="52">
        <v>2077</v>
      </c>
      <c r="I67" s="52">
        <v>1732</v>
      </c>
    </row>
    <row r="68" spans="1:9" ht="13.5" thickBot="1" x14ac:dyDescent="0.25">
      <c r="A68" s="13" t="s">
        <v>67</v>
      </c>
      <c r="B68" s="12" t="s">
        <v>70</v>
      </c>
      <c r="C68" s="52">
        <v>11019</v>
      </c>
      <c r="D68" s="52">
        <v>21507</v>
      </c>
      <c r="E68" s="52">
        <v>25240</v>
      </c>
      <c r="F68" s="52">
        <v>25397</v>
      </c>
      <c r="G68" s="52">
        <v>34281</v>
      </c>
      <c r="H68" s="52">
        <v>29060</v>
      </c>
      <c r="I68" s="52">
        <v>21731</v>
      </c>
    </row>
    <row r="69" spans="1:9" x14ac:dyDescent="0.2">
      <c r="A69" s="32" t="s">
        <v>68</v>
      </c>
      <c r="C69" s="14">
        <f>SUM(C2:C68)</f>
        <v>251150</v>
      </c>
      <c r="D69" s="14">
        <f t="shared" ref="D69:I69" si="0">SUM(D2:D68)</f>
        <v>470088</v>
      </c>
      <c r="E69" s="14">
        <f t="shared" si="0"/>
        <v>514623</v>
      </c>
      <c r="F69" s="14">
        <f t="shared" si="0"/>
        <v>528936</v>
      </c>
      <c r="G69" s="14">
        <f t="shared" si="0"/>
        <v>703918</v>
      </c>
      <c r="H69" s="14">
        <f t="shared" si="0"/>
        <v>652178</v>
      </c>
      <c r="I69" s="14">
        <f t="shared" si="0"/>
        <v>513123</v>
      </c>
    </row>
    <row r="70" spans="1:9" x14ac:dyDescent="0.2">
      <c r="C70" s="17">
        <f>C69/$C$72</f>
        <v>6.9110867976365536E-2</v>
      </c>
      <c r="D70" s="17">
        <f t="shared" ref="D70:I70" si="1">D69/$C$72</f>
        <v>0.12935771333973214</v>
      </c>
      <c r="E70" s="17">
        <f t="shared" si="1"/>
        <v>0.14161275019152364</v>
      </c>
      <c r="F70" s="17">
        <f t="shared" si="1"/>
        <v>0.14555136796315701</v>
      </c>
      <c r="G70" s="17">
        <f t="shared" si="1"/>
        <v>0.19370250433679984</v>
      </c>
      <c r="H70" s="17">
        <f t="shared" si="1"/>
        <v>0.179464812482939</v>
      </c>
      <c r="I70" s="17">
        <f t="shared" si="1"/>
        <v>0.14119998370948283</v>
      </c>
    </row>
    <row r="72" spans="1:9" x14ac:dyDescent="0.2">
      <c r="A72" s="32" t="s">
        <v>80</v>
      </c>
      <c r="C72" s="16">
        <f>SUM(C69:I69)</f>
        <v>3634016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K15" sqref="K15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 x14ac:dyDescent="0.2">
      <c r="B1" s="77" t="s">
        <v>81</v>
      </c>
      <c r="C1" s="78"/>
      <c r="D1" s="77" t="s">
        <v>102</v>
      </c>
      <c r="E1" s="78"/>
      <c r="F1" s="77" t="s">
        <v>84</v>
      </c>
      <c r="G1" s="78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17106</v>
      </c>
      <c r="C3" s="70">
        <v>2060</v>
      </c>
      <c r="D3" s="69">
        <v>40959</v>
      </c>
      <c r="E3" s="70">
        <v>3014</v>
      </c>
      <c r="F3" s="72">
        <v>11610</v>
      </c>
      <c r="G3" s="74">
        <v>1857</v>
      </c>
    </row>
    <row r="4" spans="1:7" x14ac:dyDescent="0.2">
      <c r="A4" s="11" t="s">
        <v>2</v>
      </c>
      <c r="B4" s="69">
        <v>447587</v>
      </c>
      <c r="C4" s="70">
        <v>55613</v>
      </c>
      <c r="D4" s="69">
        <v>241842</v>
      </c>
      <c r="E4" s="70">
        <v>21057</v>
      </c>
      <c r="F4" s="72">
        <v>127717</v>
      </c>
      <c r="G4" s="75">
        <v>23202</v>
      </c>
    </row>
    <row r="5" spans="1:7" x14ac:dyDescent="0.2">
      <c r="A5" s="11" t="s">
        <v>3</v>
      </c>
      <c r="B5" s="69">
        <v>9882</v>
      </c>
      <c r="C5" s="70">
        <v>765</v>
      </c>
      <c r="D5" s="69">
        <v>26286</v>
      </c>
      <c r="E5" s="70">
        <v>1366</v>
      </c>
      <c r="F5" s="72">
        <v>4773</v>
      </c>
      <c r="G5" s="75">
        <v>529</v>
      </c>
    </row>
    <row r="6" spans="1:7" x14ac:dyDescent="0.2">
      <c r="A6" s="11" t="s">
        <v>4</v>
      </c>
      <c r="B6" s="69">
        <v>42168</v>
      </c>
      <c r="C6" s="70">
        <v>3540</v>
      </c>
      <c r="D6" s="69">
        <v>48941</v>
      </c>
      <c r="E6" s="70">
        <v>2930</v>
      </c>
      <c r="F6" s="72">
        <v>14554</v>
      </c>
      <c r="G6" s="75">
        <v>1960</v>
      </c>
    </row>
    <row r="7" spans="1:7" x14ac:dyDescent="0.2">
      <c r="A7" s="11" t="s">
        <v>5</v>
      </c>
      <c r="B7" s="69">
        <v>4873</v>
      </c>
      <c r="C7" s="70">
        <v>393</v>
      </c>
      <c r="D7" s="69">
        <v>23492</v>
      </c>
      <c r="E7" s="70">
        <v>1076</v>
      </c>
      <c r="F7" s="72">
        <v>2869</v>
      </c>
      <c r="G7" s="75">
        <v>334</v>
      </c>
    </row>
    <row r="8" spans="1:7" x14ac:dyDescent="0.2">
      <c r="A8" s="11" t="s">
        <v>6</v>
      </c>
      <c r="B8" s="69">
        <v>93728</v>
      </c>
      <c r="C8" s="70">
        <v>10543</v>
      </c>
      <c r="D8" s="69">
        <v>111105</v>
      </c>
      <c r="E8" s="70">
        <v>6858</v>
      </c>
      <c r="F8" s="72">
        <v>45795</v>
      </c>
      <c r="G8" s="75">
        <v>6212</v>
      </c>
    </row>
    <row r="9" spans="1:7" x14ac:dyDescent="0.2">
      <c r="A9" s="11" t="s">
        <v>7</v>
      </c>
      <c r="B9" s="69">
        <v>17604</v>
      </c>
      <c r="C9" s="70">
        <v>2185</v>
      </c>
      <c r="D9" s="69">
        <v>47179</v>
      </c>
      <c r="E9" s="70">
        <v>3392</v>
      </c>
      <c r="F9" s="72">
        <v>9516</v>
      </c>
      <c r="G9" s="75">
        <v>1664</v>
      </c>
    </row>
    <row r="10" spans="1:7" x14ac:dyDescent="0.2">
      <c r="A10" s="11" t="s">
        <v>8</v>
      </c>
      <c r="B10" s="69">
        <v>7035</v>
      </c>
      <c r="C10" s="70">
        <v>776</v>
      </c>
      <c r="D10" s="69">
        <v>23955</v>
      </c>
      <c r="E10" s="70">
        <v>1676</v>
      </c>
      <c r="F10" s="72">
        <v>4764</v>
      </c>
      <c r="G10" s="75">
        <v>668</v>
      </c>
    </row>
    <row r="11" spans="1:7" x14ac:dyDescent="0.2">
      <c r="A11" s="11" t="s">
        <v>9</v>
      </c>
      <c r="B11" s="69">
        <v>178399</v>
      </c>
      <c r="C11" s="70">
        <v>15488</v>
      </c>
      <c r="D11" s="69">
        <v>190165</v>
      </c>
      <c r="E11" s="70">
        <v>11561</v>
      </c>
      <c r="F11" s="72">
        <v>80005</v>
      </c>
      <c r="G11" s="75">
        <v>8778</v>
      </c>
    </row>
    <row r="12" spans="1:7" x14ac:dyDescent="0.2">
      <c r="A12" s="11" t="s">
        <v>10</v>
      </c>
      <c r="B12" s="69">
        <v>36203</v>
      </c>
      <c r="C12" s="70">
        <v>2956</v>
      </c>
      <c r="D12" s="69">
        <v>78199</v>
      </c>
      <c r="E12" s="70">
        <v>4641</v>
      </c>
      <c r="F12" s="72">
        <v>19039</v>
      </c>
      <c r="G12" s="75">
        <v>2406</v>
      </c>
    </row>
    <row r="13" spans="1:7" x14ac:dyDescent="0.2">
      <c r="A13" s="11" t="s">
        <v>11</v>
      </c>
      <c r="B13" s="69">
        <v>27089</v>
      </c>
      <c r="C13" s="70">
        <v>2248</v>
      </c>
      <c r="D13" s="69">
        <v>44263</v>
      </c>
      <c r="E13" s="70">
        <v>2209</v>
      </c>
      <c r="F13" s="72">
        <v>8832</v>
      </c>
      <c r="G13" s="75">
        <v>1151</v>
      </c>
    </row>
    <row r="14" spans="1:7" x14ac:dyDescent="0.2">
      <c r="A14" s="11" t="s">
        <v>12</v>
      </c>
      <c r="B14" s="69">
        <v>607</v>
      </c>
      <c r="C14" s="70">
        <v>58</v>
      </c>
      <c r="D14" s="69">
        <v>1728</v>
      </c>
      <c r="E14" s="70">
        <v>115</v>
      </c>
      <c r="F14" s="72">
        <v>338</v>
      </c>
      <c r="G14" s="75">
        <v>40</v>
      </c>
    </row>
    <row r="15" spans="1:7" x14ac:dyDescent="0.2">
      <c r="A15" s="11" t="s">
        <v>13</v>
      </c>
      <c r="B15" s="69">
        <v>12750</v>
      </c>
      <c r="C15" s="70">
        <v>1326</v>
      </c>
      <c r="D15" s="69">
        <v>22268</v>
      </c>
      <c r="E15" s="70">
        <v>1634</v>
      </c>
      <c r="F15" s="72">
        <v>6729</v>
      </c>
      <c r="G15" s="75">
        <v>1031</v>
      </c>
    </row>
    <row r="16" spans="1:7" x14ac:dyDescent="0.2">
      <c r="A16" s="11" t="s">
        <v>14</v>
      </c>
      <c r="B16" s="69">
        <v>34050</v>
      </c>
      <c r="C16" s="70">
        <v>7350</v>
      </c>
      <c r="D16" s="69">
        <v>37540</v>
      </c>
      <c r="E16" s="70">
        <v>4252</v>
      </c>
      <c r="F16" s="72">
        <v>14930</v>
      </c>
      <c r="G16" s="75">
        <v>3890</v>
      </c>
    </row>
    <row r="17" spans="1:7" x14ac:dyDescent="0.2">
      <c r="A17" s="11" t="s">
        <v>15</v>
      </c>
      <c r="B17" s="69">
        <v>146794</v>
      </c>
      <c r="C17" s="70">
        <v>14118</v>
      </c>
      <c r="D17" s="69">
        <v>141388</v>
      </c>
      <c r="E17" s="70">
        <v>10387</v>
      </c>
      <c r="F17" s="72">
        <v>68281</v>
      </c>
      <c r="G17" s="75">
        <v>8332</v>
      </c>
    </row>
    <row r="18" spans="1:7" x14ac:dyDescent="0.2">
      <c r="A18" s="11" t="s">
        <v>16</v>
      </c>
      <c r="B18" s="69">
        <v>4654</v>
      </c>
      <c r="C18" s="70">
        <v>397</v>
      </c>
      <c r="D18" s="69">
        <v>14780</v>
      </c>
      <c r="E18" s="70">
        <v>771</v>
      </c>
      <c r="F18" s="72">
        <v>2443</v>
      </c>
      <c r="G18" s="75">
        <v>285</v>
      </c>
    </row>
    <row r="19" spans="1:7" x14ac:dyDescent="0.2">
      <c r="A19" s="11" t="s">
        <v>17</v>
      </c>
      <c r="B19" s="69">
        <v>10811</v>
      </c>
      <c r="C19" s="70">
        <v>1211</v>
      </c>
      <c r="D19" s="69">
        <v>29255</v>
      </c>
      <c r="E19" s="70">
        <v>2173</v>
      </c>
      <c r="F19" s="72">
        <v>5213</v>
      </c>
      <c r="G19" s="75">
        <v>883</v>
      </c>
    </row>
    <row r="20" spans="1:7" x14ac:dyDescent="0.2">
      <c r="A20" s="11" t="s">
        <v>18</v>
      </c>
      <c r="B20" s="69">
        <v>5594</v>
      </c>
      <c r="C20" s="70">
        <v>472</v>
      </c>
      <c r="D20" s="69">
        <v>12534</v>
      </c>
      <c r="E20" s="70">
        <v>734</v>
      </c>
      <c r="F20" s="72">
        <v>2801</v>
      </c>
      <c r="G20" s="75">
        <v>363</v>
      </c>
    </row>
    <row r="21" spans="1:7" x14ac:dyDescent="0.2">
      <c r="A21" s="11" t="s">
        <v>19</v>
      </c>
      <c r="B21" s="69">
        <v>10562</v>
      </c>
      <c r="C21" s="70">
        <v>1189</v>
      </c>
      <c r="D21" s="69">
        <v>21068</v>
      </c>
      <c r="E21" s="70">
        <v>1371</v>
      </c>
      <c r="F21" s="72">
        <v>5507</v>
      </c>
      <c r="G21" s="75">
        <v>854</v>
      </c>
    </row>
    <row r="22" spans="1:7" x14ac:dyDescent="0.2">
      <c r="A22" s="11" t="s">
        <v>20</v>
      </c>
      <c r="B22" s="69">
        <v>12799</v>
      </c>
      <c r="C22" s="70">
        <v>1603</v>
      </c>
      <c r="D22" s="69">
        <v>29750</v>
      </c>
      <c r="E22" s="70">
        <v>2002</v>
      </c>
      <c r="F22" s="72">
        <v>5865</v>
      </c>
      <c r="G22" s="75">
        <v>922</v>
      </c>
    </row>
    <row r="23" spans="1:7" x14ac:dyDescent="0.2">
      <c r="A23" s="11" t="s">
        <v>21</v>
      </c>
      <c r="B23" s="69">
        <v>56606</v>
      </c>
      <c r="C23" s="70">
        <v>5084</v>
      </c>
      <c r="D23" s="69">
        <v>83107</v>
      </c>
      <c r="E23" s="70">
        <v>5103</v>
      </c>
      <c r="F23" s="72">
        <v>30099</v>
      </c>
      <c r="G23" s="75">
        <v>3639</v>
      </c>
    </row>
    <row r="24" spans="1:7" x14ac:dyDescent="0.2">
      <c r="A24" s="11" t="s">
        <v>22</v>
      </c>
      <c r="B24" s="69">
        <v>77300</v>
      </c>
      <c r="C24" s="70">
        <v>9332</v>
      </c>
      <c r="D24" s="69">
        <v>70621</v>
      </c>
      <c r="E24" s="70">
        <v>5314</v>
      </c>
      <c r="F24" s="72">
        <v>33244</v>
      </c>
      <c r="G24" s="75">
        <v>5311</v>
      </c>
    </row>
    <row r="25" spans="1:7" x14ac:dyDescent="0.2">
      <c r="A25" s="11" t="s">
        <v>23</v>
      </c>
      <c r="B25" s="69">
        <v>179608</v>
      </c>
      <c r="C25" s="70">
        <v>23177</v>
      </c>
      <c r="D25" s="69">
        <v>131526</v>
      </c>
      <c r="E25" s="70">
        <v>11175</v>
      </c>
      <c r="F25" s="72">
        <v>56043</v>
      </c>
      <c r="G25" s="75">
        <v>9038</v>
      </c>
    </row>
    <row r="26" spans="1:7" x14ac:dyDescent="0.2">
      <c r="A26" s="11" t="s">
        <v>24</v>
      </c>
      <c r="B26" s="69">
        <v>5372</v>
      </c>
      <c r="C26" s="70">
        <v>397</v>
      </c>
      <c r="D26" s="69">
        <v>11573</v>
      </c>
      <c r="E26" s="70">
        <v>545</v>
      </c>
      <c r="F26" s="72">
        <v>2260</v>
      </c>
      <c r="G26" s="75">
        <v>298</v>
      </c>
    </row>
    <row r="27" spans="1:7" x14ac:dyDescent="0.2">
      <c r="A27" s="11" t="s">
        <v>25</v>
      </c>
      <c r="B27" s="69">
        <v>68924</v>
      </c>
      <c r="C27" s="70">
        <v>7522</v>
      </c>
      <c r="D27" s="69">
        <v>65566</v>
      </c>
      <c r="E27" s="70">
        <v>5255</v>
      </c>
      <c r="F27" s="72">
        <v>23321</v>
      </c>
      <c r="G27" s="75">
        <v>4197</v>
      </c>
    </row>
    <row r="28" spans="1:7" x14ac:dyDescent="0.2">
      <c r="A28" s="11" t="s">
        <v>26</v>
      </c>
      <c r="B28" s="69">
        <v>26672</v>
      </c>
      <c r="C28" s="70">
        <v>2771</v>
      </c>
      <c r="D28" s="69">
        <v>38801</v>
      </c>
      <c r="E28" s="70">
        <v>2502</v>
      </c>
      <c r="F28" s="72">
        <v>7585</v>
      </c>
      <c r="G28" s="75">
        <v>1179</v>
      </c>
    </row>
    <row r="29" spans="1:7" x14ac:dyDescent="0.2">
      <c r="A29" s="11" t="s">
        <v>27</v>
      </c>
      <c r="B29" s="69">
        <v>706</v>
      </c>
      <c r="C29" s="70">
        <v>80</v>
      </c>
      <c r="D29" s="69">
        <v>1917</v>
      </c>
      <c r="E29" s="70">
        <v>136</v>
      </c>
      <c r="F29" s="72">
        <v>349</v>
      </c>
      <c r="G29" s="75">
        <v>52</v>
      </c>
    </row>
    <row r="30" spans="1:7" x14ac:dyDescent="0.2">
      <c r="A30" s="11" t="s">
        <v>28</v>
      </c>
      <c r="B30" s="69">
        <v>21290</v>
      </c>
      <c r="C30" s="70">
        <v>2207</v>
      </c>
      <c r="D30" s="69">
        <v>60843</v>
      </c>
      <c r="E30" s="70">
        <v>3483</v>
      </c>
      <c r="F30" s="72">
        <v>15671</v>
      </c>
      <c r="G30" s="75">
        <v>1893</v>
      </c>
    </row>
    <row r="31" spans="1:7" x14ac:dyDescent="0.2">
      <c r="A31" s="11" t="s">
        <v>29</v>
      </c>
      <c r="B31" s="69">
        <v>1295</v>
      </c>
      <c r="C31" s="70">
        <v>175</v>
      </c>
      <c r="D31" s="69">
        <v>6957</v>
      </c>
      <c r="E31" s="70">
        <v>502</v>
      </c>
      <c r="F31" s="72">
        <v>970</v>
      </c>
      <c r="G31" s="75">
        <v>201</v>
      </c>
    </row>
    <row r="32" spans="1:7" x14ac:dyDescent="0.2">
      <c r="A32" s="11" t="s">
        <v>30</v>
      </c>
      <c r="B32" s="69">
        <v>6658</v>
      </c>
      <c r="C32" s="70">
        <v>705</v>
      </c>
      <c r="D32" s="69">
        <v>11319</v>
      </c>
      <c r="E32" s="70">
        <v>852</v>
      </c>
      <c r="F32" s="72">
        <v>1885</v>
      </c>
      <c r="G32" s="75">
        <v>370</v>
      </c>
    </row>
    <row r="33" spans="1:7" x14ac:dyDescent="0.2">
      <c r="A33" s="11" t="s">
        <v>31</v>
      </c>
      <c r="B33" s="69">
        <v>5160</v>
      </c>
      <c r="C33" s="70">
        <v>840</v>
      </c>
      <c r="D33" s="69">
        <v>17671</v>
      </c>
      <c r="E33" s="70">
        <v>1219</v>
      </c>
      <c r="F33" s="72">
        <v>2520</v>
      </c>
      <c r="G33" s="75">
        <v>453</v>
      </c>
    </row>
    <row r="34" spans="1:7" x14ac:dyDescent="0.2">
      <c r="A34" s="11" t="s">
        <v>32</v>
      </c>
      <c r="B34" s="69">
        <v>12932</v>
      </c>
      <c r="C34" s="70">
        <v>939</v>
      </c>
      <c r="D34" s="69">
        <v>27765</v>
      </c>
      <c r="E34" s="70">
        <v>1087</v>
      </c>
      <c r="F34" s="72">
        <v>5875</v>
      </c>
      <c r="G34" s="75">
        <v>495</v>
      </c>
    </row>
    <row r="35" spans="1:7" x14ac:dyDescent="0.2">
      <c r="A35" s="11" t="s">
        <v>33</v>
      </c>
      <c r="B35" s="69">
        <v>4951</v>
      </c>
      <c r="C35" s="70">
        <v>483</v>
      </c>
      <c r="D35" s="69">
        <v>18150</v>
      </c>
      <c r="E35" s="70">
        <v>1277</v>
      </c>
      <c r="F35" s="72">
        <v>2860</v>
      </c>
      <c r="G35" s="75">
        <v>364</v>
      </c>
    </row>
    <row r="36" spans="1:7" x14ac:dyDescent="0.2">
      <c r="A36" s="11" t="s">
        <v>34</v>
      </c>
      <c r="B36" s="69">
        <v>2318</v>
      </c>
      <c r="C36" s="70">
        <v>221</v>
      </c>
      <c r="D36" s="69">
        <v>9570</v>
      </c>
      <c r="E36" s="70">
        <v>451</v>
      </c>
      <c r="F36" s="72">
        <v>1353</v>
      </c>
      <c r="G36" s="75">
        <v>162</v>
      </c>
    </row>
    <row r="37" spans="1:7" x14ac:dyDescent="0.2">
      <c r="A37" s="11" t="s">
        <v>35</v>
      </c>
      <c r="B37" s="69">
        <v>70389</v>
      </c>
      <c r="C37" s="70">
        <v>6338</v>
      </c>
      <c r="D37" s="69">
        <v>48138</v>
      </c>
      <c r="E37" s="70">
        <v>4132</v>
      </c>
      <c r="F37" s="72">
        <v>17871</v>
      </c>
      <c r="G37" s="75">
        <v>2970</v>
      </c>
    </row>
    <row r="38" spans="1:7" x14ac:dyDescent="0.2">
      <c r="A38" s="11" t="s">
        <v>36</v>
      </c>
      <c r="B38" s="69">
        <v>101729</v>
      </c>
      <c r="C38" s="70">
        <v>11168</v>
      </c>
      <c r="D38" s="69">
        <v>171561</v>
      </c>
      <c r="E38" s="70">
        <v>12049</v>
      </c>
      <c r="F38" s="72">
        <v>59393</v>
      </c>
      <c r="G38" s="75">
        <v>8288</v>
      </c>
    </row>
    <row r="39" spans="1:7" x14ac:dyDescent="0.2">
      <c r="A39" s="11" t="s">
        <v>37</v>
      </c>
      <c r="B39" s="69">
        <v>17952</v>
      </c>
      <c r="C39" s="70">
        <v>1721</v>
      </c>
      <c r="D39" s="69">
        <v>28395</v>
      </c>
      <c r="E39" s="70">
        <v>1703</v>
      </c>
      <c r="F39" s="72">
        <v>6587</v>
      </c>
      <c r="G39" s="75">
        <v>948</v>
      </c>
    </row>
    <row r="40" spans="1:7" x14ac:dyDescent="0.2">
      <c r="A40" s="11" t="s">
        <v>38</v>
      </c>
      <c r="B40" s="69">
        <v>22712</v>
      </c>
      <c r="C40" s="70">
        <v>2736</v>
      </c>
      <c r="D40" s="69">
        <v>49498</v>
      </c>
      <c r="E40" s="70">
        <v>3113</v>
      </c>
      <c r="F40" s="72">
        <v>13858</v>
      </c>
      <c r="G40" s="75">
        <v>2147</v>
      </c>
    </row>
    <row r="41" spans="1:7" x14ac:dyDescent="0.2">
      <c r="A41" s="11" t="s">
        <v>39</v>
      </c>
      <c r="B41" s="69">
        <v>98726</v>
      </c>
      <c r="C41" s="70">
        <v>12977</v>
      </c>
      <c r="D41" s="69">
        <v>82806</v>
      </c>
      <c r="E41" s="70">
        <v>6621</v>
      </c>
      <c r="F41" s="72">
        <v>45329</v>
      </c>
      <c r="G41" s="75">
        <v>7742</v>
      </c>
    </row>
    <row r="42" spans="1:7" x14ac:dyDescent="0.2">
      <c r="A42" s="11" t="s">
        <v>40</v>
      </c>
      <c r="B42" s="69">
        <v>76408</v>
      </c>
      <c r="C42" s="70">
        <v>8793</v>
      </c>
      <c r="D42" s="69">
        <v>84228</v>
      </c>
      <c r="E42" s="70">
        <v>6606</v>
      </c>
      <c r="F42" s="72">
        <v>26841</v>
      </c>
      <c r="G42" s="75">
        <v>4686</v>
      </c>
    </row>
    <row r="43" spans="1:7" x14ac:dyDescent="0.2">
      <c r="A43" s="11" t="s">
        <v>41</v>
      </c>
      <c r="B43" s="69">
        <v>16511</v>
      </c>
      <c r="C43" s="70">
        <v>1688</v>
      </c>
      <c r="D43" s="69">
        <v>41597</v>
      </c>
      <c r="E43" s="70">
        <v>2131</v>
      </c>
      <c r="F43" s="72">
        <v>9490</v>
      </c>
      <c r="G43" s="75">
        <v>1216</v>
      </c>
    </row>
    <row r="44" spans="1:7" x14ac:dyDescent="0.2">
      <c r="A44" s="11" t="s">
        <v>42</v>
      </c>
      <c r="B44" s="69">
        <v>4654</v>
      </c>
      <c r="C44" s="70">
        <v>633</v>
      </c>
      <c r="D44" s="69">
        <v>14831</v>
      </c>
      <c r="E44" s="70">
        <v>1338</v>
      </c>
      <c r="F44" s="72">
        <v>3117</v>
      </c>
      <c r="G44" s="75">
        <v>613</v>
      </c>
    </row>
    <row r="45" spans="1:7" x14ac:dyDescent="0.2">
      <c r="A45" s="11" t="s">
        <v>43</v>
      </c>
      <c r="B45" s="69">
        <v>20935</v>
      </c>
      <c r="C45" s="70">
        <v>2178</v>
      </c>
      <c r="D45" s="69">
        <v>35824</v>
      </c>
      <c r="E45" s="70">
        <v>2478</v>
      </c>
      <c r="F45" s="72">
        <v>9088</v>
      </c>
      <c r="G45" s="75">
        <v>1372</v>
      </c>
    </row>
    <row r="46" spans="1:7" x14ac:dyDescent="0.2">
      <c r="A46" s="11" t="s">
        <v>44</v>
      </c>
      <c r="B46" s="69">
        <v>4820</v>
      </c>
      <c r="C46" s="70">
        <v>552</v>
      </c>
      <c r="D46" s="69">
        <v>17471</v>
      </c>
      <c r="E46" s="70">
        <v>1164</v>
      </c>
      <c r="F46" s="72">
        <v>2697</v>
      </c>
      <c r="G46" s="75">
        <v>434</v>
      </c>
    </row>
    <row r="47" spans="1:7" x14ac:dyDescent="0.2">
      <c r="A47" s="11" t="s">
        <v>45</v>
      </c>
      <c r="B47" s="69">
        <v>42151</v>
      </c>
      <c r="C47" s="70">
        <v>6411</v>
      </c>
      <c r="D47" s="69">
        <v>39483</v>
      </c>
      <c r="E47" s="70">
        <v>3814</v>
      </c>
      <c r="F47" s="72">
        <v>22087</v>
      </c>
      <c r="G47" s="75">
        <v>3586</v>
      </c>
    </row>
    <row r="48" spans="1:7" x14ac:dyDescent="0.2">
      <c r="A48" s="11" t="s">
        <v>46</v>
      </c>
      <c r="B48" s="69">
        <v>283324</v>
      </c>
      <c r="C48" s="70">
        <v>22151</v>
      </c>
      <c r="D48" s="69">
        <v>195666</v>
      </c>
      <c r="E48" s="70">
        <v>11966</v>
      </c>
      <c r="F48" s="72">
        <v>100007</v>
      </c>
      <c r="G48" s="75">
        <v>10646</v>
      </c>
    </row>
    <row r="49" spans="1:7" x14ac:dyDescent="0.2">
      <c r="A49" s="11" t="s">
        <v>47</v>
      </c>
      <c r="B49" s="69">
        <v>3411</v>
      </c>
      <c r="C49" s="70">
        <v>357</v>
      </c>
      <c r="D49" s="69">
        <v>6093</v>
      </c>
      <c r="E49" s="70">
        <v>455</v>
      </c>
      <c r="F49" s="72">
        <v>1761</v>
      </c>
      <c r="G49" s="75">
        <v>265</v>
      </c>
    </row>
    <row r="50" spans="1:7" x14ac:dyDescent="0.2">
      <c r="A50" s="11" t="s">
        <v>48</v>
      </c>
      <c r="B50" s="69">
        <v>85184</v>
      </c>
      <c r="C50" s="70">
        <v>10882</v>
      </c>
      <c r="D50" s="69">
        <v>80252</v>
      </c>
      <c r="E50" s="70">
        <v>6535</v>
      </c>
      <c r="F50" s="72">
        <v>42618</v>
      </c>
      <c r="G50" s="75">
        <v>6776</v>
      </c>
    </row>
    <row r="51" spans="1:7" x14ac:dyDescent="0.2">
      <c r="A51" s="11" t="s">
        <v>49</v>
      </c>
      <c r="B51" s="69">
        <v>12113</v>
      </c>
      <c r="C51" s="70">
        <v>3217</v>
      </c>
      <c r="D51" s="69">
        <v>27100</v>
      </c>
      <c r="E51" s="70">
        <v>4830</v>
      </c>
      <c r="F51" s="72">
        <v>4996</v>
      </c>
      <c r="G51" s="75">
        <v>3066</v>
      </c>
    </row>
    <row r="52" spans="1:7" x14ac:dyDescent="0.2">
      <c r="A52" s="11" t="s">
        <v>50</v>
      </c>
      <c r="B52" s="69">
        <v>5647</v>
      </c>
      <c r="C52" s="70">
        <v>377</v>
      </c>
      <c r="D52" s="69">
        <v>19964</v>
      </c>
      <c r="E52" s="70">
        <v>963</v>
      </c>
      <c r="F52" s="72">
        <v>3842</v>
      </c>
      <c r="G52" s="75">
        <v>443</v>
      </c>
    </row>
    <row r="53" spans="1:7" x14ac:dyDescent="0.2">
      <c r="A53" s="11" t="s">
        <v>51</v>
      </c>
      <c r="B53" s="69">
        <v>648210</v>
      </c>
      <c r="C53" s="70">
        <v>129591</v>
      </c>
      <c r="D53" s="69">
        <v>110599</v>
      </c>
      <c r="E53" s="70">
        <v>20507</v>
      </c>
      <c r="F53" s="72">
        <v>144012</v>
      </c>
      <c r="G53" s="75">
        <v>34967</v>
      </c>
    </row>
    <row r="54" spans="1:7" x14ac:dyDescent="0.2">
      <c r="A54" s="11" t="s">
        <v>52</v>
      </c>
      <c r="B54" s="69">
        <v>11785</v>
      </c>
      <c r="C54" s="70">
        <v>1826</v>
      </c>
      <c r="D54" s="69">
        <v>20891</v>
      </c>
      <c r="E54" s="70">
        <v>2206</v>
      </c>
      <c r="F54" s="72">
        <v>9115</v>
      </c>
      <c r="G54" s="75">
        <v>1537</v>
      </c>
    </row>
    <row r="55" spans="1:7" x14ac:dyDescent="0.2">
      <c r="A55" s="11" t="s">
        <v>53</v>
      </c>
      <c r="B55" s="69">
        <v>1599</v>
      </c>
      <c r="C55" s="70">
        <v>139</v>
      </c>
      <c r="D55" s="69">
        <v>7476</v>
      </c>
      <c r="E55" s="70">
        <v>519</v>
      </c>
      <c r="F55" s="72">
        <v>1094</v>
      </c>
      <c r="G55" s="75">
        <v>172</v>
      </c>
    </row>
    <row r="56" spans="1:7" x14ac:dyDescent="0.2">
      <c r="A56" s="11" t="s">
        <v>54</v>
      </c>
      <c r="B56" s="69">
        <v>23343</v>
      </c>
      <c r="C56" s="70">
        <v>2018</v>
      </c>
      <c r="D56" s="69">
        <v>50607</v>
      </c>
      <c r="E56" s="70">
        <v>2559</v>
      </c>
      <c r="F56" s="72">
        <v>12455</v>
      </c>
      <c r="G56" s="75">
        <v>1452</v>
      </c>
    </row>
    <row r="57" spans="1:7" x14ac:dyDescent="0.2">
      <c r="A57" s="11" t="s">
        <v>55</v>
      </c>
      <c r="B57" s="69">
        <v>4371</v>
      </c>
      <c r="C57" s="70">
        <v>517</v>
      </c>
      <c r="D57" s="69">
        <v>15045</v>
      </c>
      <c r="E57" s="70">
        <v>900</v>
      </c>
      <c r="F57" s="72">
        <v>2569</v>
      </c>
      <c r="G57" s="75">
        <v>455</v>
      </c>
    </row>
    <row r="58" spans="1:7" x14ac:dyDescent="0.2">
      <c r="A58" s="11" t="s">
        <v>56</v>
      </c>
      <c r="B58" s="69">
        <v>9695</v>
      </c>
      <c r="C58" s="70">
        <v>796</v>
      </c>
      <c r="D58" s="69">
        <v>31223</v>
      </c>
      <c r="E58" s="70">
        <v>1612</v>
      </c>
      <c r="F58" s="72">
        <v>4588</v>
      </c>
      <c r="G58" s="75">
        <v>588</v>
      </c>
    </row>
    <row r="59" spans="1:7" x14ac:dyDescent="0.2">
      <c r="A59" s="11" t="s">
        <v>57</v>
      </c>
      <c r="B59" s="69">
        <v>995</v>
      </c>
      <c r="C59" s="70">
        <v>75</v>
      </c>
      <c r="D59" s="69">
        <v>2699</v>
      </c>
      <c r="E59" s="70">
        <v>147</v>
      </c>
      <c r="F59" s="72">
        <v>488</v>
      </c>
      <c r="G59" s="75">
        <v>54</v>
      </c>
    </row>
    <row r="60" spans="1:7" x14ac:dyDescent="0.2">
      <c r="A60" s="11" t="s">
        <v>58</v>
      </c>
      <c r="B60" s="69">
        <v>5411</v>
      </c>
      <c r="C60" s="70">
        <v>819</v>
      </c>
      <c r="D60" s="69">
        <v>15955</v>
      </c>
      <c r="E60" s="70">
        <v>1489</v>
      </c>
      <c r="F60" s="72">
        <v>3406</v>
      </c>
      <c r="G60" s="75">
        <v>679</v>
      </c>
    </row>
    <row r="61" spans="1:7" x14ac:dyDescent="0.2">
      <c r="A61" s="11" t="s">
        <v>59</v>
      </c>
      <c r="B61" s="69">
        <v>4544</v>
      </c>
      <c r="C61" s="70">
        <v>379</v>
      </c>
      <c r="D61" s="69">
        <v>17055</v>
      </c>
      <c r="E61" s="70">
        <v>1053</v>
      </c>
      <c r="F61" s="72">
        <v>3307</v>
      </c>
      <c r="G61" s="75">
        <v>460</v>
      </c>
    </row>
    <row r="62" spans="1:7" x14ac:dyDescent="0.2">
      <c r="A62" s="11" t="s">
        <v>60</v>
      </c>
      <c r="B62" s="69">
        <v>6501</v>
      </c>
      <c r="C62" s="70">
        <v>1287</v>
      </c>
      <c r="D62" s="69">
        <v>13186</v>
      </c>
      <c r="E62" s="70">
        <v>1208</v>
      </c>
      <c r="F62" s="72">
        <v>3384</v>
      </c>
      <c r="G62" s="75">
        <v>838</v>
      </c>
    </row>
    <row r="63" spans="1:7" x14ac:dyDescent="0.2">
      <c r="A63" s="11" t="s">
        <v>61</v>
      </c>
      <c r="B63" s="69">
        <v>7348</v>
      </c>
      <c r="C63" s="70">
        <v>673</v>
      </c>
      <c r="D63" s="69">
        <v>18955</v>
      </c>
      <c r="E63" s="70">
        <v>1157</v>
      </c>
      <c r="F63" s="72">
        <v>4123</v>
      </c>
      <c r="G63" s="75">
        <v>527</v>
      </c>
    </row>
    <row r="64" spans="1:7" x14ac:dyDescent="0.2">
      <c r="A64" s="11" t="s">
        <v>62</v>
      </c>
      <c r="B64" s="69">
        <v>5886</v>
      </c>
      <c r="C64" s="70">
        <v>453</v>
      </c>
      <c r="D64" s="69">
        <v>14358</v>
      </c>
      <c r="E64" s="70">
        <v>873</v>
      </c>
      <c r="F64" s="72">
        <v>3470</v>
      </c>
      <c r="G64" s="75">
        <v>376</v>
      </c>
    </row>
    <row r="65" spans="1:7" x14ac:dyDescent="0.2">
      <c r="A65" s="11" t="s">
        <v>63</v>
      </c>
      <c r="B65" s="69">
        <v>48846</v>
      </c>
      <c r="C65" s="70">
        <v>3716</v>
      </c>
      <c r="D65" s="69">
        <v>69013</v>
      </c>
      <c r="E65" s="70">
        <v>3634</v>
      </c>
      <c r="F65" s="72">
        <v>17590</v>
      </c>
      <c r="G65" s="75">
        <v>2122</v>
      </c>
    </row>
    <row r="66" spans="1:7" x14ac:dyDescent="0.2">
      <c r="A66" s="11" t="s">
        <v>64</v>
      </c>
      <c r="B66" s="69">
        <v>7878</v>
      </c>
      <c r="C66" s="70">
        <v>829</v>
      </c>
      <c r="D66" s="69">
        <v>20343</v>
      </c>
      <c r="E66" s="70">
        <v>1399</v>
      </c>
      <c r="F66" s="72">
        <v>5465</v>
      </c>
      <c r="G66" s="75">
        <v>758</v>
      </c>
    </row>
    <row r="67" spans="1:7" x14ac:dyDescent="0.2">
      <c r="A67" s="11" t="s">
        <v>65</v>
      </c>
      <c r="B67" s="69">
        <v>80282</v>
      </c>
      <c r="C67" s="70">
        <v>6440</v>
      </c>
      <c r="D67" s="69">
        <v>123647</v>
      </c>
      <c r="E67" s="70">
        <v>7153</v>
      </c>
      <c r="F67" s="72">
        <v>29515</v>
      </c>
      <c r="G67" s="75">
        <v>3648</v>
      </c>
    </row>
    <row r="68" spans="1:7" x14ac:dyDescent="0.2">
      <c r="A68" s="11" t="s">
        <v>66</v>
      </c>
      <c r="B68" s="69">
        <v>4306</v>
      </c>
      <c r="C68" s="70">
        <v>373</v>
      </c>
      <c r="D68" s="69">
        <v>10666</v>
      </c>
      <c r="E68" s="70">
        <v>639</v>
      </c>
      <c r="F68" s="72">
        <v>2181</v>
      </c>
      <c r="G68" s="75">
        <v>295</v>
      </c>
    </row>
    <row r="69" spans="1:7" x14ac:dyDescent="0.2">
      <c r="A69" s="19" t="s">
        <v>67</v>
      </c>
      <c r="B69" s="68">
        <v>85726</v>
      </c>
      <c r="C69" s="71">
        <v>10842</v>
      </c>
      <c r="D69" s="68">
        <v>155958</v>
      </c>
      <c r="E69" s="71">
        <v>12277</v>
      </c>
      <c r="F69" s="73">
        <v>54621</v>
      </c>
      <c r="G69" s="76">
        <v>8275</v>
      </c>
    </row>
    <row r="70" spans="1:7" x14ac:dyDescent="0.2">
      <c r="A70" s="32" t="s">
        <v>68</v>
      </c>
      <c r="B70" s="14">
        <f>SUM(B3:B69)</f>
        <v>3413479</v>
      </c>
      <c r="C70" s="14">
        <f t="shared" ref="C70:G70" si="0">SUM(C3:C69)</f>
        <v>431176</v>
      </c>
      <c r="D70" s="14">
        <f t="shared" si="0"/>
        <v>3382666</v>
      </c>
      <c r="E70" s="14">
        <f t="shared" si="0"/>
        <v>251350</v>
      </c>
      <c r="F70" s="14">
        <f t="shared" si="0"/>
        <v>1296581</v>
      </c>
      <c r="G70" s="14">
        <f t="shared" si="0"/>
        <v>205414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8980666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Charpentier, William A.</cp:lastModifiedBy>
  <cp:lastPrinted>2013-07-08T13:20:55Z</cp:lastPrinted>
  <dcterms:created xsi:type="dcterms:W3CDTF">2008-03-11T20:46:20Z</dcterms:created>
  <dcterms:modified xsi:type="dcterms:W3CDTF">2026-08-24T13:38:21Z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