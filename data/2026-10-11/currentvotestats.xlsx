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10" documentId="8_{D138D74C-F0B5-4F62-A38A-8651AE71C088}" xr6:coauthVersionLast="47" xr6:coauthVersionMax="47" xr10:uidLastSave="{10344969-0C8B-44FB-B638-6171E33D941A}"/>
  <bookViews>
    <workbookView xWindow="32580" yWindow="3555" windowWidth="21600" windowHeight="11295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<sst xmlns="http://schemas.openxmlformats.org/spreadsheetml/2006/main" count="1145" uniqueCount="134">
  <si>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</si>
  <si>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</si>
  <si>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</si>
  <si>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</si>
  <si>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</si>
  <si>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</si>
  <si>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</si>
  <si>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</si>
  <si>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</si>
  <si>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</si>
  <si>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</si>
  <si>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</si>
  <si>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</si>
  <si>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</si>
  <si>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</si>
  <si>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</si>
  <si>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</si>
  <si>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</si>
  <si>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</si>
  <si>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</si>
  <si>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</si>
  <si>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</si>
  <si>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</si>
  <si>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</si>
  <si>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</si>
  <si>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</si>
  <si>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</si>
  <si>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</si>
  <si>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</si>
  <si>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</si>
  <si>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</si>
  <si>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</si>
  <si>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</si>
  <si>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</si>
  <si>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</si>
  <si>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</si>
  <si>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</si>
  <si>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</si>
  <si>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</si>
  <si>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</si>
  <si>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</si>
  <si>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</si>
  <si>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</si>
  <si>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</si>
  <si>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</si>
  <si>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</si>
  <si>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</si>
  <si>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</si>
  <si>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</si>
  <si>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</si>
  <si>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</si>
  <si>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</si>
  <si>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</si>
  <si>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</si>
  <si>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</si>
  <si>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</si>
  <si>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</si>
  <si>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</si>
  <si>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</si>
  <si>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</si>
  <si>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</si>
  <si>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</si>
  <si>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</si>
  <si>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</si>
  <si>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</si>
  <si>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</si>
  <si>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</si>
  <si>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</si>
  <si>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</si>
  <si>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</si>
  <si>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</si>
  <si>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</si>
  <si>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</si>
  <si>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</si>
  <si>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</si>
  <si>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</si>
  <si>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</si>
  <si>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</si>
  <si>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</si>
  <si>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</si>
  <si>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</si>
  <si>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</si>
  <si>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</si>
  <si>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</si>
  <si>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</si>
  <si>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</si>
  <si>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</si>
  <si>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</si>
  <si>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</si>
  <si>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</si>
  <si>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</si>
  <si>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</si>
  <si>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</si>
  <si>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</si>
  <si>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</si>
  <si>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</si>
  <si>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</si>
  <si>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</si>
  <si>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</si>
  <si>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</si>
  <si>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</si>
  <si>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</si>
  <si>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</si>
  <si>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</si>
  <si>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</si>
  <si>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</si>
  <si>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</si>
  <si>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</si>
  <si>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</si>
  <si>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</si>
  <si>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</si>
  <si>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</si>
  <si>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</si>
  <si>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</si>
  <si>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</si>
  <si>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</si>
  <si>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</si>
  <si>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</si>
  <si>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</si>
  <si>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</si>
  <si>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</si>
  <si>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</si>
  <si>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</si>
  <si>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</si>
  <si>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</si>
  <si>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</si>
  <si>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Dec 2008 - Dec 2025</t>
  </si>
  <si>
    <t>Information as of 10/05/2026</t>
  </si>
  <si>
    <t>Week Of 09-28-2026 to 10-05-2026</t>
  </si>
  <si>
    <t xml:space="preserve">   </t>
  </si>
  <si>
    <t xml:space="preserve">Cumulative Total 2008 - 2025 </t>
  </si>
  <si>
    <t xml:space="preserve">  </t>
  </si>
  <si>
    <t xml:space="preserve">       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</si>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</sst>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9" sqref="L9:M9"/>
    </sheetView>
  </sheetViews>
  <sheetFormatPr defaultRowHeight="12.75" x14ac:dyDescent="0.2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 x14ac:dyDescent="0.2">
      <c r="A1" s="18" t="s">
        <v>127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132</v>
      </c>
    </row>
    <row r="2" spans="1:12" s="4" customFormat="1" ht="25.5" x14ac:dyDescent="0.2">
      <c r="A2" s="3" t="s">
        <v>104</v>
      </c>
      <c r="B2" s="3" t="s">
        <v>119</v>
      </c>
      <c r="C2" s="7" t="s">
        <v>120</v>
      </c>
      <c r="D2" s="8"/>
      <c r="E2" s="7" t="s">
        <v>121</v>
      </c>
      <c r="F2" s="8"/>
      <c r="G2" s="7" t="s">
        <v>122</v>
      </c>
      <c r="H2" s="9"/>
      <c r="I2" s="7" t="s">
        <v>84</v>
      </c>
      <c r="J2" s="7"/>
      <c r="K2" s="3" t="s">
        <v>85</v>
      </c>
      <c r="L2" s="4" t="s">
        <v>133</v>
      </c>
    </row>
    <row r="3" spans="1:12" x14ac:dyDescent="0.2">
      <c r="A3" t="s">
        <v>1</v>
      </c>
      <c r="B3" s="1">
        <v>2290</v>
      </c>
      <c r="C3">
        <v>19259</v>
      </c>
      <c r="D3"/>
      <c r="E3">
        <v>44081</v>
      </c>
      <c r="F3"/>
      <c r="G3">
        <v>10815</v>
      </c>
      <c r="H3"/>
      <c r="I3">
        <v>2771</v>
      </c>
      <c r="K3" s="10">
        <f t="shared" ref="K3:K34" si="0">SUM(C3+E3+G3+I3)</f>
        <v>76926</v>
      </c>
    </row>
    <row r="4" spans="1:12" x14ac:dyDescent="0.2">
      <c r="A4" t="s">
        <v>2</v>
      </c>
      <c r="B4" s="1">
        <v>2291</v>
      </c>
      <c r="C4">
        <v>505796</v>
      </c>
      <c r="D4"/>
      <c r="E4">
        <v>263071</v>
      </c>
      <c r="F4"/>
      <c r="G4">
        <v>115963</v>
      </c>
      <c r="H4"/>
      <c r="I4">
        <v>36595</v>
      </c>
      <c r="K4" s="10">
        <f t="shared" si="0"/>
        <v>921425</v>
      </c>
    </row>
    <row r="5" spans="1:12" x14ac:dyDescent="0.2">
      <c r="A5" t="s">
        <v>3</v>
      </c>
      <c r="B5" s="1">
        <v>2292</v>
      </c>
      <c r="C5">
        <v>10631</v>
      </c>
      <c r="D5"/>
      <c r="E5">
        <v>27700</v>
      </c>
      <c r="F5"/>
      <c r="G5">
        <v>3743</v>
      </c>
      <c r="H5"/>
      <c r="I5">
        <v>1584</v>
      </c>
      <c r="K5" s="10">
        <f t="shared" si="0"/>
        <v>43658</v>
      </c>
    </row>
    <row r="6" spans="1:12" x14ac:dyDescent="0.2">
      <c r="A6" t="s">
        <v>4</v>
      </c>
      <c r="B6" s="1">
        <v>2293</v>
      </c>
      <c r="C6">
        <v>45772</v>
      </c>
      <c r="D6"/>
      <c r="E6">
        <v>51931</v>
      </c>
      <c r="F6"/>
      <c r="G6">
        <v>11895</v>
      </c>
      <c r="H6"/>
      <c r="I6">
        <v>4711</v>
      </c>
      <c r="K6" s="10">
        <f t="shared" si="0"/>
        <v>114309</v>
      </c>
    </row>
    <row r="7" spans="1:12" x14ac:dyDescent="0.2">
      <c r="A7" t="s">
        <v>5</v>
      </c>
      <c r="B7" s="1">
        <v>2294</v>
      </c>
      <c r="C7">
        <v>5261</v>
      </c>
      <c r="D7"/>
      <c r="E7">
        <v>24579</v>
      </c>
      <c r="F7"/>
      <c r="G7">
        <v>2332</v>
      </c>
      <c r="H7"/>
      <c r="I7">
        <v>889</v>
      </c>
      <c r="K7" s="10">
        <f t="shared" si="0"/>
        <v>33061</v>
      </c>
    </row>
    <row r="8" spans="1:12" x14ac:dyDescent="0.2">
      <c r="A8" t="s">
        <v>6</v>
      </c>
      <c r="B8" s="1">
        <v>2295</v>
      </c>
      <c r="C8">
        <v>104477</v>
      </c>
      <c r="D8"/>
      <c r="E8">
        <v>118051</v>
      </c>
      <c r="F8"/>
      <c r="G8">
        <v>42070</v>
      </c>
      <c r="H8"/>
      <c r="I8">
        <v>10354</v>
      </c>
      <c r="K8" s="10">
        <f t="shared" si="0"/>
        <v>274952</v>
      </c>
    </row>
    <row r="9" spans="1:12" x14ac:dyDescent="0.2">
      <c r="A9" t="s">
        <v>7</v>
      </c>
      <c r="B9" s="1">
        <v>2296</v>
      </c>
      <c r="C9">
        <v>19842</v>
      </c>
      <c r="D9"/>
      <c r="E9">
        <v>50597</v>
      </c>
      <c r="F9"/>
      <c r="G9">
        <v>8528</v>
      </c>
      <c r="H9"/>
      <c r="I9">
        <v>2699</v>
      </c>
      <c r="K9" s="10">
        <f t="shared" si="0"/>
        <v>81666</v>
      </c>
    </row>
    <row r="10" spans="1:12" x14ac:dyDescent="0.2">
      <c r="A10" t="s">
        <v>8</v>
      </c>
      <c r="B10" s="1">
        <v>2297</v>
      </c>
      <c r="C10">
        <v>7840</v>
      </c>
      <c r="D10"/>
      <c r="E10">
        <v>25683</v>
      </c>
      <c r="F10"/>
      <c r="G10">
        <v>3939</v>
      </c>
      <c r="H10"/>
      <c r="I10">
        <v>1531</v>
      </c>
      <c r="K10" s="10">
        <f t="shared" si="0"/>
        <v>38993</v>
      </c>
    </row>
    <row r="11" spans="1:12" x14ac:dyDescent="0.2">
      <c r="A11" t="s">
        <v>9</v>
      </c>
      <c r="B11" s="1">
        <v>2298</v>
      </c>
      <c r="C11">
        <v>194683</v>
      </c>
      <c r="D11"/>
      <c r="E11">
        <v>201808</v>
      </c>
      <c r="F11"/>
      <c r="G11">
        <v>71272</v>
      </c>
      <c r="H11"/>
      <c r="I11">
        <v>18220</v>
      </c>
      <c r="K11" s="10">
        <f t="shared" si="0"/>
        <v>485983</v>
      </c>
    </row>
    <row r="12" spans="1:12" x14ac:dyDescent="0.2">
      <c r="A12" t="s">
        <v>10</v>
      </c>
      <c r="B12" s="1">
        <v>2299</v>
      </c>
      <c r="C12">
        <v>39437</v>
      </c>
      <c r="D12"/>
      <c r="E12">
        <v>83045</v>
      </c>
      <c r="F12"/>
      <c r="G12">
        <v>16511</v>
      </c>
      <c r="H12"/>
      <c r="I12">
        <v>5134</v>
      </c>
      <c r="K12" s="10">
        <f t="shared" si="0"/>
        <v>144127</v>
      </c>
    </row>
    <row r="13" spans="1:12" x14ac:dyDescent="0.2">
      <c r="A13" t="s">
        <v>11</v>
      </c>
      <c r="B13" s="1">
        <v>2300</v>
      </c>
      <c r="C13">
        <v>29393</v>
      </c>
      <c r="D13"/>
      <c r="E13">
        <v>46517</v>
      </c>
      <c r="F13"/>
      <c r="G13">
        <v>7975</v>
      </c>
      <c r="H13"/>
      <c r="I13">
        <v>2131</v>
      </c>
      <c r="K13" s="10">
        <f t="shared" si="0"/>
        <v>86016</v>
      </c>
    </row>
    <row r="14" spans="1:12" x14ac:dyDescent="0.2">
      <c r="A14" t="s">
        <v>12</v>
      </c>
      <c r="B14" s="1">
        <v>2301</v>
      </c>
      <c r="C14">
        <v>663</v>
      </c>
      <c r="D14"/>
      <c r="E14">
        <v>1841</v>
      </c>
      <c r="F14"/>
      <c r="G14">
        <v>256</v>
      </c>
      <c r="H14"/>
      <c r="I14">
        <v>123</v>
      </c>
      <c r="K14" s="10">
        <f t="shared" si="0"/>
        <v>2883</v>
      </c>
    </row>
    <row r="15" spans="1:12" x14ac:dyDescent="0.2">
      <c r="A15" t="s">
        <v>13</v>
      </c>
      <c r="B15" s="1">
        <v>2302</v>
      </c>
      <c r="C15">
        <v>14091</v>
      </c>
      <c r="D15"/>
      <c r="E15">
        <v>23956</v>
      </c>
      <c r="F15"/>
      <c r="G15">
        <v>5911</v>
      </c>
      <c r="H15"/>
      <c r="I15">
        <v>1887</v>
      </c>
      <c r="K15" s="10">
        <f t="shared" si="0"/>
        <v>45845</v>
      </c>
    </row>
    <row r="16" spans="1:12" x14ac:dyDescent="0.2">
      <c r="A16" t="s">
        <v>14</v>
      </c>
      <c r="B16" s="1">
        <v>2303</v>
      </c>
      <c r="C16">
        <v>41656</v>
      </c>
      <c r="D16"/>
      <c r="E16">
        <v>41812</v>
      </c>
      <c r="F16"/>
      <c r="G16">
        <v>16221</v>
      </c>
      <c r="H16"/>
      <c r="I16">
        <v>2695</v>
      </c>
      <c r="K16" s="10">
        <f t="shared" si="0"/>
        <v>102384</v>
      </c>
    </row>
    <row r="17" spans="1:11" x14ac:dyDescent="0.2">
      <c r="A17" t="s">
        <v>15</v>
      </c>
      <c r="B17" s="1">
        <v>2304</v>
      </c>
      <c r="C17">
        <v>162058</v>
      </c>
      <c r="D17"/>
      <c r="E17">
        <v>151747</v>
      </c>
      <c r="F17"/>
      <c r="G17">
        <v>59476</v>
      </c>
      <c r="H17"/>
      <c r="I17">
        <v>17789</v>
      </c>
      <c r="K17" s="10">
        <f t="shared" si="0"/>
        <v>391070</v>
      </c>
    </row>
    <row r="18" spans="1:11" x14ac:dyDescent="0.2">
      <c r="A18" t="s">
        <v>16</v>
      </c>
      <c r="B18" s="1">
        <v>2305</v>
      </c>
      <c r="C18">
        <v>5048</v>
      </c>
      <c r="D18"/>
      <c r="E18">
        <v>15497</v>
      </c>
      <c r="F18"/>
      <c r="G18">
        <v>2086</v>
      </c>
      <c r="H18"/>
      <c r="I18">
        <v>641</v>
      </c>
      <c r="K18" s="10">
        <f t="shared" si="0"/>
        <v>23272</v>
      </c>
    </row>
    <row r="19" spans="1:11" x14ac:dyDescent="0.2">
      <c r="A19" t="s">
        <v>17</v>
      </c>
      <c r="B19" s="1">
        <v>2306</v>
      </c>
      <c r="C19">
        <v>12052</v>
      </c>
      <c r="D19"/>
      <c r="E19">
        <v>31454</v>
      </c>
      <c r="F19"/>
      <c r="G19">
        <v>4339</v>
      </c>
      <c r="H19"/>
      <c r="I19">
        <v>1786</v>
      </c>
      <c r="K19" s="10">
        <f t="shared" si="0"/>
        <v>49631</v>
      </c>
    </row>
    <row r="20" spans="1:11" x14ac:dyDescent="0.2">
      <c r="A20" t="s">
        <v>18</v>
      </c>
      <c r="B20" s="1">
        <v>2307</v>
      </c>
      <c r="C20">
        <v>6107</v>
      </c>
      <c r="D20"/>
      <c r="E20">
        <v>13275</v>
      </c>
      <c r="F20"/>
      <c r="G20">
        <v>2455</v>
      </c>
      <c r="H20"/>
      <c r="I20">
        <v>742</v>
      </c>
      <c r="K20" s="10">
        <f t="shared" si="0"/>
        <v>22579</v>
      </c>
    </row>
    <row r="21" spans="1:11" x14ac:dyDescent="0.2">
      <c r="A21" t="s">
        <v>19</v>
      </c>
      <c r="B21" s="1">
        <v>2308</v>
      </c>
      <c r="C21">
        <v>11811</v>
      </c>
      <c r="D21"/>
      <c r="E21">
        <v>22448</v>
      </c>
      <c r="F21"/>
      <c r="G21">
        <v>4901</v>
      </c>
      <c r="H21"/>
      <c r="I21">
        <v>1491</v>
      </c>
      <c r="K21" s="10">
        <f t="shared" si="0"/>
        <v>40651</v>
      </c>
    </row>
    <row r="22" spans="1:11" x14ac:dyDescent="0.2">
      <c r="A22" t="s">
        <v>20</v>
      </c>
      <c r="B22" s="1">
        <v>2309</v>
      </c>
      <c r="C22">
        <v>14440</v>
      </c>
      <c r="D22"/>
      <c r="E22">
        <v>31791</v>
      </c>
      <c r="F22"/>
      <c r="G22">
        <v>4970</v>
      </c>
      <c r="H22"/>
      <c r="I22">
        <v>1831</v>
      </c>
      <c r="K22" s="10">
        <f t="shared" si="0"/>
        <v>53032</v>
      </c>
    </row>
    <row r="23" spans="1:11" x14ac:dyDescent="0.2">
      <c r="A23" t="s">
        <v>21</v>
      </c>
      <c r="B23" s="1">
        <v>2310</v>
      </c>
      <c r="C23">
        <v>62177</v>
      </c>
      <c r="D23"/>
      <c r="E23">
        <v>88242</v>
      </c>
      <c r="F23"/>
      <c r="G23">
        <v>27623</v>
      </c>
      <c r="H23"/>
      <c r="I23">
        <v>6509</v>
      </c>
      <c r="K23" s="10">
        <f t="shared" si="0"/>
        <v>184551</v>
      </c>
    </row>
    <row r="24" spans="1:11" x14ac:dyDescent="0.2">
      <c r="A24" t="s">
        <v>22</v>
      </c>
      <c r="B24" s="1">
        <v>2311</v>
      </c>
      <c r="C24">
        <v>87121</v>
      </c>
      <c r="D24"/>
      <c r="E24">
        <v>75924</v>
      </c>
      <c r="F24"/>
      <c r="G24">
        <v>31826</v>
      </c>
      <c r="H24"/>
      <c r="I24">
        <v>7232</v>
      </c>
      <c r="K24" s="10">
        <f t="shared" si="0"/>
        <v>202103</v>
      </c>
    </row>
    <row r="25" spans="1:11" x14ac:dyDescent="0.2">
      <c r="A25" t="s">
        <v>23</v>
      </c>
      <c r="B25" s="1">
        <v>2312</v>
      </c>
      <c r="C25">
        <v>204019</v>
      </c>
      <c r="D25"/>
      <c r="E25">
        <v>142558</v>
      </c>
      <c r="F25"/>
      <c r="G25">
        <v>50123</v>
      </c>
      <c r="H25"/>
      <c r="I25">
        <v>15641</v>
      </c>
      <c r="K25" s="10">
        <f t="shared" si="0"/>
        <v>412341</v>
      </c>
    </row>
    <row r="26" spans="1:11" x14ac:dyDescent="0.2">
      <c r="A26" t="s">
        <v>24</v>
      </c>
      <c r="B26" s="1">
        <v>2313</v>
      </c>
      <c r="C26">
        <v>5769</v>
      </c>
      <c r="D26"/>
      <c r="E26">
        <v>12126</v>
      </c>
      <c r="F26"/>
      <c r="G26">
        <v>1791</v>
      </c>
      <c r="H26"/>
      <c r="I26">
        <v>775</v>
      </c>
      <c r="K26" s="10">
        <f t="shared" si="0"/>
        <v>20461</v>
      </c>
    </row>
    <row r="27" spans="1:11" x14ac:dyDescent="0.2">
      <c r="A27" t="s">
        <v>25</v>
      </c>
      <c r="B27" s="1">
        <v>2314</v>
      </c>
      <c r="C27">
        <v>76582</v>
      </c>
      <c r="D27"/>
      <c r="E27">
        <v>70782</v>
      </c>
      <c r="F27"/>
      <c r="G27">
        <v>20944</v>
      </c>
      <c r="H27"/>
      <c r="I27">
        <v>6649</v>
      </c>
      <c r="K27" s="10">
        <f t="shared" si="0"/>
        <v>174957</v>
      </c>
    </row>
    <row r="28" spans="1:11" x14ac:dyDescent="0.2">
      <c r="A28" t="s">
        <v>26</v>
      </c>
      <c r="B28" s="1">
        <v>2315</v>
      </c>
      <c r="C28">
        <v>29449</v>
      </c>
      <c r="D28"/>
      <c r="E28">
        <v>41335</v>
      </c>
      <c r="F28"/>
      <c r="G28">
        <v>6756</v>
      </c>
      <c r="H28"/>
      <c r="I28">
        <v>2065</v>
      </c>
      <c r="K28" s="10">
        <f t="shared" si="0"/>
        <v>79605</v>
      </c>
    </row>
    <row r="29" spans="1:11" x14ac:dyDescent="0.2">
      <c r="A29" t="s">
        <v>27</v>
      </c>
      <c r="B29" s="1">
        <v>2316</v>
      </c>
      <c r="C29">
        <v>789</v>
      </c>
      <c r="D29"/>
      <c r="E29">
        <v>2070</v>
      </c>
      <c r="F29"/>
      <c r="G29">
        <v>284</v>
      </c>
      <c r="H29"/>
      <c r="I29">
        <v>126</v>
      </c>
      <c r="K29" s="10">
        <f t="shared" si="0"/>
        <v>3269</v>
      </c>
    </row>
    <row r="30" spans="1:11" x14ac:dyDescent="0.2">
      <c r="A30" t="s">
        <v>28</v>
      </c>
      <c r="B30" s="1">
        <v>2317</v>
      </c>
      <c r="C30">
        <v>23629</v>
      </c>
      <c r="D30"/>
      <c r="E30">
        <v>64351</v>
      </c>
      <c r="F30"/>
      <c r="G30">
        <v>14273</v>
      </c>
      <c r="H30"/>
      <c r="I30">
        <v>3419</v>
      </c>
      <c r="K30" s="10">
        <f t="shared" si="0"/>
        <v>105672</v>
      </c>
    </row>
    <row r="31" spans="1:11" x14ac:dyDescent="0.2">
      <c r="A31" t="s">
        <v>29</v>
      </c>
      <c r="B31" s="1">
        <v>2318</v>
      </c>
      <c r="C31">
        <v>1473</v>
      </c>
      <c r="D31"/>
      <c r="E31">
        <v>7472</v>
      </c>
      <c r="F31"/>
      <c r="G31">
        <v>921</v>
      </c>
      <c r="H31"/>
      <c r="I31">
        <v>264</v>
      </c>
      <c r="K31" s="10">
        <f t="shared" si="0"/>
        <v>10130</v>
      </c>
    </row>
    <row r="32" spans="1:11" x14ac:dyDescent="0.2">
      <c r="A32" t="s">
        <v>30</v>
      </c>
      <c r="B32" s="1">
        <v>2319</v>
      </c>
      <c r="C32">
        <v>7336</v>
      </c>
      <c r="D32"/>
      <c r="E32">
        <v>12205</v>
      </c>
      <c r="F32"/>
      <c r="G32">
        <v>1673</v>
      </c>
      <c r="H32"/>
      <c r="I32">
        <v>605</v>
      </c>
      <c r="K32" s="10">
        <f t="shared" si="0"/>
        <v>21819</v>
      </c>
    </row>
    <row r="33" spans="1:11" x14ac:dyDescent="0.2">
      <c r="A33" t="s">
        <v>31</v>
      </c>
      <c r="B33" s="1">
        <v>2320</v>
      </c>
      <c r="C33">
        <v>6027</v>
      </c>
      <c r="D33"/>
      <c r="E33">
        <v>18878</v>
      </c>
      <c r="F33"/>
      <c r="G33">
        <v>2391</v>
      </c>
      <c r="H33"/>
      <c r="I33">
        <v>600</v>
      </c>
      <c r="K33" s="10">
        <f t="shared" si="0"/>
        <v>27896</v>
      </c>
    </row>
    <row r="34" spans="1:11" x14ac:dyDescent="0.2">
      <c r="A34" t="s">
        <v>32</v>
      </c>
      <c r="B34" s="1">
        <v>2321</v>
      </c>
      <c r="C34">
        <v>13887</v>
      </c>
      <c r="D34"/>
      <c r="E34">
        <v>28878</v>
      </c>
      <c r="F34"/>
      <c r="G34">
        <v>4718</v>
      </c>
      <c r="H34"/>
      <c r="I34">
        <v>1688</v>
      </c>
      <c r="K34" s="10">
        <f t="shared" si="0"/>
        <v>49171</v>
      </c>
    </row>
    <row r="35" spans="1:11" x14ac:dyDescent="0.2">
      <c r="A35" t="s">
        <v>33</v>
      </c>
      <c r="B35" s="1">
        <v>2322</v>
      </c>
      <c r="C35">
        <v>5456</v>
      </c>
      <c r="D35"/>
      <c r="E35">
        <v>19482</v>
      </c>
      <c r="F35"/>
      <c r="G35">
        <v>2322</v>
      </c>
      <c r="H35"/>
      <c r="I35">
        <v>935</v>
      </c>
      <c r="K35" s="10">
        <f t="shared" ref="K35:K69" si="1">SUM(C35+E35+G35+I35)</f>
        <v>28195</v>
      </c>
    </row>
    <row r="36" spans="1:11" x14ac:dyDescent="0.2">
      <c r="A36" t="s">
        <v>34</v>
      </c>
      <c r="B36" s="1">
        <v>2323</v>
      </c>
      <c r="C36">
        <v>2544</v>
      </c>
      <c r="D36"/>
      <c r="E36">
        <v>10031</v>
      </c>
      <c r="F36"/>
      <c r="G36">
        <v>1187</v>
      </c>
      <c r="H36"/>
      <c r="I36">
        <v>333</v>
      </c>
      <c r="K36" s="10">
        <f t="shared" si="1"/>
        <v>14095</v>
      </c>
    </row>
    <row r="37" spans="1:11" x14ac:dyDescent="0.2">
      <c r="A37" t="s">
        <v>35</v>
      </c>
      <c r="B37" s="1">
        <v>2324</v>
      </c>
      <c r="C37">
        <v>77045</v>
      </c>
      <c r="D37"/>
      <c r="E37">
        <v>52323</v>
      </c>
      <c r="F37"/>
      <c r="G37">
        <v>17479</v>
      </c>
      <c r="H37"/>
      <c r="I37">
        <v>3510</v>
      </c>
      <c r="K37" s="10">
        <f t="shared" si="1"/>
        <v>150357</v>
      </c>
    </row>
    <row r="38" spans="1:11" x14ac:dyDescent="0.2">
      <c r="A38" t="s">
        <v>36</v>
      </c>
      <c r="B38" s="1">
        <v>2325</v>
      </c>
      <c r="C38">
        <v>113785</v>
      </c>
      <c r="D38"/>
      <c r="E38">
        <v>183766</v>
      </c>
      <c r="F38"/>
      <c r="G38">
        <v>52046</v>
      </c>
      <c r="H38"/>
      <c r="I38">
        <v>16043</v>
      </c>
      <c r="K38" s="10">
        <f t="shared" si="1"/>
        <v>365640</v>
      </c>
    </row>
    <row r="39" spans="1:11" x14ac:dyDescent="0.2">
      <c r="A39" t="s">
        <v>37</v>
      </c>
      <c r="B39" s="1">
        <v>2326</v>
      </c>
      <c r="C39">
        <v>19681</v>
      </c>
      <c r="D39"/>
      <c r="E39">
        <v>30104</v>
      </c>
      <c r="F39"/>
      <c r="G39">
        <v>5677</v>
      </c>
      <c r="H39"/>
      <c r="I39">
        <v>1887</v>
      </c>
      <c r="K39" s="10">
        <f t="shared" si="1"/>
        <v>57349</v>
      </c>
    </row>
    <row r="40" spans="1:11" x14ac:dyDescent="0.2">
      <c r="A40" t="s">
        <v>38</v>
      </c>
      <c r="B40" s="1">
        <v>2327</v>
      </c>
      <c r="C40">
        <v>25611</v>
      </c>
      <c r="D40"/>
      <c r="E40">
        <v>52685</v>
      </c>
      <c r="F40"/>
      <c r="G40">
        <v>12477</v>
      </c>
      <c r="H40"/>
      <c r="I40">
        <v>3689</v>
      </c>
      <c r="K40" s="10">
        <f t="shared" si="1"/>
        <v>94462</v>
      </c>
    </row>
    <row r="41" spans="1:11" x14ac:dyDescent="0.2">
      <c r="A41" t="s">
        <v>39</v>
      </c>
      <c r="B41" s="1">
        <v>2328</v>
      </c>
      <c r="C41">
        <v>112311</v>
      </c>
      <c r="D41"/>
      <c r="E41">
        <v>89531</v>
      </c>
      <c r="F41"/>
      <c r="G41">
        <v>46015</v>
      </c>
      <c r="H41"/>
      <c r="I41">
        <v>7338</v>
      </c>
      <c r="K41" s="10">
        <f t="shared" si="1"/>
        <v>255195</v>
      </c>
    </row>
    <row r="42" spans="1:11" x14ac:dyDescent="0.2">
      <c r="A42" t="s">
        <v>40</v>
      </c>
      <c r="B42" s="1">
        <v>2329</v>
      </c>
      <c r="C42">
        <v>86048</v>
      </c>
      <c r="D42"/>
      <c r="E42">
        <v>90794</v>
      </c>
      <c r="F42"/>
      <c r="G42">
        <v>26050</v>
      </c>
      <c r="H42"/>
      <c r="I42">
        <v>5707</v>
      </c>
      <c r="K42" s="10">
        <f t="shared" si="1"/>
        <v>208599</v>
      </c>
    </row>
    <row r="43" spans="1:11" x14ac:dyDescent="0.2">
      <c r="A43" t="s">
        <v>41</v>
      </c>
      <c r="B43" s="1">
        <v>2330</v>
      </c>
      <c r="C43">
        <v>18265</v>
      </c>
      <c r="D43"/>
      <c r="E43">
        <v>43743</v>
      </c>
      <c r="F43"/>
      <c r="G43">
        <v>8088</v>
      </c>
      <c r="H43"/>
      <c r="I43">
        <v>2713</v>
      </c>
      <c r="K43" s="10">
        <f t="shared" si="1"/>
        <v>72809</v>
      </c>
    </row>
    <row r="44" spans="1:11" x14ac:dyDescent="0.2">
      <c r="A44" t="s">
        <v>91</v>
      </c>
      <c r="B44" s="1">
        <v>2331</v>
      </c>
      <c r="C44">
        <v>5336</v>
      </c>
      <c r="D44"/>
      <c r="E44">
        <v>16205</v>
      </c>
      <c r="F44"/>
      <c r="G44">
        <v>2768</v>
      </c>
      <c r="H44"/>
      <c r="I44">
        <v>1028</v>
      </c>
      <c r="K44" s="10">
        <f t="shared" si="1"/>
        <v>25337</v>
      </c>
    </row>
    <row r="45" spans="1:11" x14ac:dyDescent="0.2">
      <c r="A45" t="s">
        <v>43</v>
      </c>
      <c r="B45" s="1">
        <v>2332</v>
      </c>
      <c r="C45">
        <v>23197</v>
      </c>
      <c r="D45"/>
      <c r="E45">
        <v>38331</v>
      </c>
      <c r="F45"/>
      <c r="G45">
        <v>8474</v>
      </c>
      <c r="H45"/>
      <c r="I45">
        <v>2031</v>
      </c>
      <c r="K45" s="10">
        <f t="shared" si="1"/>
        <v>72033</v>
      </c>
    </row>
    <row r="46" spans="1:11" x14ac:dyDescent="0.2">
      <c r="A46" t="s">
        <v>44</v>
      </c>
      <c r="B46" s="1">
        <v>2333</v>
      </c>
      <c r="C46">
        <v>5405</v>
      </c>
      <c r="D46"/>
      <c r="E46">
        <v>18649</v>
      </c>
      <c r="F46"/>
      <c r="G46">
        <v>2527</v>
      </c>
      <c r="H46"/>
      <c r="I46">
        <v>620</v>
      </c>
      <c r="K46" s="10">
        <f t="shared" si="1"/>
        <v>27201</v>
      </c>
    </row>
    <row r="47" spans="1:11" x14ac:dyDescent="0.2">
      <c r="A47" t="s">
        <v>45</v>
      </c>
      <c r="B47" s="1">
        <v>2334</v>
      </c>
      <c r="C47">
        <v>48914</v>
      </c>
      <c r="D47"/>
      <c r="E47">
        <v>43419</v>
      </c>
      <c r="F47"/>
      <c r="G47">
        <v>20942</v>
      </c>
      <c r="H47"/>
      <c r="I47">
        <v>4976</v>
      </c>
      <c r="K47" s="10">
        <f t="shared" si="1"/>
        <v>118251</v>
      </c>
    </row>
    <row r="48" spans="1:11" x14ac:dyDescent="0.2">
      <c r="A48" t="s">
        <v>46</v>
      </c>
      <c r="B48" s="1">
        <v>2335</v>
      </c>
      <c r="C48">
        <v>306778</v>
      </c>
      <c r="D48"/>
      <c r="E48">
        <v>207589</v>
      </c>
      <c r="F48"/>
      <c r="G48">
        <v>85718</v>
      </c>
      <c r="H48"/>
      <c r="I48">
        <v>25800</v>
      </c>
      <c r="K48" s="10">
        <f t="shared" si="1"/>
        <v>625885</v>
      </c>
    </row>
    <row r="49" spans="1:11" x14ac:dyDescent="0.2">
      <c r="A49" t="s">
        <v>47</v>
      </c>
      <c r="B49" s="1">
        <v>2336</v>
      </c>
      <c r="C49">
        <v>3781</v>
      </c>
      <c r="D49"/>
      <c r="E49">
        <v>6567</v>
      </c>
      <c r="F49"/>
      <c r="G49">
        <v>1629</v>
      </c>
      <c r="H49"/>
      <c r="I49">
        <v>413</v>
      </c>
      <c r="K49" s="10">
        <f t="shared" si="1"/>
        <v>12390</v>
      </c>
    </row>
    <row r="50" spans="1:11" x14ac:dyDescent="0.2">
      <c r="A50" t="s">
        <v>48</v>
      </c>
      <c r="B50" s="1">
        <v>2337</v>
      </c>
      <c r="C50">
        <v>96758</v>
      </c>
      <c r="D50"/>
      <c r="E50">
        <v>87003</v>
      </c>
      <c r="F50"/>
      <c r="G50">
        <v>40171</v>
      </c>
      <c r="H50"/>
      <c r="I50">
        <v>9534</v>
      </c>
      <c r="K50" s="10">
        <f t="shared" si="1"/>
        <v>233466</v>
      </c>
    </row>
    <row r="51" spans="1:11" x14ac:dyDescent="0.2">
      <c r="A51" t="s">
        <v>49</v>
      </c>
      <c r="B51" s="1">
        <v>2338</v>
      </c>
      <c r="C51">
        <v>15353</v>
      </c>
      <c r="D51"/>
      <c r="E51">
        <v>31968</v>
      </c>
      <c r="F51"/>
      <c r="G51">
        <v>5886</v>
      </c>
      <c r="H51"/>
      <c r="I51">
        <v>2238</v>
      </c>
      <c r="K51" s="10">
        <f t="shared" si="1"/>
        <v>55445</v>
      </c>
    </row>
    <row r="52" spans="1:11" x14ac:dyDescent="0.2">
      <c r="A52" t="s">
        <v>50</v>
      </c>
      <c r="B52" s="1">
        <v>2339</v>
      </c>
      <c r="C52">
        <v>6038</v>
      </c>
      <c r="D52"/>
      <c r="E52">
        <v>20943</v>
      </c>
      <c r="F52"/>
      <c r="G52">
        <v>3476</v>
      </c>
      <c r="H52"/>
      <c r="I52">
        <v>857</v>
      </c>
      <c r="K52" s="10">
        <f t="shared" si="1"/>
        <v>31314</v>
      </c>
    </row>
    <row r="53" spans="1:11" x14ac:dyDescent="0.2">
      <c r="A53" t="s">
        <v>51</v>
      </c>
      <c r="B53" s="1">
        <v>2340</v>
      </c>
      <c r="C53">
        <v>783153</v>
      </c>
      <c r="D53"/>
      <c r="E53">
        <v>131430</v>
      </c>
      <c r="F53"/>
      <c r="G53">
        <v>156355</v>
      </c>
      <c r="H53"/>
      <c r="I53">
        <v>26492</v>
      </c>
      <c r="K53" s="10">
        <f t="shared" si="1"/>
        <v>1097430</v>
      </c>
    </row>
    <row r="54" spans="1:11" x14ac:dyDescent="0.2">
      <c r="A54" t="s">
        <v>52</v>
      </c>
      <c r="B54" s="1">
        <v>2341</v>
      </c>
      <c r="C54">
        <v>13678</v>
      </c>
      <c r="D54"/>
      <c r="E54">
        <v>23146</v>
      </c>
      <c r="F54"/>
      <c r="G54">
        <v>8568</v>
      </c>
      <c r="H54"/>
      <c r="I54">
        <v>2137</v>
      </c>
      <c r="K54" s="10">
        <f t="shared" si="1"/>
        <v>47529</v>
      </c>
    </row>
    <row r="55" spans="1:11" x14ac:dyDescent="0.2">
      <c r="A55" t="s">
        <v>53</v>
      </c>
      <c r="B55" s="1">
        <v>2342</v>
      </c>
      <c r="C55">
        <v>1742</v>
      </c>
      <c r="D55"/>
      <c r="E55">
        <v>7999</v>
      </c>
      <c r="F55"/>
      <c r="G55">
        <v>1003</v>
      </c>
      <c r="H55"/>
      <c r="I55">
        <v>271</v>
      </c>
      <c r="K55" s="10">
        <f t="shared" si="1"/>
        <v>11015</v>
      </c>
    </row>
    <row r="56" spans="1:11" x14ac:dyDescent="0.2">
      <c r="A56" t="s">
        <v>54</v>
      </c>
      <c r="B56" s="1">
        <v>2343</v>
      </c>
      <c r="C56">
        <v>25434</v>
      </c>
      <c r="D56"/>
      <c r="E56">
        <v>53199</v>
      </c>
      <c r="F56"/>
      <c r="G56">
        <v>10277</v>
      </c>
      <c r="H56"/>
      <c r="I56">
        <v>3750</v>
      </c>
      <c r="K56" s="10">
        <f t="shared" si="1"/>
        <v>92660</v>
      </c>
    </row>
    <row r="57" spans="1:11" x14ac:dyDescent="0.2">
      <c r="A57" t="s">
        <v>55</v>
      </c>
      <c r="B57" s="1">
        <v>2344</v>
      </c>
      <c r="C57">
        <v>4937</v>
      </c>
      <c r="D57"/>
      <c r="E57">
        <v>15964</v>
      </c>
      <c r="F57"/>
      <c r="G57">
        <v>2390</v>
      </c>
      <c r="H57"/>
      <c r="I57">
        <v>673</v>
      </c>
      <c r="K57" s="10">
        <f t="shared" si="1"/>
        <v>23964</v>
      </c>
    </row>
    <row r="58" spans="1:11" x14ac:dyDescent="0.2">
      <c r="A58" t="s">
        <v>56</v>
      </c>
      <c r="B58" s="1">
        <v>2345</v>
      </c>
      <c r="C58">
        <v>10493</v>
      </c>
      <c r="D58"/>
      <c r="E58">
        <v>32794</v>
      </c>
      <c r="F58"/>
      <c r="G58">
        <v>4443</v>
      </c>
      <c r="H58"/>
      <c r="I58">
        <v>775</v>
      </c>
      <c r="K58" s="10">
        <f t="shared" si="1"/>
        <v>48505</v>
      </c>
    </row>
    <row r="59" spans="1:11" x14ac:dyDescent="0.2">
      <c r="A59" t="s">
        <v>57</v>
      </c>
      <c r="B59" s="1">
        <v>2346</v>
      </c>
      <c r="C59">
        <v>1069</v>
      </c>
      <c r="D59"/>
      <c r="E59">
        <v>2859</v>
      </c>
      <c r="F59"/>
      <c r="G59">
        <v>386</v>
      </c>
      <c r="H59"/>
      <c r="I59">
        <v>158</v>
      </c>
      <c r="K59" s="10">
        <f t="shared" si="1"/>
        <v>4472</v>
      </c>
    </row>
    <row r="60" spans="1:11" x14ac:dyDescent="0.2">
      <c r="A60" t="s">
        <v>58</v>
      </c>
      <c r="B60" s="1">
        <v>2347</v>
      </c>
      <c r="C60">
        <v>6148</v>
      </c>
      <c r="D60"/>
      <c r="E60">
        <v>17291</v>
      </c>
      <c r="F60"/>
      <c r="G60">
        <v>2903</v>
      </c>
      <c r="H60"/>
      <c r="I60">
        <v>1125</v>
      </c>
      <c r="K60" s="10">
        <f t="shared" si="1"/>
        <v>27467</v>
      </c>
    </row>
    <row r="61" spans="1:11" x14ac:dyDescent="0.2">
      <c r="A61" t="s">
        <v>59</v>
      </c>
      <c r="B61" s="1">
        <v>2348</v>
      </c>
      <c r="C61">
        <v>4939</v>
      </c>
      <c r="D61"/>
      <c r="E61">
        <v>18118</v>
      </c>
      <c r="F61"/>
      <c r="G61">
        <v>3004</v>
      </c>
      <c r="H61"/>
      <c r="I61">
        <v>794</v>
      </c>
      <c r="K61" s="10">
        <f t="shared" si="1"/>
        <v>26855</v>
      </c>
    </row>
    <row r="62" spans="1:11" x14ac:dyDescent="0.2">
      <c r="A62" t="s">
        <v>60</v>
      </c>
      <c r="B62" s="1">
        <v>2349</v>
      </c>
      <c r="C62">
        <v>7902</v>
      </c>
      <c r="D62"/>
      <c r="E62">
        <v>14358</v>
      </c>
      <c r="F62"/>
      <c r="G62">
        <v>3279</v>
      </c>
      <c r="H62"/>
      <c r="I62">
        <v>980</v>
      </c>
      <c r="K62" s="10">
        <f t="shared" si="1"/>
        <v>26519</v>
      </c>
    </row>
    <row r="63" spans="1:11" x14ac:dyDescent="0.2">
      <c r="A63" t="s">
        <v>61</v>
      </c>
      <c r="B63" s="1">
        <v>2350</v>
      </c>
      <c r="C63">
        <v>8039</v>
      </c>
      <c r="D63"/>
      <c r="E63">
        <v>20162</v>
      </c>
      <c r="F63"/>
      <c r="G63">
        <v>3480</v>
      </c>
      <c r="H63"/>
      <c r="I63">
        <v>1222</v>
      </c>
      <c r="K63" s="10">
        <f t="shared" si="1"/>
        <v>32903</v>
      </c>
    </row>
    <row r="64" spans="1:11" x14ac:dyDescent="0.2">
      <c r="A64" t="s">
        <v>62</v>
      </c>
      <c r="B64" s="1">
        <v>2351</v>
      </c>
      <c r="C64">
        <v>6353</v>
      </c>
      <c r="D64"/>
      <c r="E64">
        <v>15236</v>
      </c>
      <c r="F64"/>
      <c r="G64">
        <v>2619</v>
      </c>
      <c r="H64"/>
      <c r="I64">
        <v>1248</v>
      </c>
      <c r="K64" s="10">
        <f t="shared" si="1"/>
        <v>25456</v>
      </c>
    </row>
    <row r="65" spans="1:11" x14ac:dyDescent="0.2">
      <c r="A65" t="s">
        <v>63</v>
      </c>
      <c r="B65" s="1">
        <v>2352</v>
      </c>
      <c r="C65">
        <v>52696</v>
      </c>
      <c r="D65"/>
      <c r="E65">
        <v>72812</v>
      </c>
      <c r="F65"/>
      <c r="G65">
        <v>16074</v>
      </c>
      <c r="H65"/>
      <c r="I65">
        <v>3774</v>
      </c>
      <c r="K65" s="10">
        <f t="shared" si="1"/>
        <v>145356</v>
      </c>
    </row>
    <row r="66" spans="1:11" x14ac:dyDescent="0.2">
      <c r="A66" t="s">
        <v>64</v>
      </c>
      <c r="B66" s="1">
        <v>2353</v>
      </c>
      <c r="C66">
        <v>8747</v>
      </c>
      <c r="D66"/>
      <c r="E66">
        <v>21758</v>
      </c>
      <c r="F66"/>
      <c r="G66">
        <v>5230</v>
      </c>
      <c r="H66"/>
      <c r="I66">
        <v>1059</v>
      </c>
      <c r="K66" s="10">
        <f t="shared" si="1"/>
        <v>36794</v>
      </c>
    </row>
    <row r="67" spans="1:11" x14ac:dyDescent="0.2">
      <c r="A67" t="s">
        <v>65</v>
      </c>
      <c r="B67" s="1">
        <v>2354</v>
      </c>
      <c r="C67">
        <v>86934</v>
      </c>
      <c r="D67"/>
      <c r="E67">
        <v>130854</v>
      </c>
      <c r="F67"/>
      <c r="G67">
        <v>24151</v>
      </c>
      <c r="H67"/>
      <c r="I67">
        <v>9185</v>
      </c>
      <c r="K67" s="10">
        <f t="shared" si="1"/>
        <v>251124</v>
      </c>
    </row>
    <row r="68" spans="1:11" x14ac:dyDescent="0.2">
      <c r="A68" t="s">
        <v>66</v>
      </c>
      <c r="B68" s="1">
        <v>2355</v>
      </c>
      <c r="C68">
        <v>4731</v>
      </c>
      <c r="D68"/>
      <c r="E68">
        <v>11297</v>
      </c>
      <c r="F68"/>
      <c r="G68">
        <v>1843</v>
      </c>
      <c r="H68"/>
      <c r="I68">
        <v>661</v>
      </c>
      <c r="K68" s="10">
        <f t="shared" si="1"/>
        <v>18532</v>
      </c>
    </row>
    <row r="69" spans="1:11" ht="13.5" thickBot="1" x14ac:dyDescent="0.25">
      <c r="A69" s="2" t="s">
        <v>67</v>
      </c>
      <c r="B69" s="5">
        <v>2356</v>
      </c>
      <c r="C69">
        <v>97106</v>
      </c>
      <c r="D69"/>
      <c r="E69">
        <v>168461</v>
      </c>
      <c r="F69"/>
      <c r="G69">
        <v>54577</v>
      </c>
      <c r="H69"/>
      <c r="I69">
        <v>8924</v>
      </c>
      <c r="J69" s="13"/>
      <c r="K69" s="10">
        <f t="shared" si="1"/>
        <v>329068</v>
      </c>
    </row>
    <row r="70" spans="1:11" ht="21.75" customHeight="1" x14ac:dyDescent="0.2">
      <c r="A70" s="6" t="s">
        <v>68</v>
      </c>
      <c r="C70" s="14">
        <f>SUM(C3:C69)</f>
        <v>3864982</v>
      </c>
      <c r="D70" s="14"/>
      <c r="E70" s="14">
        <f>SUM(E3:E69)</f>
        <v>3636576</v>
      </c>
      <c r="F70" s="14"/>
      <c r="G70" s="14">
        <f>SUM(G3:G69)</f>
        <v>1202495</v>
      </c>
      <c r="H70" s="14"/>
      <c r="I70" s="14">
        <f>SUM(I3:I69)</f>
        <v>314057</v>
      </c>
      <c r="J70" s="14"/>
      <c r="K70" s="44">
        <f>SUM(K3:K69)</f>
        <v>9018110</v>
      </c>
    </row>
    <row r="71" spans="1:11" x14ac:dyDescent="0.2">
      <c r="I71" s="31"/>
    </row>
    <row r="73" spans="1:11" x14ac:dyDescent="0.2">
      <c r="I73" s="11"/>
      <c r="K73" s="11"/>
    </row>
    <row r="75" spans="1:11" x14ac:dyDescent="0.2">
      <c r="E75" s="40"/>
      <c r="K75" s="10"/>
    </row>
    <row r="76" spans="1:11" x14ac:dyDescent="0.2">
      <c r="E76" s="40"/>
    </row>
    <row r="77" spans="1:11" x14ac:dyDescent="0.2">
      <c r="E77" s="40"/>
    </row>
    <row r="78" spans="1:11" x14ac:dyDescent="0.2">
      <c r="E78" s="40"/>
    </row>
    <row r="79" spans="1:11" x14ac:dyDescent="0.2">
      <c r="E79" s="40"/>
    </row>
    <row r="80" spans="1:11" x14ac:dyDescent="0.2">
      <c r="C80" s="40"/>
      <c r="E80" s="40"/>
    </row>
    <row r="81" spans="3:11" x14ac:dyDescent="0.2">
      <c r="E81" s="41"/>
    </row>
    <row r="82" spans="3:11" x14ac:dyDescent="0.2">
      <c r="E82" s="41"/>
      <c r="K82"/>
    </row>
    <row r="83" spans="3:11" x14ac:dyDescent="0.2">
      <c r="E83" s="41"/>
      <c r="K83"/>
    </row>
    <row r="84" spans="3:11" x14ac:dyDescent="0.2">
      <c r="C84" s="10"/>
      <c r="K84"/>
    </row>
    <row r="85" spans="3:11" x14ac:dyDescent="0.2">
      <c r="K85"/>
    </row>
    <row r="86" spans="3:11" x14ac:dyDescent="0.2">
      <c r="C86" s="1"/>
      <c r="K86"/>
    </row>
    <row r="87" spans="3:11" x14ac:dyDescent="0.2">
      <c r="K87"/>
    </row>
    <row r="88" spans="3:11" x14ac:dyDescent="0.2">
      <c r="K88"/>
    </row>
    <row r="89" spans="3:11" x14ac:dyDescent="0.2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M10" sqref="M10"/>
    </sheetView>
  </sheetViews>
  <sheetFormatPr defaultColWidth="9.140625" defaultRowHeight="12.75" x14ac:dyDescent="0.2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 x14ac:dyDescent="0.2">
      <c r="A1" s="42"/>
      <c r="B1" s="79" t="s">
        <v>128</v>
      </c>
      <c r="C1" s="79"/>
      <c r="D1" s="79"/>
      <c r="E1" s="79"/>
      <c r="F1" s="78" t="s">
        <v>125</v>
      </c>
      <c r="G1" s="78"/>
      <c r="H1" s="78"/>
      <c r="I1" s="78"/>
      <c r="J1"/>
    </row>
    <row r="2" spans="1:15" x14ac:dyDescent="0.2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 t="s">
        <v>129</v>
      </c>
    </row>
    <row r="3" spans="1:15" x14ac:dyDescent="0.2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">
      <c r="A4" s="64" t="s">
        <v>1</v>
      </c>
      <c r="B4" s="42">
        <v>2</v>
      </c>
      <c r="C4" s="42">
        <v>3</v>
      </c>
      <c r="D4" s="42">
        <v>5</v>
      </c>
      <c r="E4" s="42">
        <v>5</v>
      </c>
      <c r="F4" s="42">
        <v>140</v>
      </c>
      <c r="G4" s="42">
        <v>176</v>
      </c>
      <c r="H4" s="42">
        <v>143</v>
      </c>
      <c r="I4" s="42">
        <v>187</v>
      </c>
      <c r="J4"/>
      <c r="K4" s="11"/>
      <c r="L4" s="11"/>
      <c r="M4" s="11"/>
      <c r="N4" s="11"/>
      <c r="O4" s="11"/>
    </row>
    <row r="5" spans="1:15" x14ac:dyDescent="0.2">
      <c r="A5" s="64" t="s">
        <v>2</v>
      </c>
      <c r="B5" s="42">
        <v>89</v>
      </c>
      <c r="C5" s="42">
        <v>287</v>
      </c>
      <c r="D5" s="42">
        <v>59</v>
      </c>
      <c r="E5" s="42">
        <v>49</v>
      </c>
      <c r="F5" s="42">
        <v>1723</v>
      </c>
      <c r="G5" s="42">
        <v>3552</v>
      </c>
      <c r="H5" s="42">
        <v>1748</v>
      </c>
      <c r="I5" s="42">
        <v>864</v>
      </c>
      <c r="J5"/>
      <c r="K5" s="11"/>
      <c r="L5" s="11"/>
      <c r="M5" s="11"/>
      <c r="N5" s="11"/>
      <c r="O5" s="11"/>
    </row>
    <row r="6" spans="1:15" x14ac:dyDescent="0.2">
      <c r="A6" s="64" t="s">
        <v>3</v>
      </c>
      <c r="B6" s="42">
        <v>0</v>
      </c>
      <c r="C6" s="42">
        <v>1</v>
      </c>
      <c r="D6" s="42">
        <v>4</v>
      </c>
      <c r="E6" s="42">
        <v>2</v>
      </c>
      <c r="F6" s="42">
        <v>45</v>
      </c>
      <c r="G6" s="42">
        <v>42</v>
      </c>
      <c r="H6" s="42">
        <v>131</v>
      </c>
      <c r="I6" s="42">
        <v>51</v>
      </c>
      <c r="J6"/>
      <c r="K6" s="11"/>
      <c r="L6" s="11"/>
      <c r="M6" s="11"/>
      <c r="N6" s="11"/>
      <c r="O6" s="11"/>
    </row>
    <row r="7" spans="1:15" x14ac:dyDescent="0.2">
      <c r="A7" s="64" t="s">
        <v>4</v>
      </c>
      <c r="B7" s="42">
        <v>5</v>
      </c>
      <c r="C7" s="42">
        <v>6</v>
      </c>
      <c r="D7" s="42">
        <v>11</v>
      </c>
      <c r="E7" s="42">
        <v>7</v>
      </c>
      <c r="F7" s="42">
        <v>174</v>
      </c>
      <c r="G7" s="42">
        <v>214</v>
      </c>
      <c r="H7" s="42">
        <v>298</v>
      </c>
      <c r="I7" s="42">
        <v>134</v>
      </c>
      <c r="J7"/>
      <c r="K7" s="11"/>
      <c r="L7" s="11"/>
      <c r="M7" s="11"/>
      <c r="N7" s="11"/>
      <c r="O7" s="11"/>
    </row>
    <row r="8" spans="1:15" x14ac:dyDescent="0.2">
      <c r="A8" s="64" t="s">
        <v>5</v>
      </c>
      <c r="B8" s="42">
        <v>3</v>
      </c>
      <c r="C8" s="42">
        <v>3</v>
      </c>
      <c r="D8" s="42">
        <v>3</v>
      </c>
      <c r="E8" s="42">
        <v>0</v>
      </c>
      <c r="F8" s="42">
        <v>27</v>
      </c>
      <c r="G8" s="42">
        <v>22</v>
      </c>
      <c r="H8" s="42">
        <v>39</v>
      </c>
      <c r="I8" s="42">
        <v>32</v>
      </c>
      <c r="J8"/>
      <c r="K8" s="11"/>
      <c r="L8" s="11"/>
      <c r="M8" s="11"/>
      <c r="N8" s="11"/>
      <c r="O8" s="11"/>
    </row>
    <row r="9" spans="1:15" x14ac:dyDescent="0.2">
      <c r="A9" s="64" t="s">
        <v>6</v>
      </c>
      <c r="B9" s="42">
        <v>24</v>
      </c>
      <c r="C9" s="42">
        <v>40</v>
      </c>
      <c r="D9" s="42">
        <v>35</v>
      </c>
      <c r="E9" s="42">
        <v>19</v>
      </c>
      <c r="F9" s="42">
        <v>647</v>
      </c>
      <c r="G9" s="42">
        <v>1007</v>
      </c>
      <c r="H9" s="42">
        <v>824</v>
      </c>
      <c r="I9" s="42">
        <v>632</v>
      </c>
      <c r="J9"/>
      <c r="K9" s="11"/>
      <c r="L9" s="11"/>
      <c r="M9" s="11"/>
      <c r="N9" s="11"/>
      <c r="O9" s="11"/>
    </row>
    <row r="10" spans="1:15" x14ac:dyDescent="0.2">
      <c r="A10" s="64" t="s">
        <v>7</v>
      </c>
      <c r="B10" s="42">
        <v>4</v>
      </c>
      <c r="C10" s="42">
        <v>6</v>
      </c>
      <c r="D10" s="42">
        <v>3</v>
      </c>
      <c r="E10" s="42">
        <v>6</v>
      </c>
      <c r="F10" s="42">
        <v>137</v>
      </c>
      <c r="G10" s="42">
        <v>152</v>
      </c>
      <c r="H10" s="42">
        <v>133</v>
      </c>
      <c r="I10" s="42">
        <v>116</v>
      </c>
      <c r="J10"/>
      <c r="K10" s="11"/>
      <c r="L10" s="11"/>
      <c r="M10" s="11"/>
      <c r="N10" s="11"/>
      <c r="O10" s="11"/>
    </row>
    <row r="11" spans="1:15" x14ac:dyDescent="0.2">
      <c r="A11" s="64" t="s">
        <v>8</v>
      </c>
      <c r="B11" s="42">
        <v>2</v>
      </c>
      <c r="C11" s="42">
        <v>3</v>
      </c>
      <c r="D11" s="42">
        <v>0</v>
      </c>
      <c r="E11" s="42">
        <v>3</v>
      </c>
      <c r="F11" s="42">
        <v>63</v>
      </c>
      <c r="G11" s="42">
        <v>59</v>
      </c>
      <c r="H11" s="42">
        <v>73</v>
      </c>
      <c r="I11" s="42">
        <v>82</v>
      </c>
      <c r="J11"/>
      <c r="K11" s="11"/>
      <c r="L11" s="11"/>
      <c r="M11" s="11"/>
      <c r="N11" s="11"/>
      <c r="O11" s="11"/>
    </row>
    <row r="12" spans="1:15" s="21" customFormat="1" x14ac:dyDescent="0.2">
      <c r="A12" s="65" t="s">
        <v>9</v>
      </c>
      <c r="B12" s="42">
        <v>43</v>
      </c>
      <c r="C12" s="42">
        <v>70</v>
      </c>
      <c r="D12" s="42">
        <v>37</v>
      </c>
      <c r="E12" s="42">
        <v>33</v>
      </c>
      <c r="F12" s="42">
        <v>1260</v>
      </c>
      <c r="G12" s="42">
        <v>1943</v>
      </c>
      <c r="H12" s="42">
        <v>1061</v>
      </c>
      <c r="I12" s="42">
        <v>1061</v>
      </c>
      <c r="J12"/>
      <c r="K12" s="11"/>
      <c r="L12" s="11"/>
      <c r="M12" s="11"/>
      <c r="N12" s="11"/>
      <c r="O12" s="11"/>
    </row>
    <row r="13" spans="1:15" x14ac:dyDescent="0.2">
      <c r="A13" s="64" t="s">
        <v>10</v>
      </c>
      <c r="B13" s="42">
        <v>2</v>
      </c>
      <c r="C13" s="42">
        <v>7</v>
      </c>
      <c r="D13" s="42">
        <v>4</v>
      </c>
      <c r="E13" s="42">
        <v>6</v>
      </c>
      <c r="F13" s="42">
        <v>259</v>
      </c>
      <c r="G13" s="42">
        <v>298</v>
      </c>
      <c r="H13" s="42">
        <v>227</v>
      </c>
      <c r="I13" s="42">
        <v>221</v>
      </c>
      <c r="J13"/>
      <c r="K13" s="11"/>
      <c r="L13" s="11"/>
      <c r="M13" s="11"/>
      <c r="N13" s="11"/>
      <c r="O13" s="11"/>
    </row>
    <row r="14" spans="1:15" x14ac:dyDescent="0.2">
      <c r="A14" s="64" t="s">
        <v>11</v>
      </c>
      <c r="B14" s="42">
        <v>6</v>
      </c>
      <c r="C14" s="42">
        <v>2</v>
      </c>
      <c r="D14" s="42">
        <v>3</v>
      </c>
      <c r="E14" s="42">
        <v>0</v>
      </c>
      <c r="F14" s="42">
        <v>133</v>
      </c>
      <c r="G14" s="42">
        <v>112</v>
      </c>
      <c r="H14" s="42">
        <v>276</v>
      </c>
      <c r="I14" s="42">
        <v>103</v>
      </c>
      <c r="J14"/>
      <c r="K14" s="11"/>
      <c r="L14" s="11"/>
      <c r="M14" s="11"/>
      <c r="N14" s="11"/>
      <c r="O14" s="11"/>
    </row>
    <row r="15" spans="1:15" s="21" customFormat="1" x14ac:dyDescent="0.2">
      <c r="A15" s="65" t="s">
        <v>12</v>
      </c>
      <c r="B15" s="42">
        <v>0</v>
      </c>
      <c r="C15" s="42">
        <v>1</v>
      </c>
      <c r="D15" s="42">
        <v>1</v>
      </c>
      <c r="E15" s="42">
        <v>1</v>
      </c>
      <c r="F15" s="42">
        <v>3</v>
      </c>
      <c r="G15" s="42">
        <v>3</v>
      </c>
      <c r="H15" s="42">
        <v>13</v>
      </c>
      <c r="I15" s="42">
        <v>2</v>
      </c>
      <c r="J15"/>
      <c r="K15" s="11"/>
      <c r="L15" s="11"/>
      <c r="M15" s="11"/>
      <c r="N15" s="11"/>
      <c r="O15" s="11"/>
    </row>
    <row r="16" spans="1:15" ht="11.25" customHeight="1" x14ac:dyDescent="0.2">
      <c r="A16" s="64" t="s">
        <v>13</v>
      </c>
      <c r="B16" s="42">
        <v>1</v>
      </c>
      <c r="C16" s="42">
        <v>3</v>
      </c>
      <c r="D16" s="42">
        <v>4</v>
      </c>
      <c r="E16" s="42">
        <v>4</v>
      </c>
      <c r="F16" s="42">
        <v>79</v>
      </c>
      <c r="G16" s="42">
        <v>122</v>
      </c>
      <c r="H16" s="42">
        <v>131</v>
      </c>
      <c r="I16" s="42">
        <v>94</v>
      </c>
      <c r="J16"/>
      <c r="K16" s="11"/>
      <c r="L16" s="11"/>
      <c r="M16" s="11"/>
      <c r="N16" s="11"/>
      <c r="O16" s="11"/>
    </row>
    <row r="17" spans="1:15" x14ac:dyDescent="0.2">
      <c r="A17" s="64" t="s">
        <v>14</v>
      </c>
      <c r="B17" s="42">
        <v>10</v>
      </c>
      <c r="C17" s="42">
        <v>14</v>
      </c>
      <c r="D17" s="42">
        <v>5</v>
      </c>
      <c r="E17" s="42">
        <v>3</v>
      </c>
      <c r="F17" s="42">
        <v>176</v>
      </c>
      <c r="G17" s="42">
        <v>246</v>
      </c>
      <c r="H17" s="42">
        <v>93</v>
      </c>
      <c r="I17" s="42">
        <v>118</v>
      </c>
      <c r="J17"/>
      <c r="K17" s="11"/>
      <c r="L17" s="11"/>
      <c r="M17" s="11"/>
      <c r="N17" s="11"/>
      <c r="O17" s="11"/>
    </row>
    <row r="18" spans="1:15" s="21" customFormat="1" x14ac:dyDescent="0.2">
      <c r="A18" s="65" t="s">
        <v>15</v>
      </c>
      <c r="B18" s="42">
        <v>39</v>
      </c>
      <c r="C18" s="42">
        <v>61</v>
      </c>
      <c r="D18" s="42">
        <v>10</v>
      </c>
      <c r="E18" s="42">
        <v>29</v>
      </c>
      <c r="F18" s="42">
        <v>983</v>
      </c>
      <c r="G18" s="42">
        <v>1609</v>
      </c>
      <c r="H18" s="42">
        <v>522</v>
      </c>
      <c r="I18" s="42">
        <v>756</v>
      </c>
      <c r="J18"/>
      <c r="K18" s="11"/>
      <c r="L18" s="11"/>
      <c r="M18" s="11"/>
      <c r="N18" s="11"/>
      <c r="O18" s="11"/>
    </row>
    <row r="19" spans="1:15" x14ac:dyDescent="0.2">
      <c r="A19" s="64" t="s">
        <v>16</v>
      </c>
      <c r="B19" s="42">
        <v>1</v>
      </c>
      <c r="C19" s="42">
        <v>2</v>
      </c>
      <c r="D19" s="42">
        <v>0</v>
      </c>
      <c r="E19" s="42">
        <v>1</v>
      </c>
      <c r="F19" s="42">
        <v>30</v>
      </c>
      <c r="G19" s="42">
        <v>28</v>
      </c>
      <c r="H19" s="42">
        <v>44</v>
      </c>
      <c r="I19" s="42">
        <v>24</v>
      </c>
      <c r="J19"/>
      <c r="K19" s="11"/>
      <c r="L19" s="11"/>
      <c r="M19" s="11"/>
      <c r="N19" s="11"/>
      <c r="O19" s="11"/>
    </row>
    <row r="20" spans="1:15" x14ac:dyDescent="0.2">
      <c r="A20" s="64" t="s">
        <v>17</v>
      </c>
      <c r="B20" s="42">
        <v>1</v>
      </c>
      <c r="C20" s="42">
        <v>4</v>
      </c>
      <c r="D20" s="42">
        <v>1</v>
      </c>
      <c r="E20" s="42">
        <v>3</v>
      </c>
      <c r="F20" s="42">
        <v>47</v>
      </c>
      <c r="G20" s="42">
        <v>60</v>
      </c>
      <c r="H20" s="42">
        <v>123</v>
      </c>
      <c r="I20" s="42">
        <v>84</v>
      </c>
      <c r="J20"/>
      <c r="K20" s="11"/>
      <c r="L20" s="11"/>
      <c r="M20" s="11"/>
      <c r="N20" s="11"/>
      <c r="O20" s="11"/>
    </row>
    <row r="21" spans="1:15" x14ac:dyDescent="0.2">
      <c r="A21" s="64" t="s">
        <v>18</v>
      </c>
      <c r="B21" s="42">
        <v>0</v>
      </c>
      <c r="C21" s="42">
        <v>4</v>
      </c>
      <c r="D21" s="42">
        <v>2</v>
      </c>
      <c r="E21" s="42">
        <v>1</v>
      </c>
      <c r="F21" s="42">
        <v>39</v>
      </c>
      <c r="G21" s="42">
        <v>51</v>
      </c>
      <c r="H21" s="42">
        <v>44</v>
      </c>
      <c r="I21" s="42">
        <v>40</v>
      </c>
      <c r="J21"/>
      <c r="K21" s="11"/>
      <c r="L21" s="11"/>
      <c r="M21" s="11"/>
      <c r="N21" s="11"/>
      <c r="O21" s="11"/>
    </row>
    <row r="22" spans="1:15" x14ac:dyDescent="0.2">
      <c r="A22" s="64" t="s">
        <v>19</v>
      </c>
      <c r="B22" s="42">
        <v>3</v>
      </c>
      <c r="C22" s="42">
        <v>0</v>
      </c>
      <c r="D22" s="42">
        <v>2</v>
      </c>
      <c r="E22" s="42">
        <v>1</v>
      </c>
      <c r="F22" s="42">
        <v>64</v>
      </c>
      <c r="G22" s="42">
        <v>72</v>
      </c>
      <c r="H22" s="42">
        <v>80</v>
      </c>
      <c r="I22" s="42">
        <v>50</v>
      </c>
      <c r="J22"/>
      <c r="K22" s="11"/>
      <c r="L22" s="11"/>
      <c r="M22" s="11"/>
      <c r="N22" s="11"/>
      <c r="O22" s="11"/>
    </row>
    <row r="23" spans="1:15" x14ac:dyDescent="0.2">
      <c r="A23" s="64" t="s">
        <v>20</v>
      </c>
      <c r="B23" s="42">
        <v>5</v>
      </c>
      <c r="C23" s="42">
        <v>4</v>
      </c>
      <c r="D23" s="42">
        <v>6</v>
      </c>
      <c r="E23" s="42">
        <v>2</v>
      </c>
      <c r="F23" s="42">
        <v>88</v>
      </c>
      <c r="G23" s="42">
        <v>66</v>
      </c>
      <c r="H23" s="42">
        <v>87</v>
      </c>
      <c r="I23" s="42">
        <v>62</v>
      </c>
      <c r="J23"/>
      <c r="K23" s="11"/>
      <c r="L23" s="11"/>
      <c r="M23" s="11"/>
      <c r="N23" s="11"/>
      <c r="O23" s="11"/>
    </row>
    <row r="24" spans="1:15" x14ac:dyDescent="0.2">
      <c r="A24" s="64" t="s">
        <v>21</v>
      </c>
      <c r="B24" s="42">
        <v>18</v>
      </c>
      <c r="C24" s="42">
        <v>28</v>
      </c>
      <c r="D24" s="42">
        <v>5</v>
      </c>
      <c r="E24" s="42">
        <v>13</v>
      </c>
      <c r="F24" s="42">
        <v>533</v>
      </c>
      <c r="G24" s="42">
        <v>763</v>
      </c>
      <c r="H24" s="42">
        <v>341</v>
      </c>
      <c r="I24" s="42">
        <v>468</v>
      </c>
      <c r="J24"/>
      <c r="K24" s="11"/>
      <c r="L24" s="11"/>
      <c r="M24" s="11"/>
      <c r="N24" s="11"/>
      <c r="O24" s="11"/>
    </row>
    <row r="25" spans="1:15" x14ac:dyDescent="0.2">
      <c r="A25" s="64" t="s">
        <v>22</v>
      </c>
      <c r="B25" s="42">
        <v>18</v>
      </c>
      <c r="C25" s="42">
        <v>54</v>
      </c>
      <c r="D25" s="42">
        <v>15</v>
      </c>
      <c r="E25" s="42">
        <v>13</v>
      </c>
      <c r="F25" s="42">
        <v>812</v>
      </c>
      <c r="G25" s="42">
        <v>1561</v>
      </c>
      <c r="H25" s="42">
        <v>478</v>
      </c>
      <c r="I25" s="42">
        <v>425</v>
      </c>
      <c r="J25"/>
      <c r="K25" s="11"/>
      <c r="L25" s="11"/>
      <c r="M25" s="11"/>
      <c r="N25" s="11"/>
      <c r="O25" s="11"/>
    </row>
    <row r="26" spans="1:15" x14ac:dyDescent="0.2">
      <c r="A26" s="64" t="s">
        <v>23</v>
      </c>
      <c r="B26" s="42">
        <v>43</v>
      </c>
      <c r="C26" s="42">
        <v>74</v>
      </c>
      <c r="D26" s="42">
        <v>24</v>
      </c>
      <c r="E26" s="42">
        <v>18</v>
      </c>
      <c r="F26" s="42">
        <v>1001</v>
      </c>
      <c r="G26" s="42">
        <v>1332</v>
      </c>
      <c r="H26" s="42">
        <v>611</v>
      </c>
      <c r="I26" s="42">
        <v>355</v>
      </c>
      <c r="J26"/>
      <c r="K26" s="11"/>
      <c r="L26" s="11"/>
      <c r="M26" s="11"/>
      <c r="N26" s="11"/>
      <c r="O26" s="11"/>
    </row>
    <row r="27" spans="1:15" x14ac:dyDescent="0.2">
      <c r="A27" s="64" t="s">
        <v>24</v>
      </c>
      <c r="B27" s="42">
        <v>0</v>
      </c>
      <c r="C27" s="42">
        <v>2</v>
      </c>
      <c r="D27" s="42">
        <v>1</v>
      </c>
      <c r="E27" s="42">
        <v>0</v>
      </c>
      <c r="F27" s="42">
        <v>23</v>
      </c>
      <c r="G27" s="42">
        <v>19</v>
      </c>
      <c r="H27" s="42">
        <v>56</v>
      </c>
      <c r="I27" s="42">
        <v>18</v>
      </c>
      <c r="J27"/>
      <c r="K27" s="11"/>
      <c r="L27" s="11"/>
      <c r="M27" s="11"/>
      <c r="N27" s="11"/>
      <c r="O27" s="11"/>
    </row>
    <row r="28" spans="1:15" x14ac:dyDescent="0.2">
      <c r="A28" s="64" t="s">
        <v>25</v>
      </c>
      <c r="B28" s="42">
        <v>14</v>
      </c>
      <c r="C28" s="42">
        <v>21</v>
      </c>
      <c r="D28" s="42">
        <v>9</v>
      </c>
      <c r="E28" s="42">
        <v>5</v>
      </c>
      <c r="F28" s="42">
        <v>370</v>
      </c>
      <c r="G28" s="42">
        <v>396</v>
      </c>
      <c r="H28" s="42">
        <v>372</v>
      </c>
      <c r="I28" s="42">
        <v>178</v>
      </c>
      <c r="J28"/>
      <c r="K28" s="11"/>
      <c r="L28" s="11"/>
      <c r="M28" s="11"/>
      <c r="N28" s="11"/>
      <c r="O28" s="11"/>
    </row>
    <row r="29" spans="1:15" x14ac:dyDescent="0.2">
      <c r="A29" s="64" t="s">
        <v>26</v>
      </c>
      <c r="B29" s="42">
        <v>2</v>
      </c>
      <c r="C29" s="42">
        <v>5</v>
      </c>
      <c r="D29" s="42">
        <v>5</v>
      </c>
      <c r="E29" s="42">
        <v>3</v>
      </c>
      <c r="F29" s="42">
        <v>129</v>
      </c>
      <c r="G29" s="42">
        <v>105</v>
      </c>
      <c r="H29" s="42">
        <v>305</v>
      </c>
      <c r="I29" s="42">
        <v>102</v>
      </c>
      <c r="J29"/>
      <c r="K29" s="11"/>
      <c r="L29" s="11"/>
      <c r="M29" s="11"/>
      <c r="N29" s="11"/>
      <c r="O29" s="11"/>
    </row>
    <row r="30" spans="1:15" x14ac:dyDescent="0.2">
      <c r="A30" s="64" t="s">
        <v>27</v>
      </c>
      <c r="B30" s="42">
        <v>1</v>
      </c>
      <c r="C30" s="42">
        <v>0</v>
      </c>
      <c r="D30" s="42">
        <v>0</v>
      </c>
      <c r="E30" s="42">
        <v>0</v>
      </c>
      <c r="F30" s="42">
        <v>5</v>
      </c>
      <c r="G30" s="42">
        <v>0</v>
      </c>
      <c r="H30" s="42">
        <v>5</v>
      </c>
      <c r="I30" s="42">
        <v>3</v>
      </c>
      <c r="J30"/>
      <c r="K30" s="11"/>
      <c r="L30" s="11"/>
      <c r="M30" s="11"/>
      <c r="N30" s="11"/>
      <c r="O30" s="11"/>
    </row>
    <row r="31" spans="1:15" x14ac:dyDescent="0.2">
      <c r="A31" s="64" t="s">
        <v>28</v>
      </c>
      <c r="B31" s="42">
        <v>5</v>
      </c>
      <c r="C31" s="42">
        <v>12</v>
      </c>
      <c r="D31" s="42">
        <v>4</v>
      </c>
      <c r="E31" s="42">
        <v>8</v>
      </c>
      <c r="F31" s="42">
        <v>223</v>
      </c>
      <c r="G31" s="42">
        <v>274</v>
      </c>
      <c r="H31" s="42">
        <v>173</v>
      </c>
      <c r="I31" s="42">
        <v>250</v>
      </c>
      <c r="J31"/>
      <c r="K31" s="11"/>
      <c r="L31" s="11"/>
      <c r="M31" s="11"/>
      <c r="N31" s="11"/>
      <c r="O31" s="11"/>
    </row>
    <row r="32" spans="1:15" x14ac:dyDescent="0.2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7</v>
      </c>
      <c r="G32" s="42">
        <v>4</v>
      </c>
      <c r="H32" s="42">
        <v>21</v>
      </c>
      <c r="I32" s="42">
        <v>17</v>
      </c>
      <c r="J32"/>
      <c r="K32" s="11"/>
      <c r="L32" s="11"/>
      <c r="M32" s="11"/>
      <c r="N32" s="11"/>
      <c r="O32" s="11"/>
    </row>
    <row r="33" spans="1:15" x14ac:dyDescent="0.2">
      <c r="A33" s="64" t="s">
        <v>30</v>
      </c>
      <c r="B33" s="42">
        <v>0</v>
      </c>
      <c r="C33" s="42">
        <v>1</v>
      </c>
      <c r="D33" s="42">
        <v>0</v>
      </c>
      <c r="E33" s="42">
        <v>1</v>
      </c>
      <c r="F33" s="42">
        <v>26</v>
      </c>
      <c r="G33" s="42">
        <v>15</v>
      </c>
      <c r="H33" s="42">
        <v>111</v>
      </c>
      <c r="I33" s="42">
        <v>49</v>
      </c>
      <c r="J33"/>
      <c r="K33" s="11"/>
      <c r="L33" s="11"/>
      <c r="M33" s="11"/>
      <c r="N33" s="11"/>
      <c r="O33" s="11"/>
    </row>
    <row r="34" spans="1:15" x14ac:dyDescent="0.2">
      <c r="A34" s="64" t="s">
        <v>31</v>
      </c>
      <c r="B34" s="42">
        <v>1</v>
      </c>
      <c r="C34" s="42">
        <v>0</v>
      </c>
      <c r="D34" s="42">
        <v>0</v>
      </c>
      <c r="E34" s="42">
        <v>2</v>
      </c>
      <c r="F34" s="42">
        <v>29</v>
      </c>
      <c r="G34" s="42">
        <v>33</v>
      </c>
      <c r="H34" s="42">
        <v>45</v>
      </c>
      <c r="I34" s="42">
        <v>25</v>
      </c>
      <c r="J34"/>
      <c r="K34" s="11"/>
      <c r="L34" s="11"/>
      <c r="M34" s="11"/>
      <c r="N34" s="11"/>
      <c r="O34" s="11"/>
    </row>
    <row r="35" spans="1:15" x14ac:dyDescent="0.2">
      <c r="A35" s="64" t="s">
        <v>32</v>
      </c>
      <c r="B35" s="42">
        <v>5</v>
      </c>
      <c r="C35" s="42">
        <v>4</v>
      </c>
      <c r="D35" s="42">
        <v>2</v>
      </c>
      <c r="E35" s="42">
        <v>0</v>
      </c>
      <c r="F35" s="42">
        <v>51</v>
      </c>
      <c r="G35" s="42">
        <v>61</v>
      </c>
      <c r="H35" s="42">
        <v>95</v>
      </c>
      <c r="I35" s="42">
        <v>67</v>
      </c>
      <c r="J35"/>
      <c r="K35" s="11"/>
      <c r="L35" s="11"/>
      <c r="M35" s="11"/>
      <c r="N35" s="11"/>
      <c r="O35" s="11"/>
    </row>
    <row r="36" spans="1:15" x14ac:dyDescent="0.2">
      <c r="A36" s="64" t="s">
        <v>33</v>
      </c>
      <c r="B36" s="42">
        <v>1</v>
      </c>
      <c r="C36" s="42">
        <v>2</v>
      </c>
      <c r="D36" s="42">
        <v>0</v>
      </c>
      <c r="E36" s="42">
        <v>0</v>
      </c>
      <c r="F36" s="42">
        <v>23</v>
      </c>
      <c r="G36" s="42">
        <v>33</v>
      </c>
      <c r="H36" s="42">
        <v>25</v>
      </c>
      <c r="I36" s="42">
        <v>27</v>
      </c>
      <c r="J36"/>
      <c r="K36" s="11"/>
      <c r="L36" s="11"/>
      <c r="M36" s="11"/>
      <c r="N36" s="11"/>
      <c r="O36" s="11"/>
    </row>
    <row r="37" spans="1:15" x14ac:dyDescent="0.2">
      <c r="A37" s="64" t="s">
        <v>34</v>
      </c>
      <c r="B37" s="42">
        <v>0</v>
      </c>
      <c r="C37" s="42">
        <v>0</v>
      </c>
      <c r="D37" s="42">
        <v>0</v>
      </c>
      <c r="E37" s="42">
        <v>0</v>
      </c>
      <c r="F37" s="42">
        <v>15</v>
      </c>
      <c r="G37" s="42">
        <v>12</v>
      </c>
      <c r="H37" s="42">
        <v>17</v>
      </c>
      <c r="I37" s="42">
        <v>16</v>
      </c>
      <c r="J37"/>
      <c r="K37" s="11"/>
      <c r="L37" s="11"/>
      <c r="M37" s="11"/>
      <c r="N37" s="11"/>
      <c r="O37" s="11"/>
    </row>
    <row r="38" spans="1:15" x14ac:dyDescent="0.2">
      <c r="A38" s="64" t="s">
        <v>35</v>
      </c>
      <c r="B38" s="42">
        <v>17</v>
      </c>
      <c r="C38" s="42">
        <v>18</v>
      </c>
      <c r="D38" s="42">
        <v>18</v>
      </c>
      <c r="E38" s="42">
        <v>13</v>
      </c>
      <c r="F38" s="42">
        <v>525</v>
      </c>
      <c r="G38" s="42">
        <v>539</v>
      </c>
      <c r="H38" s="42">
        <v>501</v>
      </c>
      <c r="I38" s="42">
        <v>193</v>
      </c>
      <c r="J38"/>
      <c r="K38" s="11"/>
      <c r="L38" s="11"/>
      <c r="M38" s="11"/>
      <c r="N38" s="11"/>
      <c r="O38" s="11"/>
    </row>
    <row r="39" spans="1:15" x14ac:dyDescent="0.2">
      <c r="A39" s="64" t="s">
        <v>36</v>
      </c>
      <c r="B39" s="42">
        <v>32</v>
      </c>
      <c r="C39" s="42">
        <v>60</v>
      </c>
      <c r="D39" s="42">
        <v>16</v>
      </c>
      <c r="E39" s="42">
        <v>19</v>
      </c>
      <c r="F39" s="42">
        <v>955</v>
      </c>
      <c r="G39" s="42">
        <v>1468</v>
      </c>
      <c r="H39" s="42">
        <v>693</v>
      </c>
      <c r="I39" s="42">
        <v>956</v>
      </c>
      <c r="J39"/>
      <c r="K39" s="11"/>
      <c r="L39" s="11"/>
      <c r="M39" s="11"/>
      <c r="N39" s="11"/>
      <c r="O39" s="11"/>
    </row>
    <row r="40" spans="1:15" x14ac:dyDescent="0.2">
      <c r="A40" s="64" t="s">
        <v>37</v>
      </c>
      <c r="B40" s="42">
        <v>7</v>
      </c>
      <c r="C40" s="42">
        <v>3</v>
      </c>
      <c r="D40" s="42">
        <v>4</v>
      </c>
      <c r="E40" s="42">
        <v>0</v>
      </c>
      <c r="F40" s="42">
        <v>84</v>
      </c>
      <c r="G40" s="42">
        <v>78</v>
      </c>
      <c r="H40" s="42">
        <v>138</v>
      </c>
      <c r="I40" s="42">
        <v>80</v>
      </c>
      <c r="J40"/>
      <c r="K40" s="11"/>
      <c r="L40" s="11"/>
      <c r="M40" s="11"/>
      <c r="N40" s="11"/>
      <c r="O40" s="11"/>
    </row>
    <row r="41" spans="1:15" x14ac:dyDescent="0.2">
      <c r="A41" s="64" t="s">
        <v>38</v>
      </c>
      <c r="B41" s="42">
        <v>8</v>
      </c>
      <c r="C41" s="42">
        <v>6</v>
      </c>
      <c r="D41" s="42">
        <v>4</v>
      </c>
      <c r="E41" s="42">
        <v>2</v>
      </c>
      <c r="F41" s="42">
        <v>231</v>
      </c>
      <c r="G41" s="42">
        <v>221</v>
      </c>
      <c r="H41" s="42">
        <v>202</v>
      </c>
      <c r="I41" s="42">
        <v>208</v>
      </c>
      <c r="J41"/>
      <c r="K41" s="11"/>
      <c r="L41" s="11"/>
      <c r="M41" s="11"/>
      <c r="N41" s="11"/>
      <c r="O41" s="11"/>
    </row>
    <row r="42" spans="1:15" x14ac:dyDescent="0.2">
      <c r="A42" s="64" t="s">
        <v>39</v>
      </c>
      <c r="B42" s="42">
        <v>36</v>
      </c>
      <c r="C42" s="42">
        <v>47</v>
      </c>
      <c r="D42" s="42">
        <v>28</v>
      </c>
      <c r="E42" s="42">
        <v>26</v>
      </c>
      <c r="F42" s="42">
        <v>818</v>
      </c>
      <c r="G42" s="42">
        <v>1346</v>
      </c>
      <c r="H42" s="42">
        <v>587</v>
      </c>
      <c r="I42" s="42">
        <v>430</v>
      </c>
      <c r="J42"/>
      <c r="K42" s="11"/>
      <c r="L42" s="11"/>
      <c r="M42" s="11"/>
      <c r="N42" s="11"/>
      <c r="O42" s="11"/>
    </row>
    <row r="43" spans="1:15" x14ac:dyDescent="0.2">
      <c r="A43" s="64" t="s">
        <v>40</v>
      </c>
      <c r="B43" s="42">
        <v>48</v>
      </c>
      <c r="C43" s="42">
        <v>47</v>
      </c>
      <c r="D43" s="42">
        <v>23</v>
      </c>
      <c r="E43" s="42">
        <v>16</v>
      </c>
      <c r="F43" s="42">
        <v>690</v>
      </c>
      <c r="G43" s="42">
        <v>930</v>
      </c>
      <c r="H43" s="42">
        <v>707</v>
      </c>
      <c r="I43" s="42">
        <v>315</v>
      </c>
      <c r="J43"/>
      <c r="K43" s="11"/>
      <c r="L43" s="11"/>
      <c r="M43" s="11"/>
      <c r="N43" s="11"/>
      <c r="O43" s="11"/>
    </row>
    <row r="44" spans="1:15" x14ac:dyDescent="0.2">
      <c r="A44" s="64" t="s">
        <v>41</v>
      </c>
      <c r="B44" s="42">
        <v>3</v>
      </c>
      <c r="C44" s="42">
        <v>4</v>
      </c>
      <c r="D44" s="42">
        <v>3</v>
      </c>
      <c r="E44" s="42">
        <v>4</v>
      </c>
      <c r="F44" s="42">
        <v>145</v>
      </c>
      <c r="G44" s="42">
        <v>144</v>
      </c>
      <c r="H44" s="42">
        <v>129</v>
      </c>
      <c r="I44" s="42">
        <v>162</v>
      </c>
      <c r="J44"/>
      <c r="K44" s="11"/>
      <c r="L44" s="11"/>
      <c r="M44" s="11"/>
      <c r="N44" s="11"/>
      <c r="O44" s="11"/>
    </row>
    <row r="45" spans="1:15" x14ac:dyDescent="0.2">
      <c r="A45" s="64" t="s">
        <v>91</v>
      </c>
      <c r="B45" s="42">
        <v>6</v>
      </c>
      <c r="C45" s="42">
        <v>3</v>
      </c>
      <c r="D45" s="42">
        <v>2</v>
      </c>
      <c r="E45" s="42">
        <v>2</v>
      </c>
      <c r="F45" s="42">
        <v>27</v>
      </c>
      <c r="G45" s="42">
        <v>19</v>
      </c>
      <c r="H45" s="42">
        <v>13</v>
      </c>
      <c r="I45" s="42">
        <v>14</v>
      </c>
      <c r="J45"/>
      <c r="K45" s="11"/>
      <c r="L45" s="11"/>
      <c r="M45" s="11"/>
      <c r="N45" s="11"/>
      <c r="O45" s="11"/>
    </row>
    <row r="46" spans="1:15" x14ac:dyDescent="0.2">
      <c r="A46" s="64" t="s">
        <v>43</v>
      </c>
      <c r="B46" s="42">
        <v>5</v>
      </c>
      <c r="C46" s="42">
        <v>5</v>
      </c>
      <c r="D46" s="42">
        <v>4</v>
      </c>
      <c r="E46" s="42">
        <v>3</v>
      </c>
      <c r="F46" s="42">
        <v>102</v>
      </c>
      <c r="G46" s="42">
        <v>136</v>
      </c>
      <c r="H46" s="42">
        <v>148</v>
      </c>
      <c r="I46" s="42">
        <v>89</v>
      </c>
      <c r="J46"/>
      <c r="K46" s="11"/>
      <c r="L46" s="11"/>
      <c r="M46" s="11"/>
      <c r="N46" s="11"/>
      <c r="O46" s="11"/>
    </row>
    <row r="47" spans="1:15" x14ac:dyDescent="0.2">
      <c r="A47" s="64" t="s">
        <v>44</v>
      </c>
      <c r="B47" s="42">
        <v>1</v>
      </c>
      <c r="C47" s="42">
        <v>0</v>
      </c>
      <c r="D47" s="42">
        <v>0</v>
      </c>
      <c r="E47" s="42">
        <v>0</v>
      </c>
      <c r="F47" s="42">
        <v>40</v>
      </c>
      <c r="G47" s="42">
        <v>35</v>
      </c>
      <c r="H47" s="42">
        <v>43</v>
      </c>
      <c r="I47" s="42">
        <v>30</v>
      </c>
      <c r="J47"/>
      <c r="K47" s="11"/>
      <c r="L47" s="11"/>
      <c r="M47" s="11"/>
      <c r="N47" s="11"/>
      <c r="O47" s="11"/>
    </row>
    <row r="48" spans="1:15" x14ac:dyDescent="0.2">
      <c r="A48" s="64" t="s">
        <v>45</v>
      </c>
      <c r="B48" s="42">
        <v>10</v>
      </c>
      <c r="C48" s="42">
        <v>22</v>
      </c>
      <c r="D48" s="42">
        <v>7</v>
      </c>
      <c r="E48" s="42">
        <v>9</v>
      </c>
      <c r="F48" s="42">
        <v>213</v>
      </c>
      <c r="G48" s="42">
        <v>408</v>
      </c>
      <c r="H48" s="42">
        <v>240</v>
      </c>
      <c r="I48" s="42">
        <v>269</v>
      </c>
      <c r="J48"/>
      <c r="K48" s="11"/>
      <c r="L48" s="11"/>
      <c r="M48" s="11"/>
      <c r="N48" s="11"/>
      <c r="O48" s="11"/>
    </row>
    <row r="49" spans="1:15" x14ac:dyDescent="0.2">
      <c r="A49" s="64" t="s">
        <v>46</v>
      </c>
      <c r="B49" s="42">
        <v>44</v>
      </c>
      <c r="C49" s="42">
        <v>88</v>
      </c>
      <c r="D49" s="42">
        <v>27</v>
      </c>
      <c r="E49" s="42">
        <v>29</v>
      </c>
      <c r="F49" s="42">
        <v>1607</v>
      </c>
      <c r="G49" s="42">
        <v>2264</v>
      </c>
      <c r="H49" s="42">
        <v>1173</v>
      </c>
      <c r="I49" s="42">
        <v>979</v>
      </c>
      <c r="J49"/>
      <c r="K49" s="11"/>
      <c r="L49" s="11"/>
      <c r="M49" s="11"/>
      <c r="N49" s="11"/>
      <c r="O49" s="11"/>
    </row>
    <row r="50" spans="1:15" x14ac:dyDescent="0.2">
      <c r="A50" s="64" t="s">
        <v>47</v>
      </c>
      <c r="B50" s="42">
        <v>1</v>
      </c>
      <c r="C50" s="42">
        <v>0</v>
      </c>
      <c r="D50" s="42">
        <v>0</v>
      </c>
      <c r="E50" s="42">
        <v>0</v>
      </c>
      <c r="F50" s="42">
        <v>17</v>
      </c>
      <c r="G50" s="42">
        <v>12</v>
      </c>
      <c r="H50" s="42">
        <v>11</v>
      </c>
      <c r="I50" s="42">
        <v>7</v>
      </c>
      <c r="J50"/>
      <c r="K50" s="11"/>
      <c r="L50" s="11"/>
      <c r="M50" s="11"/>
      <c r="N50" s="11"/>
      <c r="O50" s="11"/>
    </row>
    <row r="51" spans="1:15" x14ac:dyDescent="0.2">
      <c r="A51" s="64" t="s">
        <v>48</v>
      </c>
      <c r="B51" s="42">
        <v>15</v>
      </c>
      <c r="C51" s="42">
        <v>33</v>
      </c>
      <c r="D51" s="42">
        <v>21</v>
      </c>
      <c r="E51" s="42">
        <v>11</v>
      </c>
      <c r="F51" s="42">
        <v>556</v>
      </c>
      <c r="G51" s="42">
        <v>1010</v>
      </c>
      <c r="H51" s="42">
        <v>578</v>
      </c>
      <c r="I51" s="42">
        <v>532</v>
      </c>
      <c r="J51"/>
      <c r="K51" s="11"/>
      <c r="L51" s="11"/>
      <c r="M51" s="11"/>
      <c r="N51" s="11"/>
      <c r="O51" s="11"/>
    </row>
    <row r="52" spans="1:15" x14ac:dyDescent="0.2">
      <c r="A52" s="64" t="s">
        <v>49</v>
      </c>
      <c r="B52" s="42">
        <v>2</v>
      </c>
      <c r="C52" s="42">
        <v>2</v>
      </c>
      <c r="D52" s="42">
        <v>7</v>
      </c>
      <c r="E52" s="42">
        <v>0</v>
      </c>
      <c r="F52" s="42">
        <v>88</v>
      </c>
      <c r="G52" s="42">
        <v>86</v>
      </c>
      <c r="H52" s="42">
        <v>109</v>
      </c>
      <c r="I52" s="42">
        <v>67</v>
      </c>
      <c r="J52"/>
      <c r="K52" s="11"/>
      <c r="L52" s="11"/>
      <c r="M52" s="11"/>
      <c r="N52" s="11"/>
      <c r="O52" s="11"/>
    </row>
    <row r="53" spans="1:15" x14ac:dyDescent="0.2">
      <c r="A53" s="64" t="s">
        <v>50</v>
      </c>
      <c r="B53" s="42">
        <v>5</v>
      </c>
      <c r="C53" s="42">
        <v>1</v>
      </c>
      <c r="D53" s="42">
        <v>0</v>
      </c>
      <c r="E53" s="42">
        <v>3</v>
      </c>
      <c r="F53" s="42">
        <v>57</v>
      </c>
      <c r="G53" s="42">
        <v>72</v>
      </c>
      <c r="H53" s="42">
        <v>59</v>
      </c>
      <c r="I53" s="42">
        <v>59</v>
      </c>
      <c r="J53"/>
      <c r="K53" s="11"/>
      <c r="L53" s="11"/>
      <c r="M53" s="11"/>
      <c r="N53" s="11"/>
      <c r="O53" s="11"/>
    </row>
    <row r="54" spans="1:15" x14ac:dyDescent="0.2">
      <c r="A54" s="64" t="s">
        <v>51</v>
      </c>
      <c r="B54" s="42">
        <v>126</v>
      </c>
      <c r="C54" s="42">
        <v>467</v>
      </c>
      <c r="D54" s="42">
        <v>123</v>
      </c>
      <c r="E54" s="42">
        <v>86</v>
      </c>
      <c r="F54" s="42">
        <v>2820</v>
      </c>
      <c r="G54" s="42">
        <v>8816</v>
      </c>
      <c r="H54" s="42">
        <v>2926</v>
      </c>
      <c r="I54" s="42">
        <v>1351</v>
      </c>
      <c r="J54"/>
      <c r="K54" s="11"/>
      <c r="L54" s="11"/>
      <c r="M54" s="11"/>
      <c r="N54" s="11"/>
      <c r="O54" s="11"/>
    </row>
    <row r="55" spans="1:15" x14ac:dyDescent="0.2">
      <c r="A55" s="64" t="s">
        <v>52</v>
      </c>
      <c r="B55" s="42">
        <v>1</v>
      </c>
      <c r="C55" s="42">
        <v>7</v>
      </c>
      <c r="D55" s="42">
        <v>0</v>
      </c>
      <c r="E55" s="42">
        <v>4</v>
      </c>
      <c r="F55" s="42">
        <v>63</v>
      </c>
      <c r="G55" s="42">
        <v>106</v>
      </c>
      <c r="H55" s="42">
        <v>77</v>
      </c>
      <c r="I55" s="42">
        <v>131</v>
      </c>
      <c r="J55"/>
      <c r="K55" s="11"/>
      <c r="L55" s="11"/>
      <c r="M55" s="11"/>
      <c r="N55" s="11"/>
      <c r="O55" s="11"/>
    </row>
    <row r="56" spans="1:15" x14ac:dyDescent="0.2">
      <c r="A56" s="64" t="s">
        <v>53</v>
      </c>
      <c r="B56" s="42">
        <v>1</v>
      </c>
      <c r="C56" s="42">
        <v>0</v>
      </c>
      <c r="D56" s="42">
        <v>2</v>
      </c>
      <c r="E56" s="42">
        <v>2</v>
      </c>
      <c r="F56" s="42">
        <v>11</v>
      </c>
      <c r="G56" s="42">
        <v>6</v>
      </c>
      <c r="H56" s="42">
        <v>15</v>
      </c>
      <c r="I56" s="42">
        <v>19</v>
      </c>
      <c r="J56"/>
      <c r="K56" s="11"/>
      <c r="L56" s="11"/>
      <c r="M56" s="11"/>
      <c r="N56" s="11"/>
      <c r="O56" s="11"/>
    </row>
    <row r="57" spans="1:15" x14ac:dyDescent="0.2">
      <c r="A57" s="64" t="s">
        <v>54</v>
      </c>
      <c r="B57" s="42">
        <v>9</v>
      </c>
      <c r="C57" s="42">
        <v>3</v>
      </c>
      <c r="D57" s="42">
        <v>6</v>
      </c>
      <c r="E57" s="42">
        <v>4</v>
      </c>
      <c r="F57" s="42">
        <v>190</v>
      </c>
      <c r="G57" s="42">
        <v>169</v>
      </c>
      <c r="H57" s="42">
        <v>257</v>
      </c>
      <c r="I57" s="42">
        <v>168</v>
      </c>
      <c r="J57"/>
      <c r="K57" s="11"/>
      <c r="L57" s="11"/>
      <c r="M57" s="11"/>
      <c r="N57" s="11"/>
      <c r="O57" s="11"/>
    </row>
    <row r="58" spans="1:15" x14ac:dyDescent="0.2">
      <c r="A58" s="64" t="s">
        <v>55</v>
      </c>
      <c r="B58" s="42">
        <v>1</v>
      </c>
      <c r="C58" s="42">
        <v>3</v>
      </c>
      <c r="D58" s="42">
        <v>1</v>
      </c>
      <c r="E58" s="42">
        <v>0</v>
      </c>
      <c r="F58" s="42">
        <v>27</v>
      </c>
      <c r="G58" s="42">
        <v>31</v>
      </c>
      <c r="H58" s="42">
        <v>17</v>
      </c>
      <c r="I58" s="42">
        <v>33</v>
      </c>
      <c r="J58"/>
      <c r="K58" s="11"/>
      <c r="L58" s="11"/>
      <c r="M58" s="11"/>
      <c r="N58" s="11"/>
      <c r="O58" s="11"/>
    </row>
    <row r="59" spans="1:15" x14ac:dyDescent="0.2">
      <c r="A59" s="64" t="s">
        <v>56</v>
      </c>
      <c r="B59" s="42">
        <v>0</v>
      </c>
      <c r="C59" s="42">
        <v>1</v>
      </c>
      <c r="D59" s="42">
        <v>0</v>
      </c>
      <c r="E59" s="42">
        <v>0</v>
      </c>
      <c r="F59" s="42">
        <v>60</v>
      </c>
      <c r="G59" s="42">
        <v>63</v>
      </c>
      <c r="H59" s="42">
        <v>150</v>
      </c>
      <c r="I59" s="42">
        <v>99</v>
      </c>
      <c r="J59"/>
      <c r="K59" s="11"/>
      <c r="L59" s="11"/>
      <c r="M59" s="11"/>
      <c r="N59" s="11"/>
      <c r="O59" s="11"/>
    </row>
    <row r="60" spans="1:15" x14ac:dyDescent="0.2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7</v>
      </c>
      <c r="G60" s="42">
        <v>4</v>
      </c>
      <c r="H60" s="42">
        <v>9</v>
      </c>
      <c r="I60" s="42">
        <v>7</v>
      </c>
      <c r="J60"/>
      <c r="K60" s="11"/>
      <c r="L60" s="11"/>
      <c r="M60" s="11"/>
      <c r="N60" s="11"/>
      <c r="O60" s="11"/>
    </row>
    <row r="61" spans="1:15" x14ac:dyDescent="0.2">
      <c r="A61" s="64" t="s">
        <v>58</v>
      </c>
      <c r="B61" s="42">
        <v>0</v>
      </c>
      <c r="C61" s="42">
        <v>3</v>
      </c>
      <c r="D61" s="42">
        <v>1</v>
      </c>
      <c r="E61" s="42">
        <v>4</v>
      </c>
      <c r="F61" s="42">
        <v>42</v>
      </c>
      <c r="G61" s="42">
        <v>48</v>
      </c>
      <c r="H61" s="42">
        <v>46</v>
      </c>
      <c r="I61" s="42">
        <v>47</v>
      </c>
      <c r="J61"/>
      <c r="K61" s="11"/>
      <c r="L61" s="11"/>
      <c r="M61" s="11"/>
      <c r="N61" s="11"/>
      <c r="O61" s="11"/>
    </row>
    <row r="62" spans="1:15" x14ac:dyDescent="0.2">
      <c r="A62" s="64" t="s">
        <v>59</v>
      </c>
      <c r="B62" s="42">
        <v>2</v>
      </c>
      <c r="C62" s="42">
        <v>1</v>
      </c>
      <c r="D62" s="42">
        <v>3</v>
      </c>
      <c r="E62" s="42">
        <v>2</v>
      </c>
      <c r="F62" s="42">
        <v>45</v>
      </c>
      <c r="G62" s="42">
        <v>47</v>
      </c>
      <c r="H62" s="42">
        <v>47</v>
      </c>
      <c r="I62" s="42">
        <v>52</v>
      </c>
      <c r="J62"/>
      <c r="K62" s="11"/>
      <c r="L62" s="11"/>
      <c r="M62" s="11"/>
      <c r="N62" s="11"/>
      <c r="O62" s="11"/>
    </row>
    <row r="63" spans="1:15" x14ac:dyDescent="0.2">
      <c r="A63" s="64" t="s">
        <v>60</v>
      </c>
      <c r="B63" s="42">
        <v>1</v>
      </c>
      <c r="C63" s="42">
        <v>3</v>
      </c>
      <c r="D63" s="42">
        <v>1</v>
      </c>
      <c r="E63" s="42">
        <v>0</v>
      </c>
      <c r="F63" s="42">
        <v>26</v>
      </c>
      <c r="G63" s="42">
        <v>47</v>
      </c>
      <c r="H63" s="42">
        <v>26</v>
      </c>
      <c r="I63" s="42">
        <v>22</v>
      </c>
      <c r="J63"/>
      <c r="K63" s="11"/>
      <c r="L63" s="11"/>
      <c r="M63" s="11"/>
      <c r="N63" s="11"/>
      <c r="O63" s="11"/>
    </row>
    <row r="64" spans="1:15" x14ac:dyDescent="0.2">
      <c r="A64" s="64" t="s">
        <v>61</v>
      </c>
      <c r="B64" s="42">
        <v>2</v>
      </c>
      <c r="C64" s="42">
        <v>0</v>
      </c>
      <c r="D64" s="42">
        <v>3</v>
      </c>
      <c r="E64" s="42">
        <v>1</v>
      </c>
      <c r="F64" s="42">
        <v>50</v>
      </c>
      <c r="G64" s="42">
        <v>53</v>
      </c>
      <c r="H64" s="42">
        <v>56</v>
      </c>
      <c r="I64" s="42">
        <v>47</v>
      </c>
      <c r="J64"/>
      <c r="K64" s="11"/>
      <c r="L64" s="11"/>
      <c r="M64" s="11"/>
      <c r="N64" s="11"/>
      <c r="O64" s="11"/>
    </row>
    <row r="65" spans="1:15" x14ac:dyDescent="0.2">
      <c r="A65" s="64" t="s">
        <v>62</v>
      </c>
      <c r="B65" s="42">
        <v>1</v>
      </c>
      <c r="C65" s="42">
        <v>0</v>
      </c>
      <c r="D65" s="42">
        <v>2</v>
      </c>
      <c r="E65" s="42">
        <v>0</v>
      </c>
      <c r="F65" s="42">
        <v>36</v>
      </c>
      <c r="G65" s="42">
        <v>46</v>
      </c>
      <c r="H65" s="42">
        <v>43</v>
      </c>
      <c r="I65" s="42">
        <v>37</v>
      </c>
      <c r="J65"/>
      <c r="K65" s="11"/>
      <c r="L65" s="11"/>
      <c r="M65" s="11"/>
      <c r="N65" s="11"/>
      <c r="O65" s="11"/>
    </row>
    <row r="66" spans="1:15" x14ac:dyDescent="0.2">
      <c r="A66" s="64" t="s">
        <v>63</v>
      </c>
      <c r="B66" s="42">
        <v>10</v>
      </c>
      <c r="C66" s="42">
        <v>14</v>
      </c>
      <c r="D66" s="42">
        <v>5</v>
      </c>
      <c r="E66" s="42">
        <v>4</v>
      </c>
      <c r="F66" s="42">
        <v>231</v>
      </c>
      <c r="G66" s="42">
        <v>244</v>
      </c>
      <c r="H66" s="42">
        <v>367</v>
      </c>
      <c r="I66" s="42">
        <v>215</v>
      </c>
      <c r="J66"/>
      <c r="K66" s="11"/>
      <c r="L66" s="11"/>
      <c r="M66" s="11"/>
      <c r="N66" s="11"/>
      <c r="O66" s="11"/>
    </row>
    <row r="67" spans="1:15" x14ac:dyDescent="0.2">
      <c r="A67" s="64" t="s">
        <v>64</v>
      </c>
      <c r="B67" s="42">
        <v>3</v>
      </c>
      <c r="C67" s="42">
        <v>4</v>
      </c>
      <c r="D67" s="42">
        <v>1</v>
      </c>
      <c r="E67" s="42">
        <v>1</v>
      </c>
      <c r="F67" s="42">
        <v>46</v>
      </c>
      <c r="G67" s="42">
        <v>69</v>
      </c>
      <c r="H67" s="42">
        <v>70</v>
      </c>
      <c r="I67" s="42">
        <v>72</v>
      </c>
      <c r="J67"/>
      <c r="K67" s="11"/>
      <c r="L67" s="11"/>
      <c r="M67" s="11"/>
      <c r="N67" s="11"/>
      <c r="O67" s="11"/>
    </row>
    <row r="68" spans="1:15" x14ac:dyDescent="0.2">
      <c r="A68" s="64" t="s">
        <v>65</v>
      </c>
      <c r="B68" s="42">
        <v>16</v>
      </c>
      <c r="C68" s="42">
        <v>17</v>
      </c>
      <c r="D68" s="42">
        <v>15</v>
      </c>
      <c r="E68" s="42">
        <v>10</v>
      </c>
      <c r="F68" s="42">
        <v>415</v>
      </c>
      <c r="G68" s="42">
        <v>456</v>
      </c>
      <c r="H68" s="42">
        <v>600</v>
      </c>
      <c r="I68" s="42">
        <v>334</v>
      </c>
      <c r="J68"/>
      <c r="K68" s="11"/>
      <c r="L68" s="11"/>
      <c r="M68" s="11"/>
      <c r="N68" s="11"/>
      <c r="O68" s="11"/>
    </row>
    <row r="69" spans="1:15" x14ac:dyDescent="0.2">
      <c r="A69" s="64" t="s">
        <v>66</v>
      </c>
      <c r="B69" s="42">
        <v>1</v>
      </c>
      <c r="C69" s="42">
        <v>1</v>
      </c>
      <c r="D69" s="42">
        <v>0</v>
      </c>
      <c r="E69" s="42">
        <v>0</v>
      </c>
      <c r="F69" s="42">
        <v>45</v>
      </c>
      <c r="G69" s="42">
        <v>41</v>
      </c>
      <c r="H69" s="42">
        <v>44</v>
      </c>
      <c r="I69" s="42">
        <v>36</v>
      </c>
      <c r="J69"/>
      <c r="K69" s="11"/>
      <c r="L69" s="11"/>
      <c r="M69" s="11"/>
      <c r="N69" s="11"/>
      <c r="O69" s="11"/>
    </row>
    <row r="70" spans="1:15" x14ac:dyDescent="0.2">
      <c r="A70" s="64" t="s">
        <v>67</v>
      </c>
      <c r="B70" s="42">
        <v>12</v>
      </c>
      <c r="C70" s="42">
        <v>37</v>
      </c>
      <c r="D70" s="42">
        <v>18</v>
      </c>
      <c r="E70" s="42">
        <v>20</v>
      </c>
      <c r="F70" s="42">
        <v>813</v>
      </c>
      <c r="G70" s="42">
        <v>1284</v>
      </c>
      <c r="H70" s="42">
        <v>630</v>
      </c>
      <c r="I70" s="42">
        <v>815</v>
      </c>
      <c r="J70"/>
      <c r="K70" s="11"/>
      <c r="L70" s="11"/>
      <c r="M70" s="11"/>
      <c r="N70" s="11"/>
      <c r="O70" s="11"/>
    </row>
    <row r="71" spans="1:15" x14ac:dyDescent="0.2">
      <c r="A71" s="39" t="s">
        <v>68</v>
      </c>
      <c r="B71" s="67">
        <f>SUM(B4:B70)</f>
        <v>774</v>
      </c>
      <c r="C71" s="67">
        <f>SUM(C4:C70)</f>
        <v>1624</v>
      </c>
      <c r="D71" s="67">
        <f>SUM(D4:D70)</f>
        <v>605</v>
      </c>
      <c r="E71" s="67">
        <f>SUM(E4:E70)</f>
        <v>513</v>
      </c>
      <c r="F71" s="67">
        <f t="shared" ref="F71:I71" si="0">SUM(F4:F70)</f>
        <v>20446</v>
      </c>
      <c r="G71" s="67">
        <f t="shared" si="0"/>
        <v>34740</v>
      </c>
      <c r="H71" s="67">
        <f t="shared" si="0"/>
        <v>19456</v>
      </c>
      <c r="I71" s="67">
        <f t="shared" si="0"/>
        <v>14588</v>
      </c>
      <c r="J71"/>
    </row>
    <row r="73" spans="1:15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BP2" sqref="BP2:BR2"/>
    </sheetView>
  </sheetViews>
  <sheetFormatPr defaultColWidth="9.140625" defaultRowHeight="12.75" x14ac:dyDescent="0.2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5" bestFit="1" customWidth="1"/>
    <col min="28" max="29" width="6.7109375" style="35" customWidth="1"/>
    <col min="30" max="30" width="7.7109375" style="35" bestFit="1" customWidth="1"/>
    <col min="31" max="31" width="6.7109375" style="35" customWidth="1"/>
    <col min="32" max="35" width="6.7109375" style="35" bestFit="1" customWidth="1"/>
    <col min="36" max="59" width="6.7109375" style="35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6" x14ac:dyDescent="0.2">
      <c r="A1" s="42"/>
      <c r="B1" s="80" t="s">
        <v>97</v>
      </c>
      <c r="C1" s="81"/>
      <c r="D1" s="81"/>
      <c r="E1" s="81"/>
      <c r="F1" s="82" t="s">
        <v>99</v>
      </c>
      <c r="G1" s="82"/>
      <c r="H1" s="82"/>
      <c r="I1" s="82"/>
      <c r="J1" s="82"/>
      <c r="K1" s="82"/>
      <c r="L1" s="88" t="s">
        <v>94</v>
      </c>
      <c r="M1" s="88"/>
      <c r="N1" s="88"/>
      <c r="O1" s="80" t="s">
        <v>100</v>
      </c>
      <c r="P1" s="80"/>
      <c r="Q1" s="80"/>
      <c r="R1" s="80"/>
      <c r="S1" s="80"/>
      <c r="T1" s="80"/>
      <c r="U1" s="80"/>
      <c r="V1" s="80"/>
      <c r="W1" s="80"/>
      <c r="X1" s="82" t="s">
        <v>101</v>
      </c>
      <c r="Y1" s="82"/>
      <c r="Z1" s="82"/>
      <c r="AA1" s="82"/>
      <c r="AB1" s="42"/>
      <c r="AC1" s="42" t="s">
        <v>105</v>
      </c>
      <c r="AD1" s="42"/>
      <c r="AE1" s="42"/>
      <c r="AF1" s="82" t="s">
        <v>106</v>
      </c>
      <c r="AG1" s="82"/>
      <c r="AH1" s="82"/>
      <c r="AI1" s="82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117</v>
      </c>
      <c r="AW1" s="42"/>
      <c r="AX1" s="42"/>
      <c r="AY1" s="42"/>
      <c r="AZ1" s="86" t="s">
        <v>116</v>
      </c>
      <c r="BA1" s="86"/>
      <c r="BB1" s="86"/>
      <c r="BC1" s="86"/>
      <c r="BD1" s="78" t="s">
        <v>118</v>
      </c>
      <c r="BE1" s="78"/>
      <c r="BF1" s="78"/>
      <c r="BG1" s="78"/>
      <c r="BH1" s="78" t="s">
        <v>123</v>
      </c>
      <c r="BI1" s="78"/>
      <c r="BJ1" s="78"/>
      <c r="BK1" s="78"/>
      <c r="BL1" s="78" t="s">
        <v>124</v>
      </c>
      <c r="BM1" s="78"/>
      <c r="BN1" s="78"/>
      <c r="BO1" s="78"/>
      <c r="BP1" s="84" t="s">
        <v>130</v>
      </c>
      <c r="BQ1" s="84"/>
      <c r="BR1" s="84"/>
      <c r="BS1" s="84"/>
      <c r="BT1" s="84"/>
      <c r="BU1" s="84"/>
      <c r="BV1" s="84"/>
      <c r="BW1" s="84"/>
      <c r="BX1" s="84"/>
    </row>
    <row r="2" spans="1:76" x14ac:dyDescent="0.2">
      <c r="A2" s="42"/>
      <c r="B2" s="81" t="s">
        <v>86</v>
      </c>
      <c r="C2" s="81"/>
      <c r="D2" s="81" t="s">
        <v>87</v>
      </c>
      <c r="E2" s="81"/>
      <c r="F2" s="83" t="s">
        <v>86</v>
      </c>
      <c r="G2" s="83"/>
      <c r="H2" s="83"/>
      <c r="I2" s="83" t="s">
        <v>87</v>
      </c>
      <c r="J2" s="83"/>
      <c r="K2" s="83"/>
      <c r="L2" s="83" t="s">
        <v>93</v>
      </c>
      <c r="M2" s="83"/>
      <c r="N2" s="83"/>
      <c r="O2" s="81" t="s">
        <v>86</v>
      </c>
      <c r="P2" s="81"/>
      <c r="Q2" s="81"/>
      <c r="R2" s="81" t="s">
        <v>87</v>
      </c>
      <c r="S2" s="81"/>
      <c r="T2" s="81"/>
      <c r="U2" s="81" t="s">
        <v>93</v>
      </c>
      <c r="V2" s="81"/>
      <c r="W2" s="81"/>
      <c r="X2" s="82" t="s">
        <v>86</v>
      </c>
      <c r="Y2" s="83"/>
      <c r="Z2" s="83" t="s">
        <v>87</v>
      </c>
      <c r="AA2" s="83"/>
      <c r="AB2" s="81" t="s">
        <v>86</v>
      </c>
      <c r="AC2" s="81"/>
      <c r="AD2" s="81" t="s">
        <v>87</v>
      </c>
      <c r="AE2" s="81"/>
      <c r="AF2" s="82" t="s">
        <v>86</v>
      </c>
      <c r="AG2" s="83"/>
      <c r="AH2" s="83" t="s">
        <v>87</v>
      </c>
      <c r="AI2" s="83"/>
      <c r="AJ2" s="81" t="s">
        <v>86</v>
      </c>
      <c r="AK2" s="81"/>
      <c r="AL2" s="81" t="s">
        <v>87</v>
      </c>
      <c r="AM2" s="81"/>
      <c r="AN2" s="81" t="s">
        <v>86</v>
      </c>
      <c r="AO2" s="81"/>
      <c r="AP2" s="81" t="s">
        <v>87</v>
      </c>
      <c r="AQ2" s="81"/>
      <c r="AR2" s="81" t="s">
        <v>86</v>
      </c>
      <c r="AS2" s="81"/>
      <c r="AT2" s="81" t="s">
        <v>87</v>
      </c>
      <c r="AU2" s="81"/>
      <c r="AV2" s="81" t="s">
        <v>86</v>
      </c>
      <c r="AW2" s="81"/>
      <c r="AX2" s="81" t="s">
        <v>87</v>
      </c>
      <c r="AY2" s="81"/>
      <c r="AZ2" s="87" t="s">
        <v>86</v>
      </c>
      <c r="BA2" s="87"/>
      <c r="BB2" s="87" t="s">
        <v>87</v>
      </c>
      <c r="BC2" s="87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4" t="s">
        <v>86</v>
      </c>
      <c r="BQ2" s="85"/>
      <c r="BR2" s="85"/>
      <c r="BS2" s="84" t="s">
        <v>87</v>
      </c>
      <c r="BT2" s="85"/>
      <c r="BU2" s="85"/>
      <c r="BV2" s="85" t="s">
        <v>93</v>
      </c>
      <c r="BW2" s="85"/>
      <c r="BX2" s="85"/>
    </row>
    <row r="3" spans="1:76" x14ac:dyDescent="0.2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8"/>
  <sheetViews>
    <sheetView zoomScale="110" zoomScaleNormal="110" workbookViewId="0">
      <pane ySplit="1" topLeftCell="A2" activePane="bottomLeft" state="frozen"/>
      <selection pane="bottomLeft" activeCell="F3" sqref="F3"/>
    </sheetView>
  </sheetViews>
  <sheetFormatPr defaultColWidth="9.140625" defaultRowHeight="12.75" x14ac:dyDescent="0.2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30" customWidth="1"/>
    <col min="5" max="5" width="18" style="22" customWidth="1"/>
    <col min="6" max="6" width="5.5703125" style="21" bestFit="1" customWidth="1"/>
    <col min="7" max="16384" width="9.140625" style="21"/>
  </cols>
  <sheetData>
    <row r="1" spans="1:6" x14ac:dyDescent="0.2">
      <c r="A1" s="42"/>
      <c r="B1" s="91" t="s">
        <v>128</v>
      </c>
      <c r="C1" s="92"/>
      <c r="D1" s="93" t="s">
        <v>125</v>
      </c>
      <c r="E1" s="94"/>
    </row>
    <row r="2" spans="1:6" x14ac:dyDescent="0.2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  <c r="F2" s="21" t="s">
        <v>131</v>
      </c>
    </row>
    <row r="3" spans="1:6" x14ac:dyDescent="0.2">
      <c r="A3" s="42" t="s">
        <v>1</v>
      </c>
      <c r="B3" s="53">
        <v>3</v>
      </c>
      <c r="C3" s="53">
        <v>9</v>
      </c>
      <c r="D3" s="53">
        <v>142</v>
      </c>
      <c r="E3" s="53">
        <v>289</v>
      </c>
    </row>
    <row r="4" spans="1:6" x14ac:dyDescent="0.2">
      <c r="A4" s="42" t="s">
        <v>2</v>
      </c>
      <c r="B4" s="53">
        <v>229</v>
      </c>
      <c r="C4" s="53">
        <v>49</v>
      </c>
      <c r="D4" s="53">
        <v>3061</v>
      </c>
      <c r="E4" s="53">
        <v>1371</v>
      </c>
    </row>
    <row r="5" spans="1:6" x14ac:dyDescent="0.2">
      <c r="A5" s="42" t="s">
        <v>3</v>
      </c>
      <c r="B5" s="53">
        <v>0</v>
      </c>
      <c r="C5" s="53">
        <v>0</v>
      </c>
      <c r="D5" s="53">
        <v>29</v>
      </c>
      <c r="E5" s="53">
        <v>54</v>
      </c>
    </row>
    <row r="6" spans="1:6" x14ac:dyDescent="0.2">
      <c r="A6" s="42" t="s">
        <v>4</v>
      </c>
      <c r="B6" s="53">
        <v>5</v>
      </c>
      <c r="C6" s="53">
        <v>0</v>
      </c>
      <c r="D6" s="53">
        <v>120</v>
      </c>
      <c r="E6" s="53">
        <v>140</v>
      </c>
    </row>
    <row r="7" spans="1:6" x14ac:dyDescent="0.2">
      <c r="A7" s="42" t="s">
        <v>5</v>
      </c>
      <c r="B7" s="53">
        <v>0</v>
      </c>
      <c r="C7" s="53">
        <v>2</v>
      </c>
      <c r="D7" s="53">
        <v>14</v>
      </c>
      <c r="E7" s="53">
        <v>24</v>
      </c>
    </row>
    <row r="8" spans="1:6" x14ac:dyDescent="0.2">
      <c r="A8" s="42" t="s">
        <v>6</v>
      </c>
      <c r="B8" s="53">
        <v>34</v>
      </c>
      <c r="C8" s="53">
        <v>18</v>
      </c>
      <c r="D8" s="53">
        <v>1128</v>
      </c>
      <c r="E8" s="53">
        <v>897</v>
      </c>
    </row>
    <row r="9" spans="1:6" x14ac:dyDescent="0.2">
      <c r="A9" s="42" t="s">
        <v>7</v>
      </c>
      <c r="B9" s="53">
        <v>5</v>
      </c>
      <c r="C9" s="53">
        <v>2</v>
      </c>
      <c r="D9" s="53">
        <v>97</v>
      </c>
      <c r="E9" s="53">
        <v>128</v>
      </c>
    </row>
    <row r="10" spans="1:6" x14ac:dyDescent="0.2">
      <c r="A10" s="42" t="s">
        <v>8</v>
      </c>
      <c r="B10" s="53">
        <v>0</v>
      </c>
      <c r="C10" s="53">
        <v>0</v>
      </c>
      <c r="D10" s="53">
        <v>44</v>
      </c>
      <c r="E10" s="53">
        <v>65</v>
      </c>
    </row>
    <row r="11" spans="1:6" x14ac:dyDescent="0.2">
      <c r="A11" s="42" t="s">
        <v>9</v>
      </c>
      <c r="B11" s="53">
        <v>54</v>
      </c>
      <c r="C11" s="53">
        <v>44</v>
      </c>
      <c r="D11" s="53">
        <v>1429</v>
      </c>
      <c r="E11" s="53">
        <v>1536</v>
      </c>
    </row>
    <row r="12" spans="1:6" x14ac:dyDescent="0.2">
      <c r="A12" s="42" t="s">
        <v>10</v>
      </c>
      <c r="B12" s="53">
        <v>3</v>
      </c>
      <c r="C12" s="53">
        <v>8</v>
      </c>
      <c r="D12" s="53">
        <v>161</v>
      </c>
      <c r="E12" s="53">
        <v>267</v>
      </c>
    </row>
    <row r="13" spans="1:6" x14ac:dyDescent="0.2">
      <c r="A13" s="42" t="s">
        <v>11</v>
      </c>
      <c r="B13" s="53">
        <v>2</v>
      </c>
      <c r="C13" s="53">
        <v>4</v>
      </c>
      <c r="D13" s="53">
        <v>114</v>
      </c>
      <c r="E13" s="53">
        <v>123</v>
      </c>
    </row>
    <row r="14" spans="1:6" x14ac:dyDescent="0.2">
      <c r="A14" s="42" t="s">
        <v>12</v>
      </c>
      <c r="B14" s="53">
        <v>1</v>
      </c>
      <c r="C14" s="53">
        <v>1</v>
      </c>
      <c r="D14" s="53">
        <v>3</v>
      </c>
      <c r="E14" s="53">
        <v>4</v>
      </c>
    </row>
    <row r="15" spans="1:6" x14ac:dyDescent="0.2">
      <c r="A15" s="42" t="s">
        <v>13</v>
      </c>
      <c r="B15" s="53">
        <v>2</v>
      </c>
      <c r="C15" s="53">
        <v>3</v>
      </c>
      <c r="D15" s="53">
        <v>77</v>
      </c>
      <c r="E15" s="53">
        <v>88</v>
      </c>
    </row>
    <row r="16" spans="1:6" x14ac:dyDescent="0.2">
      <c r="A16" s="42" t="s">
        <v>14</v>
      </c>
      <c r="B16" s="53">
        <v>2</v>
      </c>
      <c r="C16" s="53">
        <v>7</v>
      </c>
      <c r="D16" s="53">
        <v>161</v>
      </c>
      <c r="E16" s="53">
        <v>158</v>
      </c>
    </row>
    <row r="17" spans="1:5" x14ac:dyDescent="0.2">
      <c r="A17" s="42" t="s">
        <v>15</v>
      </c>
      <c r="B17" s="53">
        <v>29</v>
      </c>
      <c r="C17" s="53">
        <v>38</v>
      </c>
      <c r="D17" s="53">
        <v>1018</v>
      </c>
      <c r="E17" s="53">
        <v>1067</v>
      </c>
    </row>
    <row r="18" spans="1:5" x14ac:dyDescent="0.2">
      <c r="A18" s="42" t="s">
        <v>16</v>
      </c>
      <c r="B18" s="53">
        <v>2</v>
      </c>
      <c r="C18" s="53">
        <v>1</v>
      </c>
      <c r="D18" s="53">
        <v>22</v>
      </c>
      <c r="E18" s="53">
        <v>29</v>
      </c>
    </row>
    <row r="19" spans="1:5" x14ac:dyDescent="0.2">
      <c r="A19" s="42" t="s">
        <v>17</v>
      </c>
      <c r="B19" s="53">
        <v>3</v>
      </c>
      <c r="C19" s="53">
        <v>2</v>
      </c>
      <c r="D19" s="53">
        <v>53</v>
      </c>
      <c r="E19" s="53">
        <v>73</v>
      </c>
    </row>
    <row r="20" spans="1:5" x14ac:dyDescent="0.2">
      <c r="A20" s="42" t="s">
        <v>18</v>
      </c>
      <c r="B20" s="53">
        <v>0</v>
      </c>
      <c r="C20" s="53">
        <v>2</v>
      </c>
      <c r="D20" s="53">
        <v>31</v>
      </c>
      <c r="E20" s="53">
        <v>48</v>
      </c>
    </row>
    <row r="21" spans="1:5" x14ac:dyDescent="0.2">
      <c r="A21" s="42" t="s">
        <v>19</v>
      </c>
      <c r="B21" s="53">
        <v>2</v>
      </c>
      <c r="C21" s="53">
        <v>1</v>
      </c>
      <c r="D21" s="53">
        <v>41</v>
      </c>
      <c r="E21" s="53">
        <v>62</v>
      </c>
    </row>
    <row r="22" spans="1:5" x14ac:dyDescent="0.2">
      <c r="A22" s="42" t="s">
        <v>20</v>
      </c>
      <c r="B22" s="53">
        <v>0</v>
      </c>
      <c r="C22" s="53">
        <v>2</v>
      </c>
      <c r="D22" s="53">
        <v>56</v>
      </c>
      <c r="E22" s="53">
        <v>64</v>
      </c>
    </row>
    <row r="23" spans="1:5" x14ac:dyDescent="0.2">
      <c r="A23" s="42" t="s">
        <v>21</v>
      </c>
      <c r="B23" s="53">
        <v>13</v>
      </c>
      <c r="C23" s="53">
        <v>15</v>
      </c>
      <c r="D23" s="53">
        <v>536</v>
      </c>
      <c r="E23" s="53">
        <v>639</v>
      </c>
    </row>
    <row r="24" spans="1:5" x14ac:dyDescent="0.2">
      <c r="A24" s="42" t="s">
        <v>22</v>
      </c>
      <c r="B24" s="53">
        <v>45</v>
      </c>
      <c r="C24" s="53">
        <v>19</v>
      </c>
      <c r="D24" s="53">
        <v>1234</v>
      </c>
      <c r="E24" s="53">
        <v>673</v>
      </c>
    </row>
    <row r="25" spans="1:5" x14ac:dyDescent="0.2">
      <c r="A25" s="42" t="s">
        <v>23</v>
      </c>
      <c r="B25" s="53">
        <v>60</v>
      </c>
      <c r="C25" s="53">
        <v>27</v>
      </c>
      <c r="D25" s="53">
        <v>1207</v>
      </c>
      <c r="E25" s="53">
        <v>659</v>
      </c>
    </row>
    <row r="26" spans="1:5" x14ac:dyDescent="0.2">
      <c r="A26" s="42" t="s">
        <v>24</v>
      </c>
      <c r="B26" s="53">
        <v>1</v>
      </c>
      <c r="C26" s="53">
        <v>0</v>
      </c>
      <c r="D26" s="53">
        <v>10</v>
      </c>
      <c r="E26" s="53">
        <v>28</v>
      </c>
    </row>
    <row r="27" spans="1:5" x14ac:dyDescent="0.2">
      <c r="A27" s="42" t="s">
        <v>25</v>
      </c>
      <c r="B27" s="53">
        <v>10</v>
      </c>
      <c r="C27" s="53">
        <v>12</v>
      </c>
      <c r="D27" s="53">
        <v>275</v>
      </c>
      <c r="E27" s="53">
        <v>240</v>
      </c>
    </row>
    <row r="28" spans="1:5" x14ac:dyDescent="0.2">
      <c r="A28" s="42" t="s">
        <v>26</v>
      </c>
      <c r="B28" s="53">
        <v>3</v>
      </c>
      <c r="C28" s="53">
        <v>5</v>
      </c>
      <c r="D28" s="53">
        <v>101</v>
      </c>
      <c r="E28" s="53">
        <v>109</v>
      </c>
    </row>
    <row r="29" spans="1:5" x14ac:dyDescent="0.2">
      <c r="A29" s="42" t="s">
        <v>27</v>
      </c>
      <c r="B29" s="53">
        <v>0</v>
      </c>
      <c r="C29" s="53">
        <v>0</v>
      </c>
      <c r="D29" s="53">
        <v>1</v>
      </c>
      <c r="E29" s="53">
        <v>2</v>
      </c>
    </row>
    <row r="30" spans="1:5" x14ac:dyDescent="0.2">
      <c r="A30" s="42" t="s">
        <v>28</v>
      </c>
      <c r="B30" s="53">
        <v>3</v>
      </c>
      <c r="C30" s="53">
        <v>7</v>
      </c>
      <c r="D30" s="53">
        <v>228</v>
      </c>
      <c r="E30" s="53">
        <v>373</v>
      </c>
    </row>
    <row r="31" spans="1:5" x14ac:dyDescent="0.2">
      <c r="A31" s="42" t="s">
        <v>29</v>
      </c>
      <c r="B31" s="53">
        <v>0</v>
      </c>
      <c r="C31" s="53">
        <v>0</v>
      </c>
      <c r="D31" s="53">
        <v>13</v>
      </c>
      <c r="E31" s="53">
        <v>17</v>
      </c>
    </row>
    <row r="32" spans="1:5" x14ac:dyDescent="0.2">
      <c r="A32" s="42" t="s">
        <v>30</v>
      </c>
      <c r="B32" s="53">
        <v>1</v>
      </c>
      <c r="C32" s="53">
        <v>1</v>
      </c>
      <c r="D32" s="53">
        <v>29</v>
      </c>
      <c r="E32" s="53">
        <v>31</v>
      </c>
    </row>
    <row r="33" spans="1:5" x14ac:dyDescent="0.2">
      <c r="A33" s="42" t="s">
        <v>31</v>
      </c>
      <c r="B33" s="53">
        <v>1</v>
      </c>
      <c r="C33" s="53">
        <v>0</v>
      </c>
      <c r="D33" s="53">
        <v>16</v>
      </c>
      <c r="E33" s="53">
        <v>26</v>
      </c>
    </row>
    <row r="34" spans="1:5" x14ac:dyDescent="0.2">
      <c r="A34" s="42" t="s">
        <v>32</v>
      </c>
      <c r="B34" s="53">
        <v>0</v>
      </c>
      <c r="C34" s="53">
        <v>0</v>
      </c>
      <c r="D34" s="53">
        <v>49</v>
      </c>
      <c r="E34" s="53">
        <v>54</v>
      </c>
    </row>
    <row r="35" spans="1:5" x14ac:dyDescent="0.2">
      <c r="A35" s="42" t="s">
        <v>33</v>
      </c>
      <c r="B35" s="53">
        <v>0</v>
      </c>
      <c r="C35" s="53">
        <v>0</v>
      </c>
      <c r="D35" s="53">
        <v>7</v>
      </c>
      <c r="E35" s="53">
        <v>22</v>
      </c>
    </row>
    <row r="36" spans="1:5" x14ac:dyDescent="0.2">
      <c r="A36" s="42" t="s">
        <v>34</v>
      </c>
      <c r="B36" s="53">
        <v>0</v>
      </c>
      <c r="C36" s="53">
        <v>3</v>
      </c>
      <c r="D36" s="53">
        <v>17</v>
      </c>
      <c r="E36" s="53">
        <v>18</v>
      </c>
    </row>
    <row r="37" spans="1:5" x14ac:dyDescent="0.2">
      <c r="A37" s="42" t="s">
        <v>35</v>
      </c>
      <c r="B37" s="53">
        <v>13</v>
      </c>
      <c r="C37" s="53">
        <v>16</v>
      </c>
      <c r="D37" s="53">
        <v>384</v>
      </c>
      <c r="E37" s="53">
        <v>310</v>
      </c>
    </row>
    <row r="38" spans="1:5" x14ac:dyDescent="0.2">
      <c r="A38" s="42" t="s">
        <v>36</v>
      </c>
      <c r="B38" s="53">
        <v>25</v>
      </c>
      <c r="C38" s="53">
        <v>27</v>
      </c>
      <c r="D38" s="53">
        <v>1099</v>
      </c>
      <c r="E38" s="53">
        <v>1240</v>
      </c>
    </row>
    <row r="39" spans="1:5" x14ac:dyDescent="0.2">
      <c r="A39" s="42" t="s">
        <v>37</v>
      </c>
      <c r="B39" s="53">
        <v>2</v>
      </c>
      <c r="C39" s="53">
        <v>3</v>
      </c>
      <c r="D39" s="53">
        <v>60</v>
      </c>
      <c r="E39" s="53">
        <v>68</v>
      </c>
    </row>
    <row r="40" spans="1:5" x14ac:dyDescent="0.2">
      <c r="A40" s="42" t="s">
        <v>38</v>
      </c>
      <c r="B40" s="53">
        <v>8</v>
      </c>
      <c r="C40" s="53">
        <v>7</v>
      </c>
      <c r="D40" s="53">
        <v>182</v>
      </c>
      <c r="E40" s="53">
        <v>197</v>
      </c>
    </row>
    <row r="41" spans="1:5" x14ac:dyDescent="0.2">
      <c r="A41" s="42" t="s">
        <v>39</v>
      </c>
      <c r="B41" s="53">
        <v>44</v>
      </c>
      <c r="C41" s="53">
        <v>13</v>
      </c>
      <c r="D41" s="53">
        <v>856</v>
      </c>
      <c r="E41" s="53">
        <v>574</v>
      </c>
    </row>
    <row r="42" spans="1:5" x14ac:dyDescent="0.2">
      <c r="A42" s="42" t="s">
        <v>40</v>
      </c>
      <c r="B42" s="53">
        <v>16</v>
      </c>
      <c r="C42" s="53">
        <v>20</v>
      </c>
      <c r="D42" s="53">
        <v>523</v>
      </c>
      <c r="E42" s="53">
        <v>426</v>
      </c>
    </row>
    <row r="43" spans="1:5" x14ac:dyDescent="0.2">
      <c r="A43" s="42" t="s">
        <v>41</v>
      </c>
      <c r="B43" s="53">
        <v>4</v>
      </c>
      <c r="C43" s="53">
        <v>8</v>
      </c>
      <c r="D43" s="53">
        <v>140</v>
      </c>
      <c r="E43" s="53">
        <v>190</v>
      </c>
    </row>
    <row r="44" spans="1:5" x14ac:dyDescent="0.2">
      <c r="A44" s="42" t="s">
        <v>42</v>
      </c>
      <c r="B44" s="53">
        <v>1</v>
      </c>
      <c r="C44" s="53">
        <v>2</v>
      </c>
      <c r="D44" s="53">
        <v>12</v>
      </c>
      <c r="E44" s="53">
        <v>17</v>
      </c>
    </row>
    <row r="45" spans="1:5" x14ac:dyDescent="0.2">
      <c r="A45" s="42" t="s">
        <v>43</v>
      </c>
      <c r="B45" s="53">
        <v>2</v>
      </c>
      <c r="C45" s="53">
        <v>1</v>
      </c>
      <c r="D45" s="53">
        <v>103</v>
      </c>
      <c r="E45" s="53">
        <v>104</v>
      </c>
    </row>
    <row r="46" spans="1:5" x14ac:dyDescent="0.2">
      <c r="A46" s="42" t="s">
        <v>44</v>
      </c>
      <c r="B46" s="53">
        <v>0</v>
      </c>
      <c r="C46" s="53">
        <v>1</v>
      </c>
      <c r="D46" s="53">
        <v>11</v>
      </c>
      <c r="E46" s="53">
        <v>33</v>
      </c>
    </row>
    <row r="47" spans="1:5" x14ac:dyDescent="0.2">
      <c r="A47" s="42" t="s">
        <v>45</v>
      </c>
      <c r="B47" s="53">
        <v>12</v>
      </c>
      <c r="C47" s="53">
        <v>14</v>
      </c>
      <c r="D47" s="53">
        <v>336</v>
      </c>
      <c r="E47" s="53">
        <v>255</v>
      </c>
    </row>
    <row r="48" spans="1:5" x14ac:dyDescent="0.2">
      <c r="A48" s="42" t="s">
        <v>46</v>
      </c>
      <c r="B48" s="53">
        <v>58</v>
      </c>
      <c r="C48" s="53">
        <v>47</v>
      </c>
      <c r="D48" s="53">
        <v>2001</v>
      </c>
      <c r="E48" s="53">
        <v>1539</v>
      </c>
    </row>
    <row r="49" spans="1:5" x14ac:dyDescent="0.2">
      <c r="A49" s="42" t="s">
        <v>47</v>
      </c>
      <c r="B49" s="53">
        <v>0</v>
      </c>
      <c r="C49" s="53">
        <v>0</v>
      </c>
      <c r="D49" s="53">
        <v>8</v>
      </c>
      <c r="E49" s="53">
        <v>12</v>
      </c>
    </row>
    <row r="50" spans="1:5" x14ac:dyDescent="0.2">
      <c r="A50" s="42" t="s">
        <v>48</v>
      </c>
      <c r="B50" s="53">
        <v>24</v>
      </c>
      <c r="C50" s="53">
        <v>16</v>
      </c>
      <c r="D50" s="53">
        <v>751</v>
      </c>
      <c r="E50" s="53">
        <v>580</v>
      </c>
    </row>
    <row r="51" spans="1:5" x14ac:dyDescent="0.2">
      <c r="A51" s="42" t="s">
        <v>49</v>
      </c>
      <c r="B51" s="53">
        <v>2</v>
      </c>
      <c r="C51" s="53">
        <v>4</v>
      </c>
      <c r="D51" s="53">
        <v>70</v>
      </c>
      <c r="E51" s="53">
        <v>83</v>
      </c>
    </row>
    <row r="52" spans="1:5" x14ac:dyDescent="0.2">
      <c r="A52" s="42" t="s">
        <v>50</v>
      </c>
      <c r="B52" s="53">
        <v>2</v>
      </c>
      <c r="C52" s="53">
        <v>1</v>
      </c>
      <c r="D52" s="53">
        <v>57</v>
      </c>
      <c r="E52" s="53">
        <v>91</v>
      </c>
    </row>
    <row r="53" spans="1:5" x14ac:dyDescent="0.2">
      <c r="A53" s="42" t="s">
        <v>51</v>
      </c>
      <c r="B53" s="53">
        <v>520</v>
      </c>
      <c r="C53" s="53">
        <v>76</v>
      </c>
      <c r="D53" s="53">
        <v>8299</v>
      </c>
      <c r="E53" s="53">
        <v>1799</v>
      </c>
    </row>
    <row r="54" spans="1:5" x14ac:dyDescent="0.2">
      <c r="A54" s="42" t="s">
        <v>52</v>
      </c>
      <c r="B54" s="53">
        <v>2</v>
      </c>
      <c r="C54" s="53">
        <v>1</v>
      </c>
      <c r="D54" s="53">
        <v>82</v>
      </c>
      <c r="E54" s="53">
        <v>102</v>
      </c>
    </row>
    <row r="55" spans="1:5" x14ac:dyDescent="0.2">
      <c r="A55" s="42" t="s">
        <v>53</v>
      </c>
      <c r="B55" s="53">
        <v>0</v>
      </c>
      <c r="C55" s="53">
        <v>1</v>
      </c>
      <c r="D55" s="53">
        <v>7</v>
      </c>
      <c r="E55" s="53">
        <v>17</v>
      </c>
    </row>
    <row r="56" spans="1:5" x14ac:dyDescent="0.2">
      <c r="A56" s="42" t="s">
        <v>54</v>
      </c>
      <c r="B56" s="53">
        <v>1</v>
      </c>
      <c r="C56" s="53">
        <v>4</v>
      </c>
      <c r="D56" s="53">
        <v>141</v>
      </c>
      <c r="E56" s="53">
        <v>181</v>
      </c>
    </row>
    <row r="57" spans="1:5" x14ac:dyDescent="0.2">
      <c r="A57" s="42" t="s">
        <v>55</v>
      </c>
      <c r="B57" s="53">
        <v>0</v>
      </c>
      <c r="C57" s="53">
        <v>2</v>
      </c>
      <c r="D57" s="53">
        <v>12</v>
      </c>
      <c r="E57" s="53">
        <v>20</v>
      </c>
    </row>
    <row r="58" spans="1:5" x14ac:dyDescent="0.2">
      <c r="A58" s="42" t="s">
        <v>56</v>
      </c>
      <c r="B58" s="53">
        <v>0</v>
      </c>
      <c r="C58" s="53">
        <v>1</v>
      </c>
      <c r="D58" s="53">
        <v>63</v>
      </c>
      <c r="E58" s="53">
        <v>88</v>
      </c>
    </row>
    <row r="59" spans="1:5" x14ac:dyDescent="0.2">
      <c r="A59" s="42" t="s">
        <v>57</v>
      </c>
      <c r="B59" s="53">
        <v>0</v>
      </c>
      <c r="C59" s="53">
        <v>1</v>
      </c>
      <c r="D59" s="53">
        <v>1</v>
      </c>
      <c r="E59" s="53">
        <v>10</v>
      </c>
    </row>
    <row r="60" spans="1:5" x14ac:dyDescent="0.2">
      <c r="A60" s="42" t="s">
        <v>58</v>
      </c>
      <c r="B60" s="53">
        <v>0</v>
      </c>
      <c r="C60" s="53">
        <v>3</v>
      </c>
      <c r="D60" s="53">
        <v>34</v>
      </c>
      <c r="E60" s="53">
        <v>43</v>
      </c>
    </row>
    <row r="61" spans="1:5" x14ac:dyDescent="0.2">
      <c r="A61" s="42" t="s">
        <v>59</v>
      </c>
      <c r="B61" s="53">
        <v>1</v>
      </c>
      <c r="C61" s="53">
        <v>4</v>
      </c>
      <c r="D61" s="53">
        <v>29</v>
      </c>
      <c r="E61" s="53">
        <v>51</v>
      </c>
    </row>
    <row r="62" spans="1:5" x14ac:dyDescent="0.2">
      <c r="A62" s="42" t="s">
        <v>60</v>
      </c>
      <c r="B62" s="53">
        <v>0</v>
      </c>
      <c r="C62" s="53">
        <v>1</v>
      </c>
      <c r="D62" s="53">
        <v>15</v>
      </c>
      <c r="E62" s="53">
        <v>36</v>
      </c>
    </row>
    <row r="63" spans="1:5" x14ac:dyDescent="0.2">
      <c r="A63" s="42" t="s">
        <v>61</v>
      </c>
      <c r="B63" s="53">
        <v>3</v>
      </c>
      <c r="C63" s="53">
        <v>2</v>
      </c>
      <c r="D63" s="53">
        <v>44</v>
      </c>
      <c r="E63" s="53">
        <v>63</v>
      </c>
    </row>
    <row r="64" spans="1:5" x14ac:dyDescent="0.2">
      <c r="A64" s="42" t="s">
        <v>62</v>
      </c>
      <c r="B64" s="53">
        <v>0</v>
      </c>
      <c r="C64" s="53">
        <v>1</v>
      </c>
      <c r="D64" s="53">
        <v>27</v>
      </c>
      <c r="E64" s="53">
        <v>46</v>
      </c>
    </row>
    <row r="65" spans="1:5" x14ac:dyDescent="0.2">
      <c r="A65" s="42" t="s">
        <v>63</v>
      </c>
      <c r="B65" s="53">
        <v>3</v>
      </c>
      <c r="C65" s="53">
        <v>5</v>
      </c>
      <c r="D65" s="53">
        <v>192</v>
      </c>
      <c r="E65" s="53">
        <v>234</v>
      </c>
    </row>
    <row r="66" spans="1:5" x14ac:dyDescent="0.2">
      <c r="A66" s="42" t="s">
        <v>64</v>
      </c>
      <c r="B66" s="53">
        <v>2</v>
      </c>
      <c r="C66" s="53">
        <v>1</v>
      </c>
      <c r="D66" s="53">
        <v>53</v>
      </c>
      <c r="E66" s="53">
        <v>58</v>
      </c>
    </row>
    <row r="67" spans="1:5" x14ac:dyDescent="0.2">
      <c r="A67" s="42" t="s">
        <v>65</v>
      </c>
      <c r="B67" s="53">
        <v>8</v>
      </c>
      <c r="C67" s="53">
        <v>13</v>
      </c>
      <c r="D67" s="53">
        <v>343</v>
      </c>
      <c r="E67" s="53">
        <v>393</v>
      </c>
    </row>
    <row r="68" spans="1:5" x14ac:dyDescent="0.2">
      <c r="A68" s="42" t="s">
        <v>66</v>
      </c>
      <c r="B68" s="53">
        <v>1</v>
      </c>
      <c r="C68" s="53">
        <v>1</v>
      </c>
      <c r="D68" s="53">
        <v>34</v>
      </c>
      <c r="E68" s="53">
        <v>59</v>
      </c>
    </row>
    <row r="69" spans="1:5" x14ac:dyDescent="0.2">
      <c r="A69" s="42" t="s">
        <v>67</v>
      </c>
      <c r="B69" s="53">
        <v>25</v>
      </c>
      <c r="C69" s="53">
        <v>36</v>
      </c>
      <c r="D69" s="53">
        <v>1099</v>
      </c>
      <c r="E69" s="53">
        <v>1103</v>
      </c>
    </row>
    <row r="70" spans="1:5" x14ac:dyDescent="0.2">
      <c r="A70" s="39" t="s">
        <v>68</v>
      </c>
      <c r="B70" s="43">
        <f>SUM(B3:B69)</f>
        <v>1292</v>
      </c>
      <c r="C70" s="43">
        <f>SUM(C3:C69)</f>
        <v>615</v>
      </c>
      <c r="D70" s="43">
        <f t="shared" ref="D70:E70" si="0">SUM(D3:D69)</f>
        <v>28592</v>
      </c>
      <c r="E70" s="43">
        <f t="shared" si="0"/>
        <v>19400</v>
      </c>
    </row>
    <row r="71" spans="1:5" x14ac:dyDescent="0.2">
      <c r="D71" s="89"/>
      <c r="E71" s="89"/>
    </row>
    <row r="72" spans="1:5" x14ac:dyDescent="0.2">
      <c r="B72" s="29"/>
      <c r="C72" s="29"/>
      <c r="D72" s="29"/>
      <c r="E72" s="29"/>
    </row>
    <row r="73" spans="1:5" x14ac:dyDescent="0.2">
      <c r="D73" s="89"/>
      <c r="E73" s="89"/>
    </row>
    <row r="74" spans="1:5" x14ac:dyDescent="0.2">
      <c r="D74" s="89"/>
      <c r="E74" s="89"/>
    </row>
    <row r="75" spans="1:5" x14ac:dyDescent="0.2">
      <c r="B75" s="29"/>
      <c r="D75" s="89"/>
      <c r="E75" s="89"/>
    </row>
    <row r="76" spans="1:5" x14ac:dyDescent="0.2">
      <c r="B76" s="29"/>
      <c r="D76" s="89"/>
      <c r="E76" s="89"/>
    </row>
    <row r="77" spans="1:5" x14ac:dyDescent="0.2">
      <c r="B77" s="29"/>
      <c r="D77" s="89"/>
      <c r="E77" s="89"/>
    </row>
    <row r="78" spans="1:5" x14ac:dyDescent="0.2">
      <c r="B78" s="29"/>
      <c r="D78" s="89"/>
      <c r="E78" s="89"/>
    </row>
    <row r="79" spans="1:5" x14ac:dyDescent="0.2">
      <c r="D79" s="89"/>
      <c r="E79" s="89"/>
    </row>
    <row r="80" spans="1:5" x14ac:dyDescent="0.2">
      <c r="D80" s="89"/>
      <c r="E80" s="89"/>
    </row>
    <row r="81" spans="4:5" x14ac:dyDescent="0.2">
      <c r="D81" s="89"/>
      <c r="E81" s="89"/>
    </row>
    <row r="82" spans="4:5" x14ac:dyDescent="0.2">
      <c r="D82" s="89"/>
      <c r="E82" s="89"/>
    </row>
    <row r="83" spans="4:5" x14ac:dyDescent="0.2">
      <c r="D83" s="89"/>
      <c r="E83" s="89"/>
    </row>
    <row r="84" spans="4:5" x14ac:dyDescent="0.2">
      <c r="D84" s="89"/>
      <c r="E84" s="89"/>
    </row>
    <row r="85" spans="4:5" x14ac:dyDescent="0.2">
      <c r="D85" s="89"/>
      <c r="E85" s="89"/>
    </row>
    <row r="86" spans="4:5" x14ac:dyDescent="0.2">
      <c r="D86" s="89"/>
      <c r="E86" s="89"/>
    </row>
    <row r="87" spans="4:5" x14ac:dyDescent="0.2">
      <c r="D87" s="89"/>
      <c r="E87" s="89"/>
    </row>
    <row r="88" spans="4:5" x14ac:dyDescent="0.2">
      <c r="D88" s="89"/>
      <c r="E88" s="89"/>
    </row>
    <row r="89" spans="4:5" x14ac:dyDescent="0.2">
      <c r="D89" s="89"/>
      <c r="E89" s="89"/>
    </row>
    <row r="90" spans="4:5" x14ac:dyDescent="0.2">
      <c r="D90" s="89"/>
      <c r="E90" s="89"/>
    </row>
    <row r="91" spans="4:5" x14ac:dyDescent="0.2">
      <c r="D91" s="89"/>
      <c r="E91" s="89"/>
    </row>
    <row r="92" spans="4:5" x14ac:dyDescent="0.2">
      <c r="D92" s="89"/>
      <c r="E92" s="89"/>
    </row>
    <row r="93" spans="4:5" x14ac:dyDescent="0.2">
      <c r="D93" s="89"/>
      <c r="E93" s="89"/>
    </row>
    <row r="94" spans="4:5" x14ac:dyDescent="0.2">
      <c r="D94" s="89"/>
      <c r="E94" s="89"/>
    </row>
    <row r="95" spans="4:5" x14ac:dyDescent="0.2">
      <c r="D95" s="89"/>
      <c r="E95" s="89"/>
    </row>
    <row r="96" spans="4:5" x14ac:dyDescent="0.2">
      <c r="D96" s="89"/>
      <c r="E96" s="89"/>
    </row>
    <row r="97" spans="4:5" x14ac:dyDescent="0.2">
      <c r="D97" s="89"/>
      <c r="E97" s="89"/>
    </row>
    <row r="98" spans="4:5" x14ac:dyDescent="0.2">
      <c r="D98" s="89"/>
      <c r="E98" s="89"/>
    </row>
    <row r="99" spans="4:5" x14ac:dyDescent="0.2">
      <c r="D99" s="89"/>
      <c r="E99" s="89"/>
    </row>
    <row r="100" spans="4:5" x14ac:dyDescent="0.2">
      <c r="D100" s="89"/>
      <c r="E100" s="89"/>
    </row>
    <row r="101" spans="4:5" x14ac:dyDescent="0.2">
      <c r="D101" s="89"/>
      <c r="E101" s="89"/>
    </row>
    <row r="102" spans="4:5" x14ac:dyDescent="0.2">
      <c r="D102" s="89"/>
      <c r="E102" s="89"/>
    </row>
    <row r="103" spans="4:5" x14ac:dyDescent="0.2">
      <c r="D103" s="89"/>
      <c r="E103" s="89"/>
    </row>
    <row r="104" spans="4:5" x14ac:dyDescent="0.2">
      <c r="D104" s="89"/>
      <c r="E104" s="89"/>
    </row>
    <row r="105" spans="4:5" x14ac:dyDescent="0.2">
      <c r="D105" s="89"/>
      <c r="E105" s="89"/>
    </row>
    <row r="106" spans="4:5" x14ac:dyDescent="0.2">
      <c r="D106" s="89"/>
      <c r="E106" s="89"/>
    </row>
    <row r="107" spans="4:5" x14ac:dyDescent="0.2">
      <c r="D107" s="89"/>
      <c r="E107" s="89"/>
    </row>
    <row r="108" spans="4:5" x14ac:dyDescent="0.2">
      <c r="D108" s="89"/>
      <c r="E108" s="89"/>
    </row>
    <row r="109" spans="4:5" x14ac:dyDescent="0.2">
      <c r="D109" s="89"/>
      <c r="E109" s="89"/>
    </row>
    <row r="110" spans="4:5" x14ac:dyDescent="0.2">
      <c r="D110" s="89"/>
      <c r="E110" s="89"/>
    </row>
    <row r="111" spans="4:5" x14ac:dyDescent="0.2">
      <c r="D111" s="89"/>
      <c r="E111" s="89"/>
    </row>
    <row r="112" spans="4:5" x14ac:dyDescent="0.2">
      <c r="D112" s="89"/>
      <c r="E112" s="89"/>
    </row>
    <row r="113" spans="4:5" x14ac:dyDescent="0.2">
      <c r="D113" s="89"/>
      <c r="E113" s="89"/>
    </row>
    <row r="114" spans="4:5" x14ac:dyDescent="0.2">
      <c r="D114" s="89"/>
      <c r="E114" s="89"/>
    </row>
    <row r="115" spans="4:5" x14ac:dyDescent="0.2">
      <c r="D115" s="89"/>
      <c r="E115" s="89"/>
    </row>
    <row r="116" spans="4:5" x14ac:dyDescent="0.2">
      <c r="D116" s="89"/>
      <c r="E116" s="89"/>
    </row>
    <row r="117" spans="4:5" x14ac:dyDescent="0.2">
      <c r="D117" s="89"/>
      <c r="E117" s="89"/>
    </row>
    <row r="118" spans="4:5" x14ac:dyDescent="0.2">
      <c r="D118" s="89"/>
      <c r="E118" s="89"/>
    </row>
    <row r="119" spans="4:5" x14ac:dyDescent="0.2">
      <c r="D119" s="89"/>
      <c r="E119" s="89"/>
    </row>
    <row r="120" spans="4:5" x14ac:dyDescent="0.2">
      <c r="D120" s="89"/>
      <c r="E120" s="89"/>
    </row>
    <row r="121" spans="4:5" x14ac:dyDescent="0.2">
      <c r="D121" s="89"/>
      <c r="E121" s="89"/>
    </row>
    <row r="122" spans="4:5" x14ac:dyDescent="0.2">
      <c r="D122" s="89"/>
      <c r="E122" s="89"/>
    </row>
    <row r="123" spans="4:5" x14ac:dyDescent="0.2">
      <c r="D123" s="89"/>
      <c r="E123" s="89"/>
    </row>
    <row r="124" spans="4:5" x14ac:dyDescent="0.2">
      <c r="D124" s="89"/>
      <c r="E124" s="89"/>
    </row>
    <row r="125" spans="4:5" x14ac:dyDescent="0.2">
      <c r="D125" s="89"/>
      <c r="E125" s="89"/>
    </row>
    <row r="126" spans="4:5" x14ac:dyDescent="0.2">
      <c r="D126" s="89"/>
      <c r="E126" s="89"/>
    </row>
    <row r="127" spans="4:5" x14ac:dyDescent="0.2">
      <c r="D127" s="89"/>
      <c r="E127" s="89"/>
    </row>
    <row r="128" spans="4:5" x14ac:dyDescent="0.2">
      <c r="D128" s="89"/>
      <c r="E128" s="89"/>
    </row>
    <row r="129" spans="4:5" x14ac:dyDescent="0.2">
      <c r="D129" s="89"/>
      <c r="E129" s="89"/>
    </row>
    <row r="130" spans="4:5" x14ac:dyDescent="0.2">
      <c r="D130" s="89"/>
      <c r="E130" s="89"/>
    </row>
    <row r="131" spans="4:5" x14ac:dyDescent="0.2">
      <c r="D131" s="89"/>
      <c r="E131" s="89"/>
    </row>
    <row r="132" spans="4:5" x14ac:dyDescent="0.2">
      <c r="D132" s="89"/>
      <c r="E132" s="89"/>
    </row>
    <row r="133" spans="4:5" x14ac:dyDescent="0.2">
      <c r="D133" s="89"/>
      <c r="E133" s="89"/>
    </row>
    <row r="134" spans="4:5" x14ac:dyDescent="0.2">
      <c r="D134" s="89"/>
      <c r="E134" s="89"/>
    </row>
    <row r="135" spans="4:5" x14ac:dyDescent="0.2">
      <c r="D135" s="89"/>
      <c r="E135" s="89"/>
    </row>
    <row r="136" spans="4:5" x14ac:dyDescent="0.2">
      <c r="D136" s="89"/>
      <c r="E136" s="89"/>
    </row>
    <row r="137" spans="4:5" x14ac:dyDescent="0.2">
      <c r="D137" s="90"/>
      <c r="E137" s="90"/>
    </row>
    <row r="138" spans="4:5" ht="15" x14ac:dyDescent="0.2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40625" defaultRowHeight="12.75" x14ac:dyDescent="0.2"/>
  <cols>
    <col min="1" max="1" width="19.140625" style="11" bestFit="1" customWidth="1"/>
    <col min="2" max="3" width="19.42578125" style="31" customWidth="1"/>
    <col min="4" max="5" width="19.140625" style="29" customWidth="1"/>
    <col min="6" max="6" width="18.140625" style="29" customWidth="1"/>
    <col min="7" max="7" width="17.710937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703125" style="30" customWidth="1"/>
    <col min="27" max="27" width="18" style="22" customWidth="1"/>
    <col min="28" max="28" width="21.28515625" style="29" customWidth="1"/>
    <col min="29" max="29" width="18" style="29" bestFit="1" customWidth="1"/>
    <col min="30" max="31" width="18.5703125" style="29" bestFit="1" customWidth="1"/>
    <col min="32" max="32" width="17.85546875" style="29" bestFit="1" customWidth="1"/>
    <col min="33" max="33" width="21" style="29" customWidth="1"/>
    <col min="34" max="34" width="27.28515625" style="29" customWidth="1"/>
    <col min="35" max="16384" width="9.140625" style="29"/>
  </cols>
  <sheetData>
    <row r="1" spans="1:34" x14ac:dyDescent="0.2">
      <c r="A1" s="47"/>
      <c r="B1" s="80" t="s">
        <v>97</v>
      </c>
      <c r="C1" s="80"/>
      <c r="D1" s="82" t="s">
        <v>98</v>
      </c>
      <c r="E1" s="82"/>
      <c r="F1" s="51" t="s">
        <v>96</v>
      </c>
      <c r="G1" s="80" t="s">
        <v>100</v>
      </c>
      <c r="H1" s="80"/>
      <c r="I1" s="80"/>
      <c r="J1" s="82" t="s">
        <v>101</v>
      </c>
      <c r="K1" s="82"/>
      <c r="L1" s="80" t="s">
        <v>105</v>
      </c>
      <c r="M1" s="80"/>
      <c r="N1" s="82" t="s">
        <v>106</v>
      </c>
      <c r="O1" s="82"/>
      <c r="P1" s="80" t="s">
        <v>107</v>
      </c>
      <c r="Q1" s="80"/>
      <c r="R1" s="80" t="s">
        <v>110</v>
      </c>
      <c r="S1" s="80"/>
      <c r="T1" s="80" t="s">
        <v>112</v>
      </c>
      <c r="U1" s="80"/>
      <c r="V1" s="80" t="s">
        <v>113</v>
      </c>
      <c r="W1" s="80"/>
      <c r="X1" s="86" t="s">
        <v>116</v>
      </c>
      <c r="Y1" s="86"/>
      <c r="Z1" s="93" t="s">
        <v>118</v>
      </c>
      <c r="AA1" s="94"/>
      <c r="AB1" s="93" t="s">
        <v>123</v>
      </c>
      <c r="AC1" s="94"/>
      <c r="AD1" s="93" t="s">
        <v>124</v>
      </c>
      <c r="AE1" s="94"/>
      <c r="AF1" s="82" t="s">
        <v>126</v>
      </c>
      <c r="AG1" s="82"/>
      <c r="AH1" s="82"/>
    </row>
    <row r="2" spans="1:34" x14ac:dyDescent="0.2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">
      <c r="Z71" s="89"/>
      <c r="AA71" s="89"/>
    </row>
    <row r="72" spans="1:34" x14ac:dyDescent="0.2">
      <c r="Z72" s="29"/>
      <c r="AA72" s="29"/>
    </row>
    <row r="73" spans="1:34" x14ac:dyDescent="0.2">
      <c r="Z73" s="89"/>
      <c r="AA73" s="89"/>
    </row>
    <row r="74" spans="1:34" x14ac:dyDescent="0.2">
      <c r="Z74" s="89"/>
      <c r="AA74" s="89"/>
    </row>
    <row r="75" spans="1:34" x14ac:dyDescent="0.2">
      <c r="Z75" s="89"/>
      <c r="AA75" s="89"/>
    </row>
    <row r="76" spans="1:34" x14ac:dyDescent="0.2">
      <c r="Z76" s="89"/>
      <c r="AA76" s="89"/>
    </row>
    <row r="77" spans="1:34" x14ac:dyDescent="0.2">
      <c r="Z77" s="89"/>
      <c r="AA77" s="89"/>
    </row>
    <row r="78" spans="1:34" x14ac:dyDescent="0.2">
      <c r="Z78" s="89"/>
      <c r="AA78" s="89"/>
    </row>
    <row r="79" spans="1:34" x14ac:dyDescent="0.2">
      <c r="Z79" s="89"/>
      <c r="AA79" s="89"/>
    </row>
    <row r="80" spans="1:34" x14ac:dyDescent="0.2">
      <c r="Z80" s="89"/>
      <c r="AA80" s="89"/>
    </row>
    <row r="81" spans="26:27" x14ac:dyDescent="0.2">
      <c r="Z81" s="89"/>
      <c r="AA81" s="89"/>
    </row>
    <row r="82" spans="26:27" x14ac:dyDescent="0.2">
      <c r="Z82" s="89"/>
      <c r="AA82" s="89"/>
    </row>
    <row r="83" spans="26:27" x14ac:dyDescent="0.2">
      <c r="Z83" s="89"/>
      <c r="AA83" s="89"/>
    </row>
    <row r="84" spans="26:27" x14ac:dyDescent="0.2">
      <c r="Z84" s="89"/>
      <c r="AA84" s="89"/>
    </row>
    <row r="85" spans="26:27" x14ac:dyDescent="0.2">
      <c r="Z85" s="89"/>
      <c r="AA85" s="89"/>
    </row>
    <row r="86" spans="26:27" x14ac:dyDescent="0.2">
      <c r="Z86" s="89"/>
      <c r="AA86" s="89"/>
    </row>
    <row r="87" spans="26:27" x14ac:dyDescent="0.2">
      <c r="Z87" s="89"/>
      <c r="AA87" s="89"/>
    </row>
    <row r="88" spans="26:27" x14ac:dyDescent="0.2">
      <c r="Z88" s="89"/>
      <c r="AA88" s="89"/>
    </row>
    <row r="89" spans="26:27" x14ac:dyDescent="0.2">
      <c r="Z89" s="89"/>
      <c r="AA89" s="89"/>
    </row>
    <row r="90" spans="26:27" x14ac:dyDescent="0.2">
      <c r="Z90" s="89"/>
      <c r="AA90" s="89"/>
    </row>
    <row r="91" spans="26:27" x14ac:dyDescent="0.2">
      <c r="Z91" s="89"/>
      <c r="AA91" s="89"/>
    </row>
    <row r="92" spans="26:27" x14ac:dyDescent="0.2">
      <c r="Z92" s="89"/>
      <c r="AA92" s="89"/>
    </row>
    <row r="93" spans="26:27" x14ac:dyDescent="0.2">
      <c r="Z93" s="89"/>
      <c r="AA93" s="89"/>
    </row>
    <row r="94" spans="26:27" x14ac:dyDescent="0.2">
      <c r="Z94" s="89"/>
      <c r="AA94" s="89"/>
    </row>
    <row r="95" spans="26:27" x14ac:dyDescent="0.2">
      <c r="Z95" s="89"/>
      <c r="AA95" s="89"/>
    </row>
    <row r="96" spans="26:27" x14ac:dyDescent="0.2">
      <c r="Z96" s="89"/>
      <c r="AA96" s="89"/>
    </row>
    <row r="97" spans="26:27" x14ac:dyDescent="0.2">
      <c r="Z97" s="89"/>
      <c r="AA97" s="89"/>
    </row>
    <row r="98" spans="26:27" x14ac:dyDescent="0.2">
      <c r="Z98" s="89"/>
      <c r="AA98" s="89"/>
    </row>
    <row r="99" spans="26:27" x14ac:dyDescent="0.2">
      <c r="Z99" s="89"/>
      <c r="AA99" s="89"/>
    </row>
    <row r="100" spans="26:27" x14ac:dyDescent="0.2">
      <c r="Z100" s="89"/>
      <c r="AA100" s="89"/>
    </row>
    <row r="101" spans="26:27" x14ac:dyDescent="0.2">
      <c r="Z101" s="89"/>
      <c r="AA101" s="89"/>
    </row>
    <row r="102" spans="26:27" x14ac:dyDescent="0.2">
      <c r="Z102" s="89"/>
      <c r="AA102" s="89"/>
    </row>
    <row r="103" spans="26:27" x14ac:dyDescent="0.2">
      <c r="Z103" s="89"/>
      <c r="AA103" s="89"/>
    </row>
    <row r="104" spans="26:27" x14ac:dyDescent="0.2">
      <c r="Z104" s="89"/>
      <c r="AA104" s="89"/>
    </row>
    <row r="105" spans="26:27" x14ac:dyDescent="0.2">
      <c r="Z105" s="89"/>
      <c r="AA105" s="89"/>
    </row>
    <row r="106" spans="26:27" x14ac:dyDescent="0.2">
      <c r="Z106" s="89"/>
      <c r="AA106" s="89"/>
    </row>
    <row r="107" spans="26:27" x14ac:dyDescent="0.2">
      <c r="Z107" s="89"/>
      <c r="AA107" s="89"/>
    </row>
    <row r="108" spans="26:27" x14ac:dyDescent="0.2">
      <c r="Z108" s="89"/>
      <c r="AA108" s="89"/>
    </row>
    <row r="109" spans="26:27" x14ac:dyDescent="0.2">
      <c r="Z109" s="89"/>
      <c r="AA109" s="89"/>
    </row>
    <row r="110" spans="26:27" x14ac:dyDescent="0.2">
      <c r="Z110" s="89"/>
      <c r="AA110" s="89"/>
    </row>
    <row r="111" spans="26:27" x14ac:dyDescent="0.2">
      <c r="Z111" s="89"/>
      <c r="AA111" s="89"/>
    </row>
    <row r="112" spans="26:27" x14ac:dyDescent="0.2">
      <c r="Z112" s="89"/>
      <c r="AA112" s="89"/>
    </row>
    <row r="113" spans="26:27" x14ac:dyDescent="0.2">
      <c r="Z113" s="89"/>
      <c r="AA113" s="89"/>
    </row>
    <row r="114" spans="26:27" x14ac:dyDescent="0.2">
      <c r="Z114" s="89"/>
      <c r="AA114" s="89"/>
    </row>
    <row r="115" spans="26:27" x14ac:dyDescent="0.2">
      <c r="Z115" s="89"/>
      <c r="AA115" s="89"/>
    </row>
    <row r="116" spans="26:27" x14ac:dyDescent="0.2">
      <c r="Z116" s="89"/>
      <c r="AA116" s="89"/>
    </row>
    <row r="117" spans="26:27" x14ac:dyDescent="0.2">
      <c r="Z117" s="89"/>
      <c r="AA117" s="89"/>
    </row>
    <row r="118" spans="26:27" x14ac:dyDescent="0.2">
      <c r="Z118" s="89"/>
      <c r="AA118" s="89"/>
    </row>
    <row r="119" spans="26:27" x14ac:dyDescent="0.2">
      <c r="Z119" s="89"/>
      <c r="AA119" s="89"/>
    </row>
    <row r="120" spans="26:27" x14ac:dyDescent="0.2">
      <c r="Z120" s="89"/>
      <c r="AA120" s="89"/>
    </row>
    <row r="121" spans="26:27" x14ac:dyDescent="0.2">
      <c r="Z121" s="89"/>
      <c r="AA121" s="89"/>
    </row>
    <row r="122" spans="26:27" x14ac:dyDescent="0.2">
      <c r="Z122" s="89"/>
      <c r="AA122" s="89"/>
    </row>
    <row r="123" spans="26:27" x14ac:dyDescent="0.2">
      <c r="Z123" s="89"/>
      <c r="AA123" s="89"/>
    </row>
    <row r="124" spans="26:27" x14ac:dyDescent="0.2">
      <c r="Z124" s="89"/>
      <c r="AA124" s="89"/>
    </row>
    <row r="125" spans="26:27" x14ac:dyDescent="0.2">
      <c r="Z125" s="89"/>
      <c r="AA125" s="89"/>
    </row>
    <row r="126" spans="26:27" x14ac:dyDescent="0.2">
      <c r="Z126" s="89"/>
      <c r="AA126" s="89"/>
    </row>
    <row r="127" spans="26:27" x14ac:dyDescent="0.2">
      <c r="Z127" s="89"/>
      <c r="AA127" s="89"/>
    </row>
    <row r="128" spans="26:27" x14ac:dyDescent="0.2">
      <c r="Z128" s="89"/>
      <c r="AA128" s="89"/>
    </row>
    <row r="129" spans="26:27" x14ac:dyDescent="0.2">
      <c r="Z129" s="89"/>
      <c r="AA129" s="89"/>
    </row>
    <row r="130" spans="26:27" x14ac:dyDescent="0.2">
      <c r="Z130" s="89"/>
      <c r="AA130" s="89"/>
    </row>
    <row r="131" spans="26:27" x14ac:dyDescent="0.2">
      <c r="Z131" s="89"/>
      <c r="AA131" s="89"/>
    </row>
    <row r="132" spans="26:27" x14ac:dyDescent="0.2">
      <c r="Z132" s="89"/>
      <c r="AA132" s="89"/>
    </row>
    <row r="133" spans="26:27" x14ac:dyDescent="0.2">
      <c r="Z133" s="89"/>
      <c r="AA133" s="89"/>
    </row>
    <row r="134" spans="26:27" x14ac:dyDescent="0.2">
      <c r="Z134" s="89"/>
      <c r="AA134" s="89"/>
    </row>
    <row r="135" spans="26:27" x14ac:dyDescent="0.2">
      <c r="Z135" s="89"/>
      <c r="AA135" s="89"/>
    </row>
    <row r="136" spans="26:27" x14ac:dyDescent="0.2">
      <c r="Z136" s="89"/>
      <c r="AA136" s="89"/>
    </row>
    <row r="137" spans="26:27" x14ac:dyDescent="0.2">
      <c r="Z137" s="90"/>
      <c r="AA137" s="90"/>
    </row>
    <row r="138" spans="26:27" ht="15" x14ac:dyDescent="0.2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0" sqref="I10:J10"/>
    </sheetView>
  </sheetViews>
  <sheetFormatPr defaultColWidth="9.140625" defaultRowHeight="12.75" x14ac:dyDescent="0.2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9" x14ac:dyDescent="0.2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9" x14ac:dyDescent="0.2">
      <c r="A2" s="11" t="s">
        <v>1</v>
      </c>
      <c r="B2" s="11">
        <v>6297</v>
      </c>
      <c r="C2" s="11">
        <v>10687</v>
      </c>
      <c r="D2" s="11">
        <v>10921</v>
      </c>
      <c r="E2" s="11">
        <v>10062</v>
      </c>
      <c r="F2" s="11">
        <v>13759</v>
      </c>
      <c r="G2" s="11">
        <v>14115</v>
      </c>
      <c r="H2" s="11">
        <v>11085</v>
      </c>
      <c r="I2" s="11" t="s">
        <v>131</v>
      </c>
    </row>
    <row r="3" spans="1:9" x14ac:dyDescent="0.2">
      <c r="A3" s="11" t="s">
        <v>2</v>
      </c>
      <c r="B3" s="11">
        <v>80905</v>
      </c>
      <c r="C3" s="11">
        <v>172911</v>
      </c>
      <c r="D3" s="11">
        <v>162717</v>
      </c>
      <c r="E3" s="11">
        <v>123743</v>
      </c>
      <c r="F3" s="11">
        <v>131489</v>
      </c>
      <c r="G3" s="11">
        <v>139655</v>
      </c>
      <c r="H3" s="11">
        <v>110005</v>
      </c>
    </row>
    <row r="4" spans="1:9" x14ac:dyDescent="0.2">
      <c r="A4" s="11" t="s">
        <v>3</v>
      </c>
      <c r="B4" s="11">
        <v>3137</v>
      </c>
      <c r="C4" s="11">
        <v>5613</v>
      </c>
      <c r="D4" s="11">
        <v>6144</v>
      </c>
      <c r="E4" s="11">
        <v>6402</v>
      </c>
      <c r="F4" s="11">
        <v>7695</v>
      </c>
      <c r="G4" s="11">
        <v>8268</v>
      </c>
      <c r="H4" s="11">
        <v>6399</v>
      </c>
    </row>
    <row r="5" spans="1:9" x14ac:dyDescent="0.2">
      <c r="A5" s="11" t="s">
        <v>4</v>
      </c>
      <c r="B5" s="11">
        <v>7537</v>
      </c>
      <c r="C5" s="11">
        <v>16047</v>
      </c>
      <c r="D5" s="11">
        <v>17919</v>
      </c>
      <c r="E5" s="11">
        <v>16341</v>
      </c>
      <c r="F5" s="11">
        <v>19531</v>
      </c>
      <c r="G5" s="11">
        <v>21058</v>
      </c>
      <c r="H5" s="11">
        <v>15876</v>
      </c>
    </row>
    <row r="6" spans="1:9" x14ac:dyDescent="0.2">
      <c r="A6" s="11" t="s">
        <v>5</v>
      </c>
      <c r="B6" s="11">
        <v>2215</v>
      </c>
      <c r="C6" s="11">
        <v>4248</v>
      </c>
      <c r="D6" s="11">
        <v>4470</v>
      </c>
      <c r="E6" s="11">
        <v>4780</v>
      </c>
      <c r="F6" s="11">
        <v>6040</v>
      </c>
      <c r="G6" s="11">
        <v>6355</v>
      </c>
      <c r="H6" s="11">
        <v>4953</v>
      </c>
    </row>
    <row r="7" spans="1:9" x14ac:dyDescent="0.2">
      <c r="A7" s="11" t="s">
        <v>6</v>
      </c>
      <c r="B7" s="11">
        <v>23521</v>
      </c>
      <c r="C7" s="11">
        <v>41929</v>
      </c>
      <c r="D7" s="11">
        <v>44098</v>
      </c>
      <c r="E7" s="11">
        <v>40684</v>
      </c>
      <c r="F7" s="11">
        <v>47576</v>
      </c>
      <c r="G7" s="11">
        <v>43091</v>
      </c>
      <c r="H7" s="11">
        <v>34053</v>
      </c>
    </row>
    <row r="8" spans="1:9" x14ac:dyDescent="0.2">
      <c r="A8" s="11" t="s">
        <v>7</v>
      </c>
      <c r="B8" s="11">
        <v>6196</v>
      </c>
      <c r="C8" s="11">
        <v>11312</v>
      </c>
      <c r="D8" s="11">
        <v>12322</v>
      </c>
      <c r="E8" s="11">
        <v>12187</v>
      </c>
      <c r="F8" s="11">
        <v>13632</v>
      </c>
      <c r="G8" s="11">
        <v>14004</v>
      </c>
      <c r="H8" s="11">
        <v>12013</v>
      </c>
    </row>
    <row r="9" spans="1:9" x14ac:dyDescent="0.2">
      <c r="A9" s="11" t="s">
        <v>8</v>
      </c>
      <c r="B9" s="11">
        <v>2918</v>
      </c>
      <c r="C9" s="11">
        <v>5298</v>
      </c>
      <c r="D9" s="11">
        <v>5785</v>
      </c>
      <c r="E9" s="11">
        <v>5389</v>
      </c>
      <c r="F9" s="11">
        <v>6990</v>
      </c>
      <c r="G9" s="11">
        <v>6923</v>
      </c>
      <c r="H9" s="11">
        <v>5690</v>
      </c>
    </row>
    <row r="10" spans="1:9" x14ac:dyDescent="0.2">
      <c r="A10" s="11" t="s">
        <v>9</v>
      </c>
      <c r="B10" s="11">
        <v>39761</v>
      </c>
      <c r="C10" s="11">
        <v>68570</v>
      </c>
      <c r="D10" s="11">
        <v>73967</v>
      </c>
      <c r="E10" s="11">
        <v>71149</v>
      </c>
      <c r="F10" s="11">
        <v>86618</v>
      </c>
      <c r="G10" s="11">
        <v>82627</v>
      </c>
      <c r="H10" s="11">
        <v>63291</v>
      </c>
    </row>
    <row r="11" spans="1:9" x14ac:dyDescent="0.2">
      <c r="A11" s="11" t="s">
        <v>10</v>
      </c>
      <c r="B11" s="11">
        <v>11208</v>
      </c>
      <c r="C11" s="11">
        <v>20580</v>
      </c>
      <c r="D11" s="11">
        <v>22672</v>
      </c>
      <c r="E11" s="11">
        <v>20896</v>
      </c>
      <c r="F11" s="11">
        <v>25046</v>
      </c>
      <c r="G11" s="11">
        <v>24664</v>
      </c>
      <c r="H11" s="11">
        <v>19061</v>
      </c>
    </row>
    <row r="12" spans="1:9" x14ac:dyDescent="0.2">
      <c r="A12" s="11" t="s">
        <v>11</v>
      </c>
      <c r="B12" s="11">
        <v>6232</v>
      </c>
      <c r="C12" s="11">
        <v>11235</v>
      </c>
      <c r="D12" s="11">
        <v>12037</v>
      </c>
      <c r="E12" s="11">
        <v>12608</v>
      </c>
      <c r="F12" s="11">
        <v>14511</v>
      </c>
      <c r="G12" s="11">
        <v>16353</v>
      </c>
      <c r="H12" s="11">
        <v>13040</v>
      </c>
    </row>
    <row r="13" spans="1:9" x14ac:dyDescent="0.2">
      <c r="A13" s="11" t="s">
        <v>12</v>
      </c>
      <c r="B13" s="11">
        <v>144</v>
      </c>
      <c r="C13" s="11">
        <v>292</v>
      </c>
      <c r="D13" s="11">
        <v>367</v>
      </c>
      <c r="E13" s="11">
        <v>346</v>
      </c>
      <c r="F13" s="11">
        <v>545</v>
      </c>
      <c r="G13" s="11">
        <v>655</v>
      </c>
      <c r="H13" s="11">
        <v>534</v>
      </c>
    </row>
    <row r="14" spans="1:9" x14ac:dyDescent="0.2">
      <c r="A14" s="11" t="s">
        <v>13</v>
      </c>
      <c r="B14" s="11">
        <v>3155</v>
      </c>
      <c r="C14" s="11">
        <v>6178</v>
      </c>
      <c r="D14" s="11">
        <v>6836</v>
      </c>
      <c r="E14" s="11">
        <v>6839</v>
      </c>
      <c r="F14" s="11">
        <v>8594</v>
      </c>
      <c r="G14" s="11">
        <v>8324</v>
      </c>
      <c r="H14" s="11">
        <v>5919</v>
      </c>
    </row>
    <row r="15" spans="1:9" x14ac:dyDescent="0.2">
      <c r="A15" s="11" t="s">
        <v>14</v>
      </c>
      <c r="B15" s="11">
        <v>17589</v>
      </c>
      <c r="C15" s="11">
        <v>19530</v>
      </c>
      <c r="D15" s="11">
        <v>13832</v>
      </c>
      <c r="E15" s="11">
        <v>12389</v>
      </c>
      <c r="F15" s="11">
        <v>13913</v>
      </c>
      <c r="G15" s="11">
        <v>13561</v>
      </c>
      <c r="H15" s="11">
        <v>11570</v>
      </c>
    </row>
    <row r="16" spans="1:9" x14ac:dyDescent="0.2">
      <c r="A16" s="11" t="s">
        <v>15</v>
      </c>
      <c r="B16" s="11">
        <v>37438</v>
      </c>
      <c r="C16" s="11">
        <v>60924</v>
      </c>
      <c r="D16" s="11">
        <v>60395</v>
      </c>
      <c r="E16" s="11">
        <v>59010</v>
      </c>
      <c r="F16" s="11">
        <v>66559</v>
      </c>
      <c r="G16" s="11">
        <v>59946</v>
      </c>
      <c r="H16" s="11">
        <v>46798</v>
      </c>
    </row>
    <row r="17" spans="1:8" x14ac:dyDescent="0.2">
      <c r="A17" s="11" t="s">
        <v>16</v>
      </c>
      <c r="B17" s="11">
        <v>1655</v>
      </c>
      <c r="C17" s="11">
        <v>3057</v>
      </c>
      <c r="D17" s="11">
        <v>3288</v>
      </c>
      <c r="E17" s="11">
        <v>3378</v>
      </c>
      <c r="F17" s="11">
        <v>4203</v>
      </c>
      <c r="G17" s="11">
        <v>4287</v>
      </c>
      <c r="H17" s="11">
        <v>3404</v>
      </c>
    </row>
    <row r="18" spans="1:8" x14ac:dyDescent="0.2">
      <c r="A18" s="11" t="s">
        <v>17</v>
      </c>
      <c r="B18" s="11">
        <v>3321</v>
      </c>
      <c r="C18" s="11">
        <v>6439</v>
      </c>
      <c r="D18" s="11">
        <v>7096</v>
      </c>
      <c r="E18" s="11">
        <v>7479</v>
      </c>
      <c r="F18" s="11">
        <v>9120</v>
      </c>
      <c r="G18" s="11">
        <v>9018</v>
      </c>
      <c r="H18" s="11">
        <v>7158</v>
      </c>
    </row>
    <row r="19" spans="1:8" x14ac:dyDescent="0.2">
      <c r="A19" s="11" t="s">
        <v>18</v>
      </c>
      <c r="B19" s="11">
        <v>1727</v>
      </c>
      <c r="C19" s="11">
        <v>3320</v>
      </c>
      <c r="D19" s="11">
        <v>3273</v>
      </c>
      <c r="E19" s="11">
        <v>3328</v>
      </c>
      <c r="F19" s="11">
        <v>3838</v>
      </c>
      <c r="G19" s="11">
        <v>3963</v>
      </c>
      <c r="H19" s="11">
        <v>3130</v>
      </c>
    </row>
    <row r="20" spans="1:8" x14ac:dyDescent="0.2">
      <c r="A20" s="11" t="s">
        <v>19</v>
      </c>
      <c r="B20" s="11">
        <v>3730</v>
      </c>
      <c r="C20" s="11">
        <v>5960</v>
      </c>
      <c r="D20" s="11">
        <v>5910</v>
      </c>
      <c r="E20" s="11">
        <v>5766</v>
      </c>
      <c r="F20" s="11">
        <v>6724</v>
      </c>
      <c r="G20" s="11">
        <v>7009</v>
      </c>
      <c r="H20" s="11">
        <v>5552</v>
      </c>
    </row>
    <row r="21" spans="1:8" x14ac:dyDescent="0.2">
      <c r="A21" s="11" t="s">
        <v>20</v>
      </c>
      <c r="B21" s="11">
        <v>3881</v>
      </c>
      <c r="C21" s="11">
        <v>6997</v>
      </c>
      <c r="D21" s="11">
        <v>7516</v>
      </c>
      <c r="E21" s="11">
        <v>7340</v>
      </c>
      <c r="F21" s="11">
        <v>9267</v>
      </c>
      <c r="G21" s="11">
        <v>9785</v>
      </c>
      <c r="H21" s="11">
        <v>8246</v>
      </c>
    </row>
    <row r="22" spans="1:8" x14ac:dyDescent="0.2">
      <c r="A22" s="11" t="s">
        <v>21</v>
      </c>
      <c r="B22" s="11">
        <v>16282</v>
      </c>
      <c r="C22" s="11">
        <v>28282</v>
      </c>
      <c r="D22" s="11">
        <v>30324</v>
      </c>
      <c r="E22" s="11">
        <v>27401</v>
      </c>
      <c r="F22" s="11">
        <v>29217</v>
      </c>
      <c r="G22" s="11">
        <v>28319</v>
      </c>
      <c r="H22" s="11">
        <v>24726</v>
      </c>
    </row>
    <row r="23" spans="1:8" x14ac:dyDescent="0.2">
      <c r="A23" s="11" t="s">
        <v>22</v>
      </c>
      <c r="B23" s="11">
        <v>17257</v>
      </c>
      <c r="C23" s="11">
        <v>34786</v>
      </c>
      <c r="D23" s="11">
        <v>34883</v>
      </c>
      <c r="E23" s="11">
        <v>30108</v>
      </c>
      <c r="F23" s="11">
        <v>32519</v>
      </c>
      <c r="G23" s="11">
        <v>30482</v>
      </c>
      <c r="H23" s="11">
        <v>22068</v>
      </c>
    </row>
    <row r="24" spans="1:8" x14ac:dyDescent="0.2">
      <c r="A24" s="11" t="s">
        <v>23</v>
      </c>
      <c r="B24" s="11">
        <v>38395</v>
      </c>
      <c r="C24" s="11">
        <v>66415</v>
      </c>
      <c r="D24" s="11">
        <v>72784</v>
      </c>
      <c r="E24" s="11">
        <v>60967</v>
      </c>
      <c r="F24" s="11">
        <v>65278</v>
      </c>
      <c r="G24" s="11">
        <v>62150</v>
      </c>
      <c r="H24" s="11">
        <v>46352</v>
      </c>
    </row>
    <row r="25" spans="1:8" x14ac:dyDescent="0.2">
      <c r="A25" s="11" t="s">
        <v>24</v>
      </c>
      <c r="B25" s="11">
        <v>1451</v>
      </c>
      <c r="C25" s="11">
        <v>2545</v>
      </c>
      <c r="D25" s="11">
        <v>2741</v>
      </c>
      <c r="E25" s="11">
        <v>2838</v>
      </c>
      <c r="F25" s="11">
        <v>3896</v>
      </c>
      <c r="G25" s="11">
        <v>3951</v>
      </c>
      <c r="H25" s="11">
        <v>3039</v>
      </c>
    </row>
    <row r="26" spans="1:8" x14ac:dyDescent="0.2">
      <c r="A26" s="11" t="s">
        <v>25</v>
      </c>
      <c r="B26" s="11">
        <v>14411</v>
      </c>
      <c r="C26" s="11">
        <v>27157</v>
      </c>
      <c r="D26" s="11">
        <v>27247</v>
      </c>
      <c r="E26" s="11">
        <v>25207</v>
      </c>
      <c r="F26" s="11">
        <v>28646</v>
      </c>
      <c r="G26" s="11">
        <v>29597</v>
      </c>
      <c r="H26" s="11">
        <v>22692</v>
      </c>
    </row>
    <row r="27" spans="1:8" x14ac:dyDescent="0.2">
      <c r="A27" s="11" t="s">
        <v>26</v>
      </c>
      <c r="B27" s="11">
        <v>5052</v>
      </c>
      <c r="C27" s="11">
        <v>10704</v>
      </c>
      <c r="D27" s="11">
        <v>11656</v>
      </c>
      <c r="E27" s="11">
        <v>12057</v>
      </c>
      <c r="F27" s="11">
        <v>14066</v>
      </c>
      <c r="G27" s="11">
        <v>14666</v>
      </c>
      <c r="H27" s="11">
        <v>11404</v>
      </c>
    </row>
    <row r="28" spans="1:8" x14ac:dyDescent="0.2">
      <c r="A28" s="11" t="s">
        <v>27</v>
      </c>
      <c r="B28" s="11">
        <v>156</v>
      </c>
      <c r="C28" s="11">
        <v>238</v>
      </c>
      <c r="D28" s="11">
        <v>313</v>
      </c>
      <c r="E28" s="11">
        <v>388</v>
      </c>
      <c r="F28" s="11">
        <v>674</v>
      </c>
      <c r="G28" s="11">
        <v>843</v>
      </c>
      <c r="H28" s="11">
        <v>657</v>
      </c>
    </row>
    <row r="29" spans="1:8" x14ac:dyDescent="0.2">
      <c r="A29" s="11" t="s">
        <v>28</v>
      </c>
      <c r="B29" s="11">
        <v>8283</v>
      </c>
      <c r="C29" s="11">
        <v>15453</v>
      </c>
      <c r="D29" s="11">
        <v>16231</v>
      </c>
      <c r="E29" s="11">
        <v>15732</v>
      </c>
      <c r="F29" s="11">
        <v>18103</v>
      </c>
      <c r="G29" s="11">
        <v>16960</v>
      </c>
      <c r="H29" s="11">
        <v>14910</v>
      </c>
    </row>
    <row r="30" spans="1:8" x14ac:dyDescent="0.2">
      <c r="A30" s="11" t="s">
        <v>29</v>
      </c>
      <c r="B30" s="11">
        <v>719</v>
      </c>
      <c r="C30" s="11">
        <v>1380</v>
      </c>
      <c r="D30" s="11">
        <v>1406</v>
      </c>
      <c r="E30" s="11">
        <v>1522</v>
      </c>
      <c r="F30" s="11">
        <v>1878</v>
      </c>
      <c r="G30" s="11">
        <v>1763</v>
      </c>
      <c r="H30" s="11">
        <v>1462</v>
      </c>
    </row>
    <row r="31" spans="1:8" x14ac:dyDescent="0.2">
      <c r="A31" s="11" t="s">
        <v>30</v>
      </c>
      <c r="B31" s="11">
        <v>1500</v>
      </c>
      <c r="C31" s="11">
        <v>3011</v>
      </c>
      <c r="D31" s="11">
        <v>3076</v>
      </c>
      <c r="E31" s="11">
        <v>3403</v>
      </c>
      <c r="F31" s="11">
        <v>3796</v>
      </c>
      <c r="G31" s="11">
        <v>3986</v>
      </c>
      <c r="H31" s="11">
        <v>3047</v>
      </c>
    </row>
    <row r="32" spans="1:8" x14ac:dyDescent="0.2">
      <c r="A32" s="11" t="s">
        <v>31</v>
      </c>
      <c r="B32" s="11">
        <v>2282</v>
      </c>
      <c r="C32" s="11">
        <v>3738</v>
      </c>
      <c r="D32" s="11">
        <v>3609</v>
      </c>
      <c r="E32" s="11">
        <v>3976</v>
      </c>
      <c r="F32" s="11">
        <v>4938</v>
      </c>
      <c r="G32" s="11">
        <v>5067</v>
      </c>
      <c r="H32" s="11">
        <v>4286</v>
      </c>
    </row>
    <row r="33" spans="1:8" x14ac:dyDescent="0.2">
      <c r="A33" s="11" t="s">
        <v>32</v>
      </c>
      <c r="B33" s="11">
        <v>4456</v>
      </c>
      <c r="C33" s="11">
        <v>6645</v>
      </c>
      <c r="D33" s="11">
        <v>6754</v>
      </c>
      <c r="E33" s="11">
        <v>6924</v>
      </c>
      <c r="F33" s="11">
        <v>8286</v>
      </c>
      <c r="G33" s="11">
        <v>8992</v>
      </c>
      <c r="H33" s="11">
        <v>7114</v>
      </c>
    </row>
    <row r="34" spans="1:8" x14ac:dyDescent="0.2">
      <c r="A34" s="11" t="s">
        <v>33</v>
      </c>
      <c r="B34" s="11">
        <v>2074</v>
      </c>
      <c r="C34" s="11">
        <v>3628</v>
      </c>
      <c r="D34" s="11">
        <v>4192</v>
      </c>
      <c r="E34" s="11">
        <v>4070</v>
      </c>
      <c r="F34" s="11">
        <v>4889</v>
      </c>
      <c r="G34" s="11">
        <v>5297</v>
      </c>
      <c r="H34" s="11">
        <v>4045</v>
      </c>
    </row>
    <row r="35" spans="1:8" x14ac:dyDescent="0.2">
      <c r="A35" s="11" t="s">
        <v>34</v>
      </c>
      <c r="B35" s="11">
        <v>940</v>
      </c>
      <c r="C35" s="11">
        <v>1779</v>
      </c>
      <c r="D35" s="11">
        <v>1997</v>
      </c>
      <c r="E35" s="11">
        <v>2109</v>
      </c>
      <c r="F35" s="11">
        <v>2598</v>
      </c>
      <c r="G35" s="11">
        <v>2578</v>
      </c>
      <c r="H35" s="11">
        <v>2094</v>
      </c>
    </row>
    <row r="36" spans="1:8" x14ac:dyDescent="0.2">
      <c r="A36" s="11" t="s">
        <v>35</v>
      </c>
      <c r="B36" s="11">
        <v>12163</v>
      </c>
      <c r="C36" s="11">
        <v>22980</v>
      </c>
      <c r="D36" s="11">
        <v>24270</v>
      </c>
      <c r="E36" s="11">
        <v>21716</v>
      </c>
      <c r="F36" s="11">
        <v>25026</v>
      </c>
      <c r="G36" s="11">
        <v>24131</v>
      </c>
      <c r="H36" s="11">
        <v>20071</v>
      </c>
    </row>
    <row r="37" spans="1:8" x14ac:dyDescent="0.2">
      <c r="A37" s="11" t="s">
        <v>36</v>
      </c>
      <c r="B37" s="11">
        <v>30764</v>
      </c>
      <c r="C37" s="11">
        <v>59053</v>
      </c>
      <c r="D37" s="11">
        <v>59771</v>
      </c>
      <c r="E37" s="11">
        <v>51255</v>
      </c>
      <c r="F37" s="11">
        <v>56712</v>
      </c>
      <c r="G37" s="11">
        <v>57735</v>
      </c>
      <c r="H37" s="11">
        <v>50350</v>
      </c>
    </row>
    <row r="38" spans="1:8" x14ac:dyDescent="0.2">
      <c r="A38" s="11" t="s">
        <v>37</v>
      </c>
      <c r="B38" s="11">
        <v>4234</v>
      </c>
      <c r="C38" s="11">
        <v>7862</v>
      </c>
      <c r="D38" s="11">
        <v>8380</v>
      </c>
      <c r="E38" s="11">
        <v>8278</v>
      </c>
      <c r="F38" s="11">
        <v>9752</v>
      </c>
      <c r="G38" s="11">
        <v>10399</v>
      </c>
      <c r="H38" s="11">
        <v>8444</v>
      </c>
    </row>
    <row r="39" spans="1:8" x14ac:dyDescent="0.2">
      <c r="A39" s="11" t="s">
        <v>38</v>
      </c>
      <c r="B39" s="11">
        <v>7349</v>
      </c>
      <c r="C39" s="11">
        <v>13174</v>
      </c>
      <c r="D39" s="11">
        <v>14524</v>
      </c>
      <c r="E39" s="11">
        <v>14105</v>
      </c>
      <c r="F39" s="11">
        <v>15912</v>
      </c>
      <c r="G39" s="11">
        <v>15740</v>
      </c>
      <c r="H39" s="11">
        <v>13658</v>
      </c>
    </row>
    <row r="40" spans="1:8" x14ac:dyDescent="0.2">
      <c r="A40" s="11" t="s">
        <v>39</v>
      </c>
      <c r="B40" s="11">
        <v>21819</v>
      </c>
      <c r="C40" s="11">
        <v>41986</v>
      </c>
      <c r="D40" s="11">
        <v>42672</v>
      </c>
      <c r="E40" s="11">
        <v>38787</v>
      </c>
      <c r="F40" s="11">
        <v>41218</v>
      </c>
      <c r="G40" s="11">
        <v>38523</v>
      </c>
      <c r="H40" s="11">
        <v>30190</v>
      </c>
    </row>
    <row r="41" spans="1:8" x14ac:dyDescent="0.2">
      <c r="A41" s="11" t="s">
        <v>40</v>
      </c>
      <c r="B41" s="11">
        <v>16274</v>
      </c>
      <c r="C41" s="11">
        <v>31002</v>
      </c>
      <c r="D41" s="11">
        <v>33493</v>
      </c>
      <c r="E41" s="11">
        <v>30762</v>
      </c>
      <c r="F41" s="11">
        <v>35963</v>
      </c>
      <c r="G41" s="11">
        <v>33451</v>
      </c>
      <c r="H41" s="11">
        <v>27654</v>
      </c>
    </row>
    <row r="42" spans="1:8" x14ac:dyDescent="0.2">
      <c r="A42" s="11" t="s">
        <v>41</v>
      </c>
      <c r="B42" s="11">
        <v>5544</v>
      </c>
      <c r="C42" s="11">
        <v>10115</v>
      </c>
      <c r="D42" s="11">
        <v>11464</v>
      </c>
      <c r="E42" s="11">
        <v>10431</v>
      </c>
      <c r="F42" s="11">
        <v>12143</v>
      </c>
      <c r="G42" s="11">
        <v>13000</v>
      </c>
      <c r="H42" s="11">
        <v>10112</v>
      </c>
    </row>
    <row r="43" spans="1:8" x14ac:dyDescent="0.2">
      <c r="A43" s="11" t="s">
        <v>91</v>
      </c>
      <c r="B43" s="11">
        <v>1796</v>
      </c>
      <c r="C43" s="11">
        <v>3313</v>
      </c>
      <c r="D43" s="11">
        <v>3696</v>
      </c>
      <c r="E43" s="11">
        <v>3752</v>
      </c>
      <c r="F43" s="11">
        <v>4548</v>
      </c>
      <c r="G43" s="11">
        <v>4640</v>
      </c>
      <c r="H43" s="11">
        <v>3592</v>
      </c>
    </row>
    <row r="44" spans="1:8" x14ac:dyDescent="0.2">
      <c r="A44" s="11" t="s">
        <v>43</v>
      </c>
      <c r="B44" s="11">
        <v>5490</v>
      </c>
      <c r="C44" s="11">
        <v>9848</v>
      </c>
      <c r="D44" s="11">
        <v>10019</v>
      </c>
      <c r="E44" s="11">
        <v>9882</v>
      </c>
      <c r="F44" s="11">
        <v>12324</v>
      </c>
      <c r="G44" s="11">
        <v>13482</v>
      </c>
      <c r="H44" s="11">
        <v>10988</v>
      </c>
    </row>
    <row r="45" spans="1:8" x14ac:dyDescent="0.2">
      <c r="A45" s="11" t="s">
        <v>44</v>
      </c>
      <c r="B45" s="11">
        <v>1727</v>
      </c>
      <c r="C45" s="11">
        <v>3641</v>
      </c>
      <c r="D45" s="11">
        <v>3918</v>
      </c>
      <c r="E45" s="11">
        <v>3903</v>
      </c>
      <c r="F45" s="11">
        <v>5001</v>
      </c>
      <c r="G45" s="11">
        <v>4776</v>
      </c>
      <c r="H45" s="11">
        <v>4235</v>
      </c>
    </row>
    <row r="46" spans="1:8" x14ac:dyDescent="0.2">
      <c r="A46" s="11" t="s">
        <v>45</v>
      </c>
      <c r="B46" s="11">
        <v>9818</v>
      </c>
      <c r="C46" s="11">
        <v>17601</v>
      </c>
      <c r="D46" s="11">
        <v>17871</v>
      </c>
      <c r="E46" s="11">
        <v>17476</v>
      </c>
      <c r="F46" s="11">
        <v>22535</v>
      </c>
      <c r="G46" s="11">
        <v>20413</v>
      </c>
      <c r="H46" s="11">
        <v>12537</v>
      </c>
    </row>
    <row r="47" spans="1:8" x14ac:dyDescent="0.2">
      <c r="A47" s="11" t="s">
        <v>46</v>
      </c>
      <c r="B47" s="11">
        <v>54224</v>
      </c>
      <c r="C47" s="11">
        <v>97047</v>
      </c>
      <c r="D47" s="11">
        <v>105325</v>
      </c>
      <c r="E47" s="11">
        <v>93810</v>
      </c>
      <c r="F47" s="11">
        <v>101486</v>
      </c>
      <c r="G47" s="11">
        <v>95758</v>
      </c>
      <c r="H47" s="11">
        <v>78235</v>
      </c>
    </row>
    <row r="48" spans="1:8" x14ac:dyDescent="0.2">
      <c r="A48" s="11" t="s">
        <v>47</v>
      </c>
      <c r="B48" s="11">
        <v>809</v>
      </c>
      <c r="C48" s="11">
        <v>1892</v>
      </c>
      <c r="D48" s="11">
        <v>2025</v>
      </c>
      <c r="E48" s="11">
        <v>1658</v>
      </c>
      <c r="F48" s="11">
        <v>1969</v>
      </c>
      <c r="G48" s="11">
        <v>2167</v>
      </c>
      <c r="H48" s="11">
        <v>1870</v>
      </c>
    </row>
    <row r="49" spans="1:8" x14ac:dyDescent="0.2">
      <c r="A49" s="11" t="s">
        <v>48</v>
      </c>
      <c r="B49" s="11">
        <v>22919</v>
      </c>
      <c r="C49" s="11">
        <v>37029</v>
      </c>
      <c r="D49" s="11">
        <v>35992</v>
      </c>
      <c r="E49" s="11">
        <v>33212</v>
      </c>
      <c r="F49" s="11">
        <v>38485</v>
      </c>
      <c r="G49" s="11">
        <v>36542</v>
      </c>
      <c r="H49" s="11">
        <v>29287</v>
      </c>
    </row>
    <row r="50" spans="1:8" x14ac:dyDescent="0.2">
      <c r="A50" s="11" t="s">
        <v>49</v>
      </c>
      <c r="B50" s="11">
        <v>3678</v>
      </c>
      <c r="C50" s="11">
        <v>7190</v>
      </c>
      <c r="D50" s="11">
        <v>8596</v>
      </c>
      <c r="E50" s="11">
        <v>8194</v>
      </c>
      <c r="F50" s="11">
        <v>9677</v>
      </c>
      <c r="G50" s="11">
        <v>10029</v>
      </c>
      <c r="H50" s="11">
        <v>8081</v>
      </c>
    </row>
    <row r="51" spans="1:8" x14ac:dyDescent="0.2">
      <c r="A51" s="11" t="s">
        <v>50</v>
      </c>
      <c r="B51" s="11">
        <v>2363</v>
      </c>
      <c r="C51" s="11">
        <v>4356</v>
      </c>
      <c r="D51" s="11">
        <v>4879</v>
      </c>
      <c r="E51" s="11">
        <v>4747</v>
      </c>
      <c r="F51" s="11">
        <v>5812</v>
      </c>
      <c r="G51" s="11">
        <v>5377</v>
      </c>
      <c r="H51" s="11">
        <v>3780</v>
      </c>
    </row>
    <row r="52" spans="1:8" x14ac:dyDescent="0.2">
      <c r="A52" s="11" t="s">
        <v>51</v>
      </c>
      <c r="B52" s="11">
        <v>103186</v>
      </c>
      <c r="C52" s="11">
        <v>260309</v>
      </c>
      <c r="D52" s="11">
        <v>223810</v>
      </c>
      <c r="E52" s="11">
        <v>144964</v>
      </c>
      <c r="F52" s="11">
        <v>144730</v>
      </c>
      <c r="G52" s="11">
        <v>127573</v>
      </c>
      <c r="H52" s="11">
        <v>92858</v>
      </c>
    </row>
    <row r="53" spans="1:8" x14ac:dyDescent="0.2">
      <c r="A53" s="11" t="s">
        <v>52</v>
      </c>
      <c r="B53" s="11">
        <v>3166</v>
      </c>
      <c r="C53" s="11">
        <v>5964</v>
      </c>
      <c r="D53" s="11">
        <v>6525</v>
      </c>
      <c r="E53" s="11">
        <v>6631</v>
      </c>
      <c r="F53" s="11">
        <v>9539</v>
      </c>
      <c r="G53" s="11">
        <v>9279</v>
      </c>
      <c r="H53" s="11">
        <v>6425</v>
      </c>
    </row>
    <row r="54" spans="1:8" x14ac:dyDescent="0.2">
      <c r="A54" s="11" t="s">
        <v>53</v>
      </c>
      <c r="B54" s="11">
        <v>737</v>
      </c>
      <c r="C54" s="11">
        <v>1255</v>
      </c>
      <c r="D54" s="11">
        <v>1479</v>
      </c>
      <c r="E54" s="11">
        <v>1494</v>
      </c>
      <c r="F54" s="11">
        <v>2029</v>
      </c>
      <c r="G54" s="11">
        <v>2245</v>
      </c>
      <c r="H54" s="11">
        <v>1776</v>
      </c>
    </row>
    <row r="55" spans="1:8" x14ac:dyDescent="0.2">
      <c r="A55" s="11" t="s">
        <v>54</v>
      </c>
      <c r="B55" s="11">
        <v>6874</v>
      </c>
      <c r="C55" s="11">
        <v>12532</v>
      </c>
      <c r="D55" s="11">
        <v>13914</v>
      </c>
      <c r="E55" s="11">
        <v>14215</v>
      </c>
      <c r="F55" s="11">
        <v>16632</v>
      </c>
      <c r="G55" s="11">
        <v>16172</v>
      </c>
      <c r="H55" s="11">
        <v>12321</v>
      </c>
    </row>
    <row r="56" spans="1:8" x14ac:dyDescent="0.2">
      <c r="A56" s="11" t="s">
        <v>55</v>
      </c>
      <c r="B56" s="11">
        <v>2272</v>
      </c>
      <c r="C56" s="11">
        <v>3223</v>
      </c>
      <c r="D56" s="11">
        <v>3488</v>
      </c>
      <c r="E56" s="11">
        <v>3432</v>
      </c>
      <c r="F56" s="11">
        <v>4152</v>
      </c>
      <c r="G56" s="11">
        <v>3986</v>
      </c>
      <c r="H56" s="11">
        <v>3411</v>
      </c>
    </row>
    <row r="57" spans="1:8" x14ac:dyDescent="0.2">
      <c r="A57" s="11" t="s">
        <v>56</v>
      </c>
      <c r="B57" s="11">
        <v>3228</v>
      </c>
      <c r="C57" s="11">
        <v>5999</v>
      </c>
      <c r="D57" s="11">
        <v>6761</v>
      </c>
      <c r="E57" s="11">
        <v>7037</v>
      </c>
      <c r="F57" s="11">
        <v>8578</v>
      </c>
      <c r="G57" s="11">
        <v>9364</v>
      </c>
      <c r="H57" s="11">
        <v>7538</v>
      </c>
    </row>
    <row r="58" spans="1:8" x14ac:dyDescent="0.2">
      <c r="A58" s="11" t="s">
        <v>57</v>
      </c>
      <c r="B58" s="11">
        <v>251</v>
      </c>
      <c r="C58" s="11">
        <v>420</v>
      </c>
      <c r="D58" s="11">
        <v>559</v>
      </c>
      <c r="E58" s="11">
        <v>559</v>
      </c>
      <c r="F58" s="11">
        <v>803</v>
      </c>
      <c r="G58" s="11">
        <v>1087</v>
      </c>
      <c r="H58" s="11">
        <v>793</v>
      </c>
    </row>
    <row r="59" spans="1:8" x14ac:dyDescent="0.2">
      <c r="A59" s="11" t="s">
        <v>58</v>
      </c>
      <c r="B59" s="11">
        <v>1867</v>
      </c>
      <c r="C59" s="11">
        <v>3532</v>
      </c>
      <c r="D59" s="11">
        <v>3942</v>
      </c>
      <c r="E59" s="11">
        <v>3653</v>
      </c>
      <c r="F59" s="11">
        <v>4994</v>
      </c>
      <c r="G59" s="11">
        <v>5305</v>
      </c>
      <c r="H59" s="11">
        <v>4174</v>
      </c>
    </row>
    <row r="60" spans="1:8" x14ac:dyDescent="0.2">
      <c r="A60" s="11" t="s">
        <v>59</v>
      </c>
      <c r="B60" s="11">
        <v>1878</v>
      </c>
      <c r="C60" s="11">
        <v>3287</v>
      </c>
      <c r="D60" s="11">
        <v>3916</v>
      </c>
      <c r="E60" s="11">
        <v>3764</v>
      </c>
      <c r="F60" s="11">
        <v>4748</v>
      </c>
      <c r="G60" s="11">
        <v>5074</v>
      </c>
      <c r="H60" s="11">
        <v>4188</v>
      </c>
    </row>
    <row r="61" spans="1:8" x14ac:dyDescent="0.2">
      <c r="A61" s="11" t="s">
        <v>60</v>
      </c>
      <c r="B61" s="11">
        <v>3695</v>
      </c>
      <c r="C61" s="11">
        <v>4084</v>
      </c>
      <c r="D61" s="11">
        <v>3646</v>
      </c>
      <c r="E61" s="11">
        <v>3446</v>
      </c>
      <c r="F61" s="11">
        <v>3989</v>
      </c>
      <c r="G61" s="11">
        <v>3884</v>
      </c>
      <c r="H61" s="11">
        <v>3775</v>
      </c>
    </row>
    <row r="62" spans="1:8" x14ac:dyDescent="0.2">
      <c r="A62" s="11" t="s">
        <v>61</v>
      </c>
      <c r="B62" s="11">
        <v>2240</v>
      </c>
      <c r="C62" s="11">
        <v>3952</v>
      </c>
      <c r="D62" s="11">
        <v>4687</v>
      </c>
      <c r="E62" s="11">
        <v>4777</v>
      </c>
      <c r="F62" s="11">
        <v>5677</v>
      </c>
      <c r="G62" s="11">
        <v>6605</v>
      </c>
      <c r="H62" s="11">
        <v>4965</v>
      </c>
    </row>
    <row r="63" spans="1:8" x14ac:dyDescent="0.2">
      <c r="A63" s="11" t="s">
        <v>62</v>
      </c>
      <c r="B63" s="11">
        <v>1728</v>
      </c>
      <c r="C63" s="11">
        <v>3049</v>
      </c>
      <c r="D63" s="11">
        <v>3618</v>
      </c>
      <c r="E63" s="11">
        <v>3502</v>
      </c>
      <c r="F63" s="11">
        <v>4678</v>
      </c>
      <c r="G63" s="11">
        <v>5039</v>
      </c>
      <c r="H63" s="11">
        <v>3842</v>
      </c>
    </row>
    <row r="64" spans="1:8" x14ac:dyDescent="0.2">
      <c r="A64" s="11" t="s">
        <v>63</v>
      </c>
      <c r="B64" s="11">
        <v>10379</v>
      </c>
      <c r="C64" s="11">
        <v>19722</v>
      </c>
      <c r="D64" s="11">
        <v>22552</v>
      </c>
      <c r="E64" s="11">
        <v>21330</v>
      </c>
      <c r="F64" s="11">
        <v>25009</v>
      </c>
      <c r="G64" s="11">
        <v>26163</v>
      </c>
      <c r="H64" s="11">
        <v>20201</v>
      </c>
    </row>
    <row r="65" spans="1:8" x14ac:dyDescent="0.2">
      <c r="A65" s="11" t="s">
        <v>64</v>
      </c>
      <c r="B65" s="11">
        <v>2214</v>
      </c>
      <c r="C65" s="11">
        <v>4538</v>
      </c>
      <c r="D65" s="11">
        <v>5066</v>
      </c>
      <c r="E65" s="11">
        <v>4920</v>
      </c>
      <c r="F65" s="11">
        <v>6905</v>
      </c>
      <c r="G65" s="11">
        <v>7482</v>
      </c>
      <c r="H65" s="11">
        <v>5669</v>
      </c>
    </row>
    <row r="66" spans="1:8" x14ac:dyDescent="0.2">
      <c r="A66" s="11" t="s">
        <v>65</v>
      </c>
      <c r="B66" s="11">
        <v>17325</v>
      </c>
      <c r="C66" s="11">
        <v>33157</v>
      </c>
      <c r="D66" s="11">
        <v>36503</v>
      </c>
      <c r="E66" s="11">
        <v>35043</v>
      </c>
      <c r="F66" s="11">
        <v>44055</v>
      </c>
      <c r="G66" s="11">
        <v>46691</v>
      </c>
      <c r="H66" s="11">
        <v>38350</v>
      </c>
    </row>
    <row r="67" spans="1:8" x14ac:dyDescent="0.2">
      <c r="A67" s="11" t="s">
        <v>66</v>
      </c>
      <c r="B67" s="11">
        <v>1353</v>
      </c>
      <c r="C67" s="11">
        <v>2514</v>
      </c>
      <c r="D67" s="11">
        <v>2695</v>
      </c>
      <c r="E67" s="11">
        <v>2693</v>
      </c>
      <c r="F67" s="11">
        <v>3258</v>
      </c>
      <c r="G67" s="11">
        <v>3346</v>
      </c>
      <c r="H67" s="11">
        <v>2673</v>
      </c>
    </row>
    <row r="68" spans="1:8" ht="13.5" thickBot="1" x14ac:dyDescent="0.25">
      <c r="A68" s="13" t="s">
        <v>67</v>
      </c>
      <c r="B68" s="13">
        <v>26774</v>
      </c>
      <c r="C68" s="13">
        <v>50535</v>
      </c>
      <c r="D68" s="13">
        <v>55004</v>
      </c>
      <c r="E68" s="13">
        <v>50379</v>
      </c>
      <c r="F68" s="13">
        <v>57091</v>
      </c>
      <c r="G68" s="13">
        <v>50702</v>
      </c>
      <c r="H68" s="13">
        <v>38583</v>
      </c>
    </row>
    <row r="69" spans="1:8" x14ac:dyDescent="0.2">
      <c r="A69" s="32" t="s">
        <v>68</v>
      </c>
      <c r="B69" s="32">
        <f>SUM(B2:B68)</f>
        <v>765963</v>
      </c>
      <c r="C69" s="32">
        <f t="shared" ref="C69:G69" si="0">SUM(C2:C68)</f>
        <v>1473049</v>
      </c>
      <c r="D69" s="32">
        <f t="shared" si="0"/>
        <v>1483838</v>
      </c>
      <c r="E69" s="32">
        <f t="shared" si="0"/>
        <v>1290625</v>
      </c>
      <c r="F69" s="32">
        <f t="shared" si="0"/>
        <v>1459864</v>
      </c>
      <c r="G69" s="32">
        <f t="shared" si="0"/>
        <v>1424472</v>
      </c>
      <c r="H69" s="32">
        <f>SUM(H2:H68)</f>
        <v>1120299</v>
      </c>
    </row>
    <row r="70" spans="1:8" x14ac:dyDescent="0.2">
      <c r="B70" s="17">
        <f t="shared" ref="B70:H70" si="1">B69/$B$72</f>
        <v>8.4936089712811219E-2</v>
      </c>
      <c r="C70" s="17">
        <f>C69/$B$72</f>
        <v>0.16334342783576603</v>
      </c>
      <c r="D70" s="17">
        <f>D69/$B$72</f>
        <v>0.16453979825040946</v>
      </c>
      <c r="E70" s="17">
        <f t="shared" si="1"/>
        <v>0.14311479899890331</v>
      </c>
      <c r="F70" s="17">
        <f t="shared" si="1"/>
        <v>0.16188136982139273</v>
      </c>
      <c r="G70" s="17">
        <f t="shared" si="1"/>
        <v>0.1579568224384045</v>
      </c>
      <c r="H70" s="17">
        <f t="shared" si="1"/>
        <v>0.12422769294231274</v>
      </c>
    </row>
    <row r="72" spans="1:8" x14ac:dyDescent="0.2">
      <c r="A72" s="32" t="s">
        <v>80</v>
      </c>
      <c r="B72" s="16">
        <f>SUM(B69:H69)</f>
        <v>9018110</v>
      </c>
      <c r="C72" s="14"/>
    </row>
    <row r="81" spans="2:7" x14ac:dyDescent="0.2">
      <c r="G81" s="11"/>
    </row>
    <row r="82" spans="2:7" x14ac:dyDescent="0.2">
      <c r="G82" s="11"/>
    </row>
    <row r="83" spans="2:7" x14ac:dyDescent="0.2">
      <c r="E83" s="11"/>
      <c r="G83" s="11"/>
    </row>
    <row r="84" spans="2:7" x14ac:dyDescent="0.2">
      <c r="B84" s="11"/>
      <c r="E84" s="11"/>
      <c r="G84" s="11"/>
    </row>
    <row r="85" spans="2:7" x14ac:dyDescent="0.2">
      <c r="E85" s="11"/>
      <c r="G85" s="11"/>
    </row>
    <row r="86" spans="2:7" x14ac:dyDescent="0.2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3" sqref="J3"/>
    </sheetView>
  </sheetViews>
  <sheetFormatPr defaultColWidth="9.140625" defaultRowHeight="12.75" x14ac:dyDescent="0.2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0</v>
      </c>
      <c r="C2" s="11">
        <v>1979</v>
      </c>
      <c r="D2" s="11">
        <v>2803</v>
      </c>
      <c r="E2" s="11">
        <v>2338</v>
      </c>
      <c r="F2" s="11">
        <v>2123</v>
      </c>
      <c r="G2" s="11">
        <v>2657</v>
      </c>
      <c r="H2" s="11">
        <v>3781</v>
      </c>
      <c r="I2" s="11">
        <v>3578</v>
      </c>
      <c r="J2" s="11" t="s">
        <v>131</v>
      </c>
    </row>
    <row r="3" spans="1:10" x14ac:dyDescent="0.2">
      <c r="A3" s="11" t="s">
        <v>2</v>
      </c>
      <c r="B3" s="10" t="s">
        <v>0</v>
      </c>
      <c r="C3" s="11">
        <v>42710</v>
      </c>
      <c r="D3" s="11">
        <v>95033</v>
      </c>
      <c r="E3" s="11">
        <v>89979</v>
      </c>
      <c r="F3" s="11">
        <v>64598</v>
      </c>
      <c r="G3" s="11">
        <v>67122</v>
      </c>
      <c r="H3" s="11">
        <v>79898</v>
      </c>
      <c r="I3" s="11">
        <v>66456</v>
      </c>
    </row>
    <row r="4" spans="1:10" x14ac:dyDescent="0.2">
      <c r="A4" s="11" t="s">
        <v>3</v>
      </c>
      <c r="B4" s="10" t="s">
        <v>0</v>
      </c>
      <c r="C4" s="11">
        <v>620</v>
      </c>
      <c r="D4" s="11">
        <v>1096</v>
      </c>
      <c r="E4" s="11">
        <v>1200</v>
      </c>
      <c r="F4" s="11">
        <v>1260</v>
      </c>
      <c r="G4" s="11">
        <v>1730</v>
      </c>
      <c r="H4" s="11">
        <v>2531</v>
      </c>
      <c r="I4" s="11">
        <v>2194</v>
      </c>
    </row>
    <row r="5" spans="1:10" x14ac:dyDescent="0.2">
      <c r="A5" s="11" t="s">
        <v>4</v>
      </c>
      <c r="B5" s="10" t="s">
        <v>0</v>
      </c>
      <c r="C5" s="11">
        <v>2548</v>
      </c>
      <c r="D5" s="11">
        <v>5683</v>
      </c>
      <c r="E5" s="11">
        <v>6403</v>
      </c>
      <c r="F5" s="11">
        <v>5920</v>
      </c>
      <c r="G5" s="11">
        <v>7284</v>
      </c>
      <c r="H5" s="11">
        <v>9814</v>
      </c>
      <c r="I5" s="11">
        <v>8120</v>
      </c>
    </row>
    <row r="6" spans="1:10" x14ac:dyDescent="0.2">
      <c r="A6" s="11" t="s">
        <v>5</v>
      </c>
      <c r="B6" s="10" t="s">
        <v>0</v>
      </c>
      <c r="C6" s="11">
        <v>303</v>
      </c>
      <c r="D6" s="11">
        <v>521</v>
      </c>
      <c r="E6" s="11">
        <v>591</v>
      </c>
      <c r="F6" s="11">
        <v>615</v>
      </c>
      <c r="G6" s="11">
        <v>857</v>
      </c>
      <c r="H6" s="11">
        <v>1181</v>
      </c>
      <c r="I6" s="11">
        <v>1193</v>
      </c>
    </row>
    <row r="7" spans="1:10" x14ac:dyDescent="0.2">
      <c r="A7" s="11" t="s">
        <v>6</v>
      </c>
      <c r="B7" s="10" t="s">
        <v>0</v>
      </c>
      <c r="C7" s="11">
        <v>8623</v>
      </c>
      <c r="D7" s="11">
        <v>15787</v>
      </c>
      <c r="E7" s="11">
        <v>16361</v>
      </c>
      <c r="F7" s="11">
        <v>14903</v>
      </c>
      <c r="G7" s="11">
        <v>16797</v>
      </c>
      <c r="H7" s="11">
        <v>17352</v>
      </c>
      <c r="I7" s="11">
        <v>14654</v>
      </c>
    </row>
    <row r="8" spans="1:10" x14ac:dyDescent="0.2">
      <c r="A8" s="11" t="s">
        <v>7</v>
      </c>
      <c r="B8" s="10" t="s">
        <v>0</v>
      </c>
      <c r="C8" s="11">
        <v>1517</v>
      </c>
      <c r="D8" s="11">
        <v>3051</v>
      </c>
      <c r="E8" s="11">
        <v>3143</v>
      </c>
      <c r="F8" s="11">
        <v>2573</v>
      </c>
      <c r="G8" s="11">
        <v>2741</v>
      </c>
      <c r="H8" s="11">
        <v>3517</v>
      </c>
      <c r="I8" s="11">
        <v>3300</v>
      </c>
    </row>
    <row r="9" spans="1:10" x14ac:dyDescent="0.2">
      <c r="A9" s="11" t="s">
        <v>8</v>
      </c>
      <c r="B9" s="10" t="s">
        <v>0</v>
      </c>
      <c r="C9" s="11">
        <v>512</v>
      </c>
      <c r="D9" s="11">
        <v>1062</v>
      </c>
      <c r="E9" s="11">
        <v>1072</v>
      </c>
      <c r="F9" s="11">
        <v>916</v>
      </c>
      <c r="G9" s="11">
        <v>1166</v>
      </c>
      <c r="H9" s="11">
        <v>1604</v>
      </c>
      <c r="I9" s="11">
        <v>1508</v>
      </c>
    </row>
    <row r="10" spans="1:10" x14ac:dyDescent="0.2">
      <c r="A10" s="11" t="s">
        <v>9</v>
      </c>
      <c r="B10" s="10" t="s">
        <v>0</v>
      </c>
      <c r="C10" s="11">
        <v>15903</v>
      </c>
      <c r="D10" s="11">
        <v>28311</v>
      </c>
      <c r="E10" s="11">
        <v>30148</v>
      </c>
      <c r="F10" s="11">
        <v>27217</v>
      </c>
      <c r="G10" s="11">
        <v>31041</v>
      </c>
      <c r="H10" s="11">
        <v>34598</v>
      </c>
      <c r="I10" s="11">
        <v>27465</v>
      </c>
    </row>
    <row r="11" spans="1:10" x14ac:dyDescent="0.2">
      <c r="A11" s="11" t="s">
        <v>10</v>
      </c>
      <c r="B11" s="10" t="s">
        <v>0</v>
      </c>
      <c r="C11" s="11">
        <v>3077</v>
      </c>
      <c r="D11" s="11">
        <v>5351</v>
      </c>
      <c r="E11" s="11">
        <v>5988</v>
      </c>
      <c r="F11" s="11">
        <v>5059</v>
      </c>
      <c r="G11" s="11">
        <v>5739</v>
      </c>
      <c r="H11" s="11">
        <v>7527</v>
      </c>
      <c r="I11" s="11">
        <v>6696</v>
      </c>
    </row>
    <row r="12" spans="1:10" x14ac:dyDescent="0.2">
      <c r="A12" s="11" t="s">
        <v>11</v>
      </c>
      <c r="B12" s="10" t="s">
        <v>0</v>
      </c>
      <c r="C12" s="11">
        <v>1719</v>
      </c>
      <c r="D12" s="11">
        <v>3327</v>
      </c>
      <c r="E12" s="11">
        <v>3680</v>
      </c>
      <c r="F12" s="11">
        <v>3697</v>
      </c>
      <c r="G12" s="11">
        <v>4614</v>
      </c>
      <c r="H12" s="11">
        <v>6581</v>
      </c>
      <c r="I12" s="11">
        <v>5775</v>
      </c>
    </row>
    <row r="13" spans="1:10" x14ac:dyDescent="0.2">
      <c r="A13" s="11" t="s">
        <v>12</v>
      </c>
      <c r="B13" s="10" t="s">
        <v>0</v>
      </c>
      <c r="C13" s="11">
        <v>36</v>
      </c>
      <c r="D13" s="11">
        <v>64</v>
      </c>
      <c r="E13" s="11">
        <v>78</v>
      </c>
      <c r="F13" s="11">
        <v>60</v>
      </c>
      <c r="G13" s="11">
        <v>107</v>
      </c>
      <c r="H13" s="11">
        <v>167</v>
      </c>
      <c r="I13" s="11">
        <v>151</v>
      </c>
    </row>
    <row r="14" spans="1:10" x14ac:dyDescent="0.2">
      <c r="A14" s="11" t="s">
        <v>13</v>
      </c>
      <c r="B14" s="10" t="s">
        <v>0</v>
      </c>
      <c r="C14" s="11">
        <v>893</v>
      </c>
      <c r="D14" s="11">
        <v>1773</v>
      </c>
      <c r="E14" s="11">
        <v>1948</v>
      </c>
      <c r="F14" s="11">
        <v>1914</v>
      </c>
      <c r="G14" s="11">
        <v>2388</v>
      </c>
      <c r="H14" s="11">
        <v>2879</v>
      </c>
      <c r="I14" s="11">
        <v>2296</v>
      </c>
    </row>
    <row r="15" spans="1:10" x14ac:dyDescent="0.2">
      <c r="A15" s="11" t="s">
        <v>14</v>
      </c>
      <c r="B15" s="10" t="s">
        <v>0</v>
      </c>
      <c r="C15" s="11">
        <v>7772</v>
      </c>
      <c r="D15" s="11">
        <v>9147</v>
      </c>
      <c r="E15" s="11">
        <v>5722</v>
      </c>
      <c r="F15" s="11">
        <v>4683</v>
      </c>
      <c r="G15" s="11">
        <v>4490</v>
      </c>
      <c r="H15" s="11">
        <v>5098</v>
      </c>
      <c r="I15" s="11">
        <v>4744</v>
      </c>
    </row>
    <row r="16" spans="1:10" x14ac:dyDescent="0.2">
      <c r="A16" s="11" t="s">
        <v>15</v>
      </c>
      <c r="B16" s="10" t="s">
        <v>0</v>
      </c>
      <c r="C16" s="11">
        <v>16994</v>
      </c>
      <c r="D16" s="11">
        <v>27496</v>
      </c>
      <c r="E16" s="11">
        <v>26527</v>
      </c>
      <c r="F16" s="11">
        <v>23507</v>
      </c>
      <c r="G16" s="11">
        <v>24012</v>
      </c>
      <c r="H16" s="11">
        <v>24451</v>
      </c>
      <c r="I16" s="11">
        <v>19071</v>
      </c>
    </row>
    <row r="17" spans="1:9" x14ac:dyDescent="0.2">
      <c r="A17" s="11" t="s">
        <v>16</v>
      </c>
      <c r="B17" s="10" t="s">
        <v>0</v>
      </c>
      <c r="C17" s="11">
        <v>312</v>
      </c>
      <c r="D17" s="11">
        <v>645</v>
      </c>
      <c r="E17" s="11">
        <v>591</v>
      </c>
      <c r="F17" s="11">
        <v>591</v>
      </c>
      <c r="G17" s="11">
        <v>727</v>
      </c>
      <c r="H17" s="11">
        <v>1146</v>
      </c>
      <c r="I17" s="11">
        <v>1036</v>
      </c>
    </row>
    <row r="18" spans="1:9" x14ac:dyDescent="0.2">
      <c r="A18" s="11" t="s">
        <v>17</v>
      </c>
      <c r="B18" s="10" t="s">
        <v>0</v>
      </c>
      <c r="C18" s="11">
        <v>710</v>
      </c>
      <c r="D18" s="11">
        <v>1357</v>
      </c>
      <c r="E18" s="11">
        <v>1469</v>
      </c>
      <c r="F18" s="11">
        <v>1514</v>
      </c>
      <c r="G18" s="11">
        <v>1946</v>
      </c>
      <c r="H18" s="11">
        <v>2562</v>
      </c>
      <c r="I18" s="11">
        <v>2494</v>
      </c>
    </row>
    <row r="19" spans="1:9" x14ac:dyDescent="0.2">
      <c r="A19" s="11" t="s">
        <v>18</v>
      </c>
      <c r="B19" s="10" t="s">
        <v>0</v>
      </c>
      <c r="C19" s="11">
        <v>402</v>
      </c>
      <c r="D19" s="11">
        <v>862</v>
      </c>
      <c r="E19" s="11">
        <v>780</v>
      </c>
      <c r="F19" s="11">
        <v>753</v>
      </c>
      <c r="G19" s="11">
        <v>895</v>
      </c>
      <c r="H19" s="11">
        <v>1285</v>
      </c>
      <c r="I19" s="11">
        <v>1130</v>
      </c>
    </row>
    <row r="20" spans="1:9" x14ac:dyDescent="0.2">
      <c r="A20" s="11" t="s">
        <v>19</v>
      </c>
      <c r="B20" s="10" t="s">
        <v>0</v>
      </c>
      <c r="C20" s="11">
        <v>1183</v>
      </c>
      <c r="D20" s="11">
        <v>1759</v>
      </c>
      <c r="E20" s="11">
        <v>1676</v>
      </c>
      <c r="F20" s="11">
        <v>1481</v>
      </c>
      <c r="G20" s="11">
        <v>1600</v>
      </c>
      <c r="H20" s="11">
        <v>2202</v>
      </c>
      <c r="I20" s="11">
        <v>1910</v>
      </c>
    </row>
    <row r="21" spans="1:9" x14ac:dyDescent="0.2">
      <c r="A21" s="11" t="s">
        <v>20</v>
      </c>
      <c r="B21" s="10" t="s">
        <v>0</v>
      </c>
      <c r="C21" s="11">
        <v>1017</v>
      </c>
      <c r="D21" s="11">
        <v>1839</v>
      </c>
      <c r="E21" s="11">
        <v>1768</v>
      </c>
      <c r="F21" s="11">
        <v>1731</v>
      </c>
      <c r="G21" s="11">
        <v>2139</v>
      </c>
      <c r="H21" s="11">
        <v>3029</v>
      </c>
      <c r="I21" s="11">
        <v>2917</v>
      </c>
    </row>
    <row r="22" spans="1:9" x14ac:dyDescent="0.2">
      <c r="A22" s="11" t="s">
        <v>21</v>
      </c>
      <c r="B22" s="10" t="s">
        <v>0</v>
      </c>
      <c r="C22" s="11">
        <v>6471</v>
      </c>
      <c r="D22" s="11">
        <v>10439</v>
      </c>
      <c r="E22" s="11">
        <v>10946</v>
      </c>
      <c r="F22" s="11">
        <v>8788</v>
      </c>
      <c r="G22" s="11">
        <v>8036</v>
      </c>
      <c r="H22" s="11">
        <v>9064</v>
      </c>
      <c r="I22" s="11">
        <v>8433</v>
      </c>
    </row>
    <row r="23" spans="1:9" x14ac:dyDescent="0.2">
      <c r="A23" s="11" t="s">
        <v>22</v>
      </c>
      <c r="B23" s="10" t="s">
        <v>0</v>
      </c>
      <c r="C23" s="11">
        <v>7551</v>
      </c>
      <c r="D23" s="11">
        <v>15774</v>
      </c>
      <c r="E23" s="11">
        <v>15338</v>
      </c>
      <c r="F23" s="11">
        <v>12942</v>
      </c>
      <c r="G23" s="11">
        <v>13018</v>
      </c>
      <c r="H23" s="11">
        <v>13193</v>
      </c>
      <c r="I23" s="11">
        <v>9305</v>
      </c>
    </row>
    <row r="24" spans="1:9" x14ac:dyDescent="0.2">
      <c r="A24" s="11" t="s">
        <v>23</v>
      </c>
      <c r="B24" s="10" t="s">
        <v>0</v>
      </c>
      <c r="C24" s="11">
        <v>19618</v>
      </c>
      <c r="D24" s="11">
        <v>35077</v>
      </c>
      <c r="E24" s="11">
        <v>38850</v>
      </c>
      <c r="F24" s="11">
        <v>30727</v>
      </c>
      <c r="G24" s="11">
        <v>29469</v>
      </c>
      <c r="H24" s="11">
        <v>29135</v>
      </c>
      <c r="I24" s="11">
        <v>21143</v>
      </c>
    </row>
    <row r="25" spans="1:9" x14ac:dyDescent="0.2">
      <c r="A25" s="11" t="s">
        <v>24</v>
      </c>
      <c r="B25" s="10" t="s">
        <v>0</v>
      </c>
      <c r="C25" s="11">
        <v>331</v>
      </c>
      <c r="D25" s="11">
        <v>596</v>
      </c>
      <c r="E25" s="11">
        <v>649</v>
      </c>
      <c r="F25" s="11">
        <v>643</v>
      </c>
      <c r="G25" s="11">
        <v>994</v>
      </c>
      <c r="H25" s="11">
        <v>1316</v>
      </c>
      <c r="I25" s="11">
        <v>1240</v>
      </c>
    </row>
    <row r="26" spans="1:9" x14ac:dyDescent="0.2">
      <c r="A26" s="11" t="s">
        <v>25</v>
      </c>
      <c r="B26" s="10" t="s">
        <v>0</v>
      </c>
      <c r="C26" s="11">
        <v>5485</v>
      </c>
      <c r="D26" s="11">
        <v>11284</v>
      </c>
      <c r="E26" s="11">
        <v>11203</v>
      </c>
      <c r="F26" s="11">
        <v>10151</v>
      </c>
      <c r="G26" s="11">
        <v>11650</v>
      </c>
      <c r="H26" s="11">
        <v>14797</v>
      </c>
      <c r="I26" s="11">
        <v>12012</v>
      </c>
    </row>
    <row r="27" spans="1:9" x14ac:dyDescent="0.2">
      <c r="A27" s="11" t="s">
        <v>26</v>
      </c>
      <c r="B27" s="10" t="s">
        <v>0</v>
      </c>
      <c r="C27" s="11">
        <v>1357</v>
      </c>
      <c r="D27" s="11">
        <v>2919</v>
      </c>
      <c r="E27" s="11">
        <v>3480</v>
      </c>
      <c r="F27" s="11">
        <v>3820</v>
      </c>
      <c r="G27" s="11">
        <v>4995</v>
      </c>
      <c r="H27" s="11">
        <v>6847</v>
      </c>
      <c r="I27" s="11">
        <v>6031</v>
      </c>
    </row>
    <row r="28" spans="1:9" x14ac:dyDescent="0.2">
      <c r="A28" s="11" t="s">
        <v>27</v>
      </c>
      <c r="B28" s="10" t="s">
        <v>0</v>
      </c>
      <c r="C28" s="11">
        <v>18</v>
      </c>
      <c r="D28" s="11">
        <v>46</v>
      </c>
      <c r="E28" s="11">
        <v>61</v>
      </c>
      <c r="F28" s="11">
        <v>67</v>
      </c>
      <c r="G28" s="11">
        <v>148</v>
      </c>
      <c r="H28" s="11">
        <v>239</v>
      </c>
      <c r="I28" s="11">
        <v>210</v>
      </c>
    </row>
    <row r="29" spans="1:9" x14ac:dyDescent="0.2">
      <c r="A29" s="11" t="s">
        <v>28</v>
      </c>
      <c r="B29" s="10" t="s">
        <v>0</v>
      </c>
      <c r="C29" s="11">
        <v>2050</v>
      </c>
      <c r="D29" s="11">
        <v>3732</v>
      </c>
      <c r="E29" s="11">
        <v>3478</v>
      </c>
      <c r="F29" s="11">
        <v>3138</v>
      </c>
      <c r="G29" s="11">
        <v>3238</v>
      </c>
      <c r="H29" s="11">
        <v>3938</v>
      </c>
      <c r="I29" s="11">
        <v>4055</v>
      </c>
    </row>
    <row r="30" spans="1:9" x14ac:dyDescent="0.2">
      <c r="A30" s="11" t="s">
        <v>29</v>
      </c>
      <c r="B30" s="10" t="s">
        <v>0</v>
      </c>
      <c r="C30" s="11">
        <v>85</v>
      </c>
      <c r="D30" s="11">
        <v>140</v>
      </c>
      <c r="E30" s="11">
        <v>160</v>
      </c>
      <c r="F30" s="11">
        <v>175</v>
      </c>
      <c r="G30" s="11">
        <v>243</v>
      </c>
      <c r="H30" s="11">
        <v>283</v>
      </c>
      <c r="I30" s="11">
        <v>387</v>
      </c>
    </row>
    <row r="31" spans="1:9" x14ac:dyDescent="0.2">
      <c r="A31" s="11" t="s">
        <v>30</v>
      </c>
      <c r="B31" s="10" t="s">
        <v>0</v>
      </c>
      <c r="C31" s="11">
        <v>295</v>
      </c>
      <c r="D31" s="11">
        <v>670</v>
      </c>
      <c r="E31" s="11">
        <v>817</v>
      </c>
      <c r="F31" s="11">
        <v>943</v>
      </c>
      <c r="G31" s="11">
        <v>1265</v>
      </c>
      <c r="H31" s="11">
        <v>1804</v>
      </c>
      <c r="I31" s="11">
        <v>1542</v>
      </c>
    </row>
    <row r="32" spans="1:9" x14ac:dyDescent="0.2">
      <c r="A32" s="11" t="s">
        <v>31</v>
      </c>
      <c r="B32" s="10" t="s">
        <v>0</v>
      </c>
      <c r="C32" s="11">
        <v>602</v>
      </c>
      <c r="D32" s="11">
        <v>857</v>
      </c>
      <c r="E32" s="11">
        <v>603</v>
      </c>
      <c r="F32" s="11">
        <v>709</v>
      </c>
      <c r="G32" s="11">
        <v>859</v>
      </c>
      <c r="H32" s="11">
        <v>1203</v>
      </c>
      <c r="I32" s="11">
        <v>1194</v>
      </c>
    </row>
    <row r="33" spans="1:9" x14ac:dyDescent="0.2">
      <c r="A33" s="11" t="s">
        <v>32</v>
      </c>
      <c r="B33" s="10" t="s">
        <v>0</v>
      </c>
      <c r="C33" s="11">
        <v>1262</v>
      </c>
      <c r="D33" s="11">
        <v>1846</v>
      </c>
      <c r="E33" s="11">
        <v>1520</v>
      </c>
      <c r="F33" s="11">
        <v>1519</v>
      </c>
      <c r="G33" s="11">
        <v>2053</v>
      </c>
      <c r="H33" s="11">
        <v>2994</v>
      </c>
      <c r="I33" s="11">
        <v>2693</v>
      </c>
    </row>
    <row r="34" spans="1:9" x14ac:dyDescent="0.2">
      <c r="A34" s="11" t="s">
        <v>33</v>
      </c>
      <c r="B34" s="10" t="s">
        <v>0</v>
      </c>
      <c r="C34" s="11">
        <v>355</v>
      </c>
      <c r="D34" s="11">
        <v>631</v>
      </c>
      <c r="E34" s="11">
        <v>672</v>
      </c>
      <c r="F34" s="11">
        <v>667</v>
      </c>
      <c r="G34" s="11">
        <v>782</v>
      </c>
      <c r="H34" s="11">
        <v>1264</v>
      </c>
      <c r="I34" s="11">
        <v>1085</v>
      </c>
    </row>
    <row r="35" spans="1:9" x14ac:dyDescent="0.2">
      <c r="A35" s="11" t="s">
        <v>34</v>
      </c>
      <c r="B35" s="10" t="s">
        <v>0</v>
      </c>
      <c r="C35" s="11">
        <v>142</v>
      </c>
      <c r="D35" s="11">
        <v>249</v>
      </c>
      <c r="E35" s="11">
        <v>301</v>
      </c>
      <c r="F35" s="11">
        <v>318</v>
      </c>
      <c r="G35" s="11">
        <v>402</v>
      </c>
      <c r="H35" s="11">
        <v>592</v>
      </c>
      <c r="I35" s="11">
        <v>540</v>
      </c>
    </row>
    <row r="36" spans="1:9" x14ac:dyDescent="0.2">
      <c r="A36" s="11" t="s">
        <v>35</v>
      </c>
      <c r="B36" s="10" t="s">
        <v>0</v>
      </c>
      <c r="C36" s="11">
        <v>5310</v>
      </c>
      <c r="D36" s="11">
        <v>10725</v>
      </c>
      <c r="E36" s="11">
        <v>11795</v>
      </c>
      <c r="F36" s="11">
        <v>10288</v>
      </c>
      <c r="G36" s="11">
        <v>12533</v>
      </c>
      <c r="H36" s="11">
        <v>14037</v>
      </c>
      <c r="I36" s="11">
        <v>12357</v>
      </c>
    </row>
    <row r="37" spans="1:9" x14ac:dyDescent="0.2">
      <c r="A37" s="11" t="s">
        <v>36</v>
      </c>
      <c r="B37" s="10" t="s">
        <v>0</v>
      </c>
      <c r="C37" s="11">
        <v>9990</v>
      </c>
      <c r="D37" s="11">
        <v>20244</v>
      </c>
      <c r="E37" s="11">
        <v>19755</v>
      </c>
      <c r="F37" s="11">
        <v>15362</v>
      </c>
      <c r="G37" s="11">
        <v>15291</v>
      </c>
      <c r="H37" s="11">
        <v>17480</v>
      </c>
      <c r="I37" s="11">
        <v>15663</v>
      </c>
    </row>
    <row r="38" spans="1:9" x14ac:dyDescent="0.2">
      <c r="A38" s="11" t="s">
        <v>37</v>
      </c>
      <c r="B38" s="10" t="s">
        <v>0</v>
      </c>
      <c r="C38" s="11">
        <v>1155</v>
      </c>
      <c r="D38" s="11">
        <v>2399</v>
      </c>
      <c r="E38" s="11">
        <v>2497</v>
      </c>
      <c r="F38" s="11">
        <v>2472</v>
      </c>
      <c r="G38" s="11">
        <v>3217</v>
      </c>
      <c r="H38" s="11">
        <v>4183</v>
      </c>
      <c r="I38" s="11">
        <v>3758</v>
      </c>
    </row>
    <row r="39" spans="1:9" x14ac:dyDescent="0.2">
      <c r="A39" s="11" t="s">
        <v>38</v>
      </c>
      <c r="B39" s="10" t="s">
        <v>0</v>
      </c>
      <c r="C39" s="11">
        <v>2166</v>
      </c>
      <c r="D39" s="11">
        <v>3751</v>
      </c>
      <c r="E39" s="11">
        <v>4040</v>
      </c>
      <c r="F39" s="11">
        <v>3670</v>
      </c>
      <c r="G39" s="11">
        <v>3858</v>
      </c>
      <c r="H39" s="11">
        <v>4224</v>
      </c>
      <c r="I39" s="11">
        <v>3902</v>
      </c>
    </row>
    <row r="40" spans="1:9" x14ac:dyDescent="0.2">
      <c r="A40" s="11" t="s">
        <v>39</v>
      </c>
      <c r="B40" s="10" t="s">
        <v>0</v>
      </c>
      <c r="C40" s="11">
        <v>9496</v>
      </c>
      <c r="D40" s="11">
        <v>18450</v>
      </c>
      <c r="E40" s="11">
        <v>18755</v>
      </c>
      <c r="F40" s="11">
        <v>16853</v>
      </c>
      <c r="G40" s="11">
        <v>17049</v>
      </c>
      <c r="H40" s="11">
        <v>17466</v>
      </c>
      <c r="I40" s="11">
        <v>14242</v>
      </c>
    </row>
    <row r="41" spans="1:9" x14ac:dyDescent="0.2">
      <c r="A41" s="11" t="s">
        <v>40</v>
      </c>
      <c r="B41" s="10" t="s">
        <v>0</v>
      </c>
      <c r="C41" s="11">
        <v>6331</v>
      </c>
      <c r="D41" s="11">
        <v>12358</v>
      </c>
      <c r="E41" s="11">
        <v>13446</v>
      </c>
      <c r="F41" s="11">
        <v>12050</v>
      </c>
      <c r="G41" s="11">
        <v>13818</v>
      </c>
      <c r="H41" s="11">
        <v>15030</v>
      </c>
      <c r="I41" s="11">
        <v>13015</v>
      </c>
    </row>
    <row r="42" spans="1:9" x14ac:dyDescent="0.2">
      <c r="A42" s="11" t="s">
        <v>41</v>
      </c>
      <c r="B42" s="10" t="s">
        <v>0</v>
      </c>
      <c r="C42" s="11">
        <v>1442</v>
      </c>
      <c r="D42" s="11">
        <v>2919</v>
      </c>
      <c r="E42" s="11">
        <v>2828</v>
      </c>
      <c r="F42" s="11">
        <v>2343</v>
      </c>
      <c r="G42" s="11">
        <v>2568</v>
      </c>
      <c r="H42" s="11">
        <v>3366</v>
      </c>
      <c r="I42" s="11">
        <v>2799</v>
      </c>
    </row>
    <row r="43" spans="1:9" x14ac:dyDescent="0.2">
      <c r="A43" s="11" t="s">
        <v>42</v>
      </c>
      <c r="B43" s="10" t="s">
        <v>0</v>
      </c>
      <c r="C43" s="11">
        <v>379</v>
      </c>
      <c r="D43" s="11">
        <v>758</v>
      </c>
      <c r="E43" s="11">
        <v>699</v>
      </c>
      <c r="F43" s="11">
        <v>649</v>
      </c>
      <c r="G43" s="11">
        <v>773</v>
      </c>
      <c r="H43" s="11">
        <v>1118</v>
      </c>
      <c r="I43" s="11">
        <v>960</v>
      </c>
    </row>
    <row r="44" spans="1:9" x14ac:dyDescent="0.2">
      <c r="A44" s="11" t="s">
        <v>43</v>
      </c>
      <c r="B44" s="10" t="s">
        <v>0</v>
      </c>
      <c r="C44" s="11">
        <v>1407</v>
      </c>
      <c r="D44" s="11">
        <v>2689</v>
      </c>
      <c r="E44" s="11">
        <v>2966</v>
      </c>
      <c r="F44" s="11">
        <v>2774</v>
      </c>
      <c r="G44" s="11">
        <v>3643</v>
      </c>
      <c r="H44" s="11">
        <v>5226</v>
      </c>
      <c r="I44" s="11">
        <v>4492</v>
      </c>
    </row>
    <row r="45" spans="1:9" x14ac:dyDescent="0.2">
      <c r="A45" s="11" t="s">
        <v>44</v>
      </c>
      <c r="B45" s="10" t="s">
        <v>0</v>
      </c>
      <c r="C45" s="11">
        <v>317</v>
      </c>
      <c r="D45" s="11">
        <v>692</v>
      </c>
      <c r="E45" s="11">
        <v>771</v>
      </c>
      <c r="F45" s="11">
        <v>701</v>
      </c>
      <c r="G45" s="11">
        <v>799</v>
      </c>
      <c r="H45" s="11">
        <v>1009</v>
      </c>
      <c r="I45" s="11">
        <v>1116</v>
      </c>
    </row>
    <row r="46" spans="1:9" x14ac:dyDescent="0.2">
      <c r="A46" s="11" t="s">
        <v>45</v>
      </c>
      <c r="B46" s="10" t="s">
        <v>0</v>
      </c>
      <c r="C46" s="11">
        <v>4238</v>
      </c>
      <c r="D46" s="11">
        <v>7380</v>
      </c>
      <c r="E46" s="11">
        <v>6800</v>
      </c>
      <c r="F46" s="11">
        <v>6933</v>
      </c>
      <c r="G46" s="11">
        <v>9112</v>
      </c>
      <c r="H46" s="11">
        <v>8852</v>
      </c>
      <c r="I46" s="11">
        <v>5599</v>
      </c>
    </row>
    <row r="47" spans="1:9" x14ac:dyDescent="0.2">
      <c r="A47" s="11" t="s">
        <v>46</v>
      </c>
      <c r="B47" s="10" t="s">
        <v>0</v>
      </c>
      <c r="C47" s="11">
        <v>27162</v>
      </c>
      <c r="D47" s="11">
        <v>49367</v>
      </c>
      <c r="E47" s="11">
        <v>54271</v>
      </c>
      <c r="F47" s="11">
        <v>45653</v>
      </c>
      <c r="G47" s="11">
        <v>44598</v>
      </c>
      <c r="H47" s="11">
        <v>46485</v>
      </c>
      <c r="I47" s="11">
        <v>39242</v>
      </c>
    </row>
    <row r="48" spans="1:9" x14ac:dyDescent="0.2">
      <c r="A48" s="11" t="s">
        <v>47</v>
      </c>
      <c r="B48" s="10" t="s">
        <v>0</v>
      </c>
      <c r="C48" s="11">
        <v>244</v>
      </c>
      <c r="D48" s="11">
        <v>587</v>
      </c>
      <c r="E48" s="11">
        <v>636</v>
      </c>
      <c r="F48" s="11">
        <v>455</v>
      </c>
      <c r="G48" s="11">
        <v>501</v>
      </c>
      <c r="H48" s="11">
        <v>704</v>
      </c>
      <c r="I48" s="11">
        <v>654</v>
      </c>
    </row>
    <row r="49" spans="1:9" x14ac:dyDescent="0.2">
      <c r="A49" s="11" t="s">
        <v>48</v>
      </c>
      <c r="B49" s="10" t="s">
        <v>0</v>
      </c>
      <c r="C49" s="11">
        <v>10289</v>
      </c>
      <c r="D49" s="11">
        <v>15320</v>
      </c>
      <c r="E49" s="11">
        <v>14460</v>
      </c>
      <c r="F49" s="11">
        <v>12995</v>
      </c>
      <c r="G49" s="11">
        <v>14274</v>
      </c>
      <c r="H49" s="11">
        <v>15814</v>
      </c>
      <c r="I49" s="11">
        <v>13606</v>
      </c>
    </row>
    <row r="50" spans="1:9" x14ac:dyDescent="0.2">
      <c r="A50" s="11" t="s">
        <v>49</v>
      </c>
      <c r="B50" s="10" t="s">
        <v>0</v>
      </c>
      <c r="C50" s="11">
        <v>884</v>
      </c>
      <c r="D50" s="11">
        <v>1922</v>
      </c>
      <c r="E50" s="11">
        <v>2210</v>
      </c>
      <c r="F50" s="11">
        <v>2060</v>
      </c>
      <c r="G50" s="11">
        <v>2345</v>
      </c>
      <c r="H50" s="11">
        <v>3157</v>
      </c>
      <c r="I50" s="11">
        <v>2775</v>
      </c>
    </row>
    <row r="51" spans="1:9" x14ac:dyDescent="0.2">
      <c r="A51" s="11" t="s">
        <v>50</v>
      </c>
      <c r="B51" s="10" t="s">
        <v>0</v>
      </c>
      <c r="C51" s="11">
        <v>474</v>
      </c>
      <c r="D51" s="11">
        <v>827</v>
      </c>
      <c r="E51" s="11">
        <v>896</v>
      </c>
      <c r="F51" s="11">
        <v>839</v>
      </c>
      <c r="G51" s="11">
        <v>945</v>
      </c>
      <c r="H51" s="11">
        <v>1106</v>
      </c>
      <c r="I51" s="11">
        <v>951</v>
      </c>
    </row>
    <row r="52" spans="1:9" x14ac:dyDescent="0.2">
      <c r="A52" s="11" t="s">
        <v>51</v>
      </c>
      <c r="B52" s="10" t="s">
        <v>0</v>
      </c>
      <c r="C52" s="11">
        <v>63465</v>
      </c>
      <c r="D52" s="11">
        <v>178362</v>
      </c>
      <c r="E52" s="11">
        <v>157365</v>
      </c>
      <c r="F52" s="11">
        <v>103361</v>
      </c>
      <c r="G52" s="11">
        <v>108739</v>
      </c>
      <c r="H52" s="11">
        <v>99275</v>
      </c>
      <c r="I52" s="11">
        <v>72586</v>
      </c>
    </row>
    <row r="53" spans="1:9" x14ac:dyDescent="0.2">
      <c r="A53" s="11" t="s">
        <v>52</v>
      </c>
      <c r="B53" s="10" t="s">
        <v>0</v>
      </c>
      <c r="C53" s="11">
        <v>977</v>
      </c>
      <c r="D53" s="11">
        <v>1806</v>
      </c>
      <c r="E53" s="11">
        <v>1717</v>
      </c>
      <c r="F53" s="11">
        <v>1783</v>
      </c>
      <c r="G53" s="11">
        <v>2483</v>
      </c>
      <c r="H53" s="11">
        <v>2828</v>
      </c>
      <c r="I53" s="11">
        <v>2084</v>
      </c>
    </row>
    <row r="54" spans="1:9" x14ac:dyDescent="0.2">
      <c r="A54" s="11" t="s">
        <v>53</v>
      </c>
      <c r="B54" s="10" t="s">
        <v>0</v>
      </c>
      <c r="C54" s="11">
        <v>110</v>
      </c>
      <c r="D54" s="11">
        <v>141</v>
      </c>
      <c r="E54" s="11">
        <v>204</v>
      </c>
      <c r="F54" s="11">
        <v>206</v>
      </c>
      <c r="G54" s="11">
        <v>284</v>
      </c>
      <c r="H54" s="11">
        <v>421</v>
      </c>
      <c r="I54" s="11">
        <v>376</v>
      </c>
    </row>
    <row r="55" spans="1:9" x14ac:dyDescent="0.2">
      <c r="A55" s="11" t="s">
        <v>54</v>
      </c>
      <c r="B55" s="10" t="s">
        <v>0</v>
      </c>
      <c r="C55" s="11">
        <v>1537</v>
      </c>
      <c r="D55" s="11">
        <v>3339</v>
      </c>
      <c r="E55" s="11">
        <v>3680</v>
      </c>
      <c r="F55" s="11">
        <v>3523</v>
      </c>
      <c r="G55" s="11">
        <v>4157</v>
      </c>
      <c r="H55" s="11">
        <v>5051</v>
      </c>
      <c r="I55" s="11">
        <v>4147</v>
      </c>
    </row>
    <row r="56" spans="1:9" x14ac:dyDescent="0.2">
      <c r="A56" s="11" t="s">
        <v>55</v>
      </c>
      <c r="B56" s="10" t="s">
        <v>0</v>
      </c>
      <c r="C56" s="11">
        <v>627</v>
      </c>
      <c r="D56" s="11">
        <v>718</v>
      </c>
      <c r="E56" s="11">
        <v>643</v>
      </c>
      <c r="F56" s="11">
        <v>595</v>
      </c>
      <c r="G56" s="11">
        <v>682</v>
      </c>
      <c r="H56" s="11">
        <v>851</v>
      </c>
      <c r="I56" s="11">
        <v>821</v>
      </c>
    </row>
    <row r="57" spans="1:9" x14ac:dyDescent="0.2">
      <c r="A57" s="11" t="s">
        <v>56</v>
      </c>
      <c r="B57" s="10" t="s">
        <v>0</v>
      </c>
      <c r="C57" s="11">
        <v>489</v>
      </c>
      <c r="D57" s="11">
        <v>1054</v>
      </c>
      <c r="E57" s="11">
        <v>1322</v>
      </c>
      <c r="F57" s="11">
        <v>1258</v>
      </c>
      <c r="G57" s="11">
        <v>1616</v>
      </c>
      <c r="H57" s="11">
        <v>2426</v>
      </c>
      <c r="I57" s="11">
        <v>2328</v>
      </c>
    </row>
    <row r="58" spans="1:9" x14ac:dyDescent="0.2">
      <c r="A58" s="11" t="s">
        <v>57</v>
      </c>
      <c r="B58" s="10" t="s">
        <v>0</v>
      </c>
      <c r="C58" s="11">
        <v>46</v>
      </c>
      <c r="D58" s="11">
        <v>86</v>
      </c>
      <c r="E58" s="11">
        <v>95</v>
      </c>
      <c r="F58" s="11">
        <v>100</v>
      </c>
      <c r="G58" s="11">
        <v>166</v>
      </c>
      <c r="H58" s="11">
        <v>308</v>
      </c>
      <c r="I58" s="11">
        <v>268</v>
      </c>
    </row>
    <row r="59" spans="1:9" x14ac:dyDescent="0.2">
      <c r="A59" s="11" t="s">
        <v>58</v>
      </c>
      <c r="B59" s="10" t="s">
        <v>0</v>
      </c>
      <c r="C59" s="11">
        <v>361</v>
      </c>
      <c r="D59" s="11">
        <v>695</v>
      </c>
      <c r="E59" s="11">
        <v>768</v>
      </c>
      <c r="F59" s="11">
        <v>737</v>
      </c>
      <c r="G59" s="11">
        <v>1024</v>
      </c>
      <c r="H59" s="11">
        <v>1350</v>
      </c>
      <c r="I59" s="11">
        <v>1213</v>
      </c>
    </row>
    <row r="60" spans="1:9" x14ac:dyDescent="0.2">
      <c r="A60" s="11" t="s">
        <v>59</v>
      </c>
      <c r="B60" s="10" t="s">
        <v>0</v>
      </c>
      <c r="C60" s="11">
        <v>391</v>
      </c>
      <c r="D60" s="11">
        <v>608</v>
      </c>
      <c r="E60" s="11">
        <v>619</v>
      </c>
      <c r="F60" s="11">
        <v>613</v>
      </c>
      <c r="G60" s="11">
        <v>739</v>
      </c>
      <c r="H60" s="11">
        <v>1037</v>
      </c>
      <c r="I60" s="11">
        <v>932</v>
      </c>
    </row>
    <row r="61" spans="1:9" x14ac:dyDescent="0.2">
      <c r="A61" s="11" t="s">
        <v>60</v>
      </c>
      <c r="B61" s="10" t="s">
        <v>0</v>
      </c>
      <c r="C61" s="11">
        <v>1518</v>
      </c>
      <c r="D61" s="11">
        <v>1409</v>
      </c>
      <c r="E61" s="11">
        <v>1041</v>
      </c>
      <c r="F61" s="11">
        <v>863</v>
      </c>
      <c r="G61" s="11">
        <v>899</v>
      </c>
      <c r="H61" s="11">
        <v>1067</v>
      </c>
      <c r="I61" s="11">
        <v>1105</v>
      </c>
    </row>
    <row r="62" spans="1:9" x14ac:dyDescent="0.2">
      <c r="A62" s="11" t="s">
        <v>61</v>
      </c>
      <c r="B62" s="10" t="s">
        <v>0</v>
      </c>
      <c r="C62" s="11">
        <v>505</v>
      </c>
      <c r="D62" s="11">
        <v>878</v>
      </c>
      <c r="E62" s="11">
        <v>1019</v>
      </c>
      <c r="F62" s="11">
        <v>967</v>
      </c>
      <c r="G62" s="11">
        <v>1177</v>
      </c>
      <c r="H62" s="11">
        <v>1914</v>
      </c>
      <c r="I62" s="11">
        <v>1579</v>
      </c>
    </row>
    <row r="63" spans="1:9" x14ac:dyDescent="0.2">
      <c r="A63" s="11" t="s">
        <v>62</v>
      </c>
      <c r="B63" s="10" t="s">
        <v>0</v>
      </c>
      <c r="C63" s="11">
        <v>385</v>
      </c>
      <c r="D63" s="11">
        <v>650</v>
      </c>
      <c r="E63" s="11">
        <v>768</v>
      </c>
      <c r="F63" s="11">
        <v>712</v>
      </c>
      <c r="G63" s="11">
        <v>1050</v>
      </c>
      <c r="H63" s="11">
        <v>1472</v>
      </c>
      <c r="I63" s="11">
        <v>1316</v>
      </c>
    </row>
    <row r="64" spans="1:9" x14ac:dyDescent="0.2">
      <c r="A64" s="11" t="s">
        <v>63</v>
      </c>
      <c r="B64" s="10" t="s">
        <v>0</v>
      </c>
      <c r="C64" s="11">
        <v>3095</v>
      </c>
      <c r="D64" s="11">
        <v>5929</v>
      </c>
      <c r="E64" s="11">
        <v>7080</v>
      </c>
      <c r="F64" s="11">
        <v>6610</v>
      </c>
      <c r="G64" s="11">
        <v>8453</v>
      </c>
      <c r="H64" s="11">
        <v>11406</v>
      </c>
      <c r="I64" s="11">
        <v>10123</v>
      </c>
    </row>
    <row r="65" spans="1:9" x14ac:dyDescent="0.2">
      <c r="A65" s="11" t="s">
        <v>64</v>
      </c>
      <c r="B65" s="10" t="s">
        <v>0</v>
      </c>
      <c r="C65" s="11">
        <v>508</v>
      </c>
      <c r="D65" s="11">
        <v>1031</v>
      </c>
      <c r="E65" s="11">
        <v>1194</v>
      </c>
      <c r="F65" s="11">
        <v>1093</v>
      </c>
      <c r="G65" s="11">
        <v>1421</v>
      </c>
      <c r="H65" s="11">
        <v>1915</v>
      </c>
      <c r="I65" s="11">
        <v>1585</v>
      </c>
    </row>
    <row r="66" spans="1:9" x14ac:dyDescent="0.2">
      <c r="A66" s="11" t="s">
        <v>65</v>
      </c>
      <c r="B66" s="10" t="s">
        <v>0</v>
      </c>
      <c r="C66" s="11">
        <v>5275</v>
      </c>
      <c r="D66" s="11">
        <v>10040</v>
      </c>
      <c r="E66" s="11">
        <v>11345</v>
      </c>
      <c r="F66" s="11">
        <v>10532</v>
      </c>
      <c r="G66" s="11">
        <v>13521</v>
      </c>
      <c r="H66" s="11">
        <v>18792</v>
      </c>
      <c r="I66" s="11">
        <v>17429</v>
      </c>
    </row>
    <row r="67" spans="1:9" x14ac:dyDescent="0.2">
      <c r="A67" s="11" t="s">
        <v>66</v>
      </c>
      <c r="B67" s="10" t="s">
        <v>0</v>
      </c>
      <c r="C67" s="11">
        <v>344</v>
      </c>
      <c r="D67" s="11">
        <v>629</v>
      </c>
      <c r="E67" s="11">
        <v>659</v>
      </c>
      <c r="F67" s="11">
        <v>607</v>
      </c>
      <c r="G67" s="11">
        <v>770</v>
      </c>
      <c r="H67" s="11">
        <v>957</v>
      </c>
      <c r="I67" s="11">
        <v>765</v>
      </c>
    </row>
    <row r="68" spans="1:9" ht="13.5" thickBot="1" x14ac:dyDescent="0.25">
      <c r="A68" s="13" t="s">
        <v>67</v>
      </c>
      <c r="B68" s="12" t="s">
        <v>0</v>
      </c>
      <c r="C68" s="11">
        <v>8313</v>
      </c>
      <c r="D68" s="11">
        <v>15326</v>
      </c>
      <c r="E68" s="11">
        <v>15941</v>
      </c>
      <c r="F68" s="11">
        <v>14245</v>
      </c>
      <c r="G68" s="11">
        <v>14454</v>
      </c>
      <c r="H68" s="11">
        <v>15492</v>
      </c>
      <c r="I68" s="11">
        <v>13335</v>
      </c>
    </row>
    <row r="69" spans="1:9" x14ac:dyDescent="0.2">
      <c r="A69" s="32" t="s">
        <v>68</v>
      </c>
      <c r="C69" s="14">
        <f>SUM(C2:C68)</f>
        <v>323682</v>
      </c>
      <c r="D69" s="14">
        <f>SUM(D2:D68)</f>
        <v>664316</v>
      </c>
      <c r="E69" s="14">
        <f t="shared" ref="E69:I69" si="0">SUM(E2:E68)</f>
        <v>651825</v>
      </c>
      <c r="F69" s="14">
        <f t="shared" si="0"/>
        <v>523624</v>
      </c>
      <c r="G69" s="14">
        <f t="shared" si="0"/>
        <v>564163</v>
      </c>
      <c r="H69" s="14">
        <f t="shared" si="0"/>
        <v>623691</v>
      </c>
      <c r="I69" s="14">
        <f t="shared" si="0"/>
        <v>513681</v>
      </c>
    </row>
    <row r="70" spans="1:9" x14ac:dyDescent="0.2">
      <c r="C70" s="17">
        <f>C69/$C$73</f>
        <v>8.3747349922975056E-2</v>
      </c>
      <c r="D70" s="17">
        <f t="shared" ref="D70:I70" si="1">D69/$C$73</f>
        <v>0.17188074873311182</v>
      </c>
      <c r="E70" s="17">
        <f t="shared" si="1"/>
        <v>0.1686489096197602</v>
      </c>
      <c r="F70" s="17">
        <f t="shared" si="1"/>
        <v>0.13547902681047416</v>
      </c>
      <c r="G70" s="17">
        <f t="shared" si="1"/>
        <v>0.14596782080744489</v>
      </c>
      <c r="H70" s="17">
        <f t="shared" si="1"/>
        <v>0.16136970366226802</v>
      </c>
      <c r="I70" s="17">
        <f t="shared" si="1"/>
        <v>0.13290644044396585</v>
      </c>
    </row>
    <row r="73" spans="1:9" x14ac:dyDescent="0.2">
      <c r="A73" s="32" t="s">
        <v>80</v>
      </c>
      <c r="C73" s="16">
        <f>SUM(C69:I69)</f>
        <v>3864982</v>
      </c>
    </row>
    <row r="75" spans="1:9" x14ac:dyDescent="0.2">
      <c r="I75" s="10"/>
    </row>
    <row r="82" spans="3:6" x14ac:dyDescent="0.2">
      <c r="F82" s="11"/>
    </row>
    <row r="83" spans="3:6" x14ac:dyDescent="0.2">
      <c r="F83" s="11"/>
    </row>
    <row r="84" spans="3:6" x14ac:dyDescent="0.2">
      <c r="C84" s="11"/>
      <c r="F84" s="11"/>
    </row>
    <row r="85" spans="3:6" x14ac:dyDescent="0.2">
      <c r="C85" s="11"/>
      <c r="F85" s="11"/>
    </row>
    <row r="87" spans="3:6" x14ac:dyDescent="0.2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7" sqref="K7"/>
    </sheetView>
  </sheetViews>
  <sheetFormatPr defaultColWidth="9.140625" defaultRowHeight="12.75" x14ac:dyDescent="0.2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70</v>
      </c>
      <c r="C2" s="52">
        <v>2719</v>
      </c>
      <c r="D2" s="52">
        <v>5205</v>
      </c>
      <c r="E2" s="52">
        <v>6006</v>
      </c>
      <c r="F2" s="52">
        <v>5986</v>
      </c>
      <c r="G2" s="52">
        <v>9176</v>
      </c>
      <c r="H2" s="52">
        <v>8608</v>
      </c>
      <c r="I2" s="52">
        <v>6381</v>
      </c>
      <c r="J2" s="10" t="s">
        <v>115</v>
      </c>
    </row>
    <row r="3" spans="1:10" x14ac:dyDescent="0.2">
      <c r="A3" s="11" t="s">
        <v>2</v>
      </c>
      <c r="B3" s="10" t="s">
        <v>70</v>
      </c>
      <c r="C3" s="52">
        <v>18380</v>
      </c>
      <c r="D3" s="52">
        <v>38760</v>
      </c>
      <c r="E3" s="52">
        <v>38949</v>
      </c>
      <c r="F3" s="52">
        <v>36603</v>
      </c>
      <c r="G3" s="52">
        <v>47701</v>
      </c>
      <c r="H3" s="52">
        <v>46905</v>
      </c>
      <c r="I3" s="52">
        <v>35773</v>
      </c>
    </row>
    <row r="4" spans="1:10" x14ac:dyDescent="0.2">
      <c r="A4" s="11" t="s">
        <v>3</v>
      </c>
      <c r="B4" s="10" t="s">
        <v>70</v>
      </c>
      <c r="C4" s="52">
        <v>1960</v>
      </c>
      <c r="D4" s="52">
        <v>3441</v>
      </c>
      <c r="E4" s="52">
        <v>3880</v>
      </c>
      <c r="F4" s="52">
        <v>4213</v>
      </c>
      <c r="G4" s="52">
        <v>5251</v>
      </c>
      <c r="H4" s="52">
        <v>5114</v>
      </c>
      <c r="I4" s="52">
        <v>3841</v>
      </c>
    </row>
    <row r="5" spans="1:10" x14ac:dyDescent="0.2">
      <c r="A5" s="11" t="s">
        <v>4</v>
      </c>
      <c r="B5" s="10" t="s">
        <v>70</v>
      </c>
      <c r="C5" s="52">
        <v>3328</v>
      </c>
      <c r="D5" s="52">
        <v>6708</v>
      </c>
      <c r="E5" s="52">
        <v>7906</v>
      </c>
      <c r="F5" s="52">
        <v>7709</v>
      </c>
      <c r="G5" s="52">
        <v>10005</v>
      </c>
      <c r="H5" s="52">
        <v>9531</v>
      </c>
      <c r="I5" s="52">
        <v>6744</v>
      </c>
    </row>
    <row r="6" spans="1:10" x14ac:dyDescent="0.2">
      <c r="A6" s="11" t="s">
        <v>5</v>
      </c>
      <c r="B6" s="10" t="s">
        <v>70</v>
      </c>
      <c r="C6" s="52">
        <v>1630</v>
      </c>
      <c r="D6" s="52">
        <v>3071</v>
      </c>
      <c r="E6" s="52">
        <v>3259</v>
      </c>
      <c r="F6" s="52">
        <v>3605</v>
      </c>
      <c r="G6" s="52">
        <v>4727</v>
      </c>
      <c r="H6" s="52">
        <v>4759</v>
      </c>
      <c r="I6" s="52">
        <v>3528</v>
      </c>
    </row>
    <row r="7" spans="1:10" x14ac:dyDescent="0.2">
      <c r="A7" s="11" t="s">
        <v>6</v>
      </c>
      <c r="B7" s="10" t="s">
        <v>70</v>
      </c>
      <c r="C7" s="52">
        <v>7963</v>
      </c>
      <c r="D7" s="52">
        <v>14578</v>
      </c>
      <c r="E7" s="52">
        <v>16811</v>
      </c>
      <c r="F7" s="52">
        <v>17420</v>
      </c>
      <c r="G7" s="52">
        <v>23808</v>
      </c>
      <c r="H7" s="52">
        <v>20915</v>
      </c>
      <c r="I7" s="52">
        <v>16556</v>
      </c>
    </row>
    <row r="8" spans="1:10" x14ac:dyDescent="0.2">
      <c r="A8" s="11" t="s">
        <v>7</v>
      </c>
      <c r="B8" s="10" t="s">
        <v>70</v>
      </c>
      <c r="C8" s="52">
        <v>3477</v>
      </c>
      <c r="D8" s="52">
        <v>5866</v>
      </c>
      <c r="E8" s="52">
        <v>6850</v>
      </c>
      <c r="F8" s="52">
        <v>7701</v>
      </c>
      <c r="G8" s="52">
        <v>9439</v>
      </c>
      <c r="H8" s="52">
        <v>9336</v>
      </c>
      <c r="I8" s="52">
        <v>7928</v>
      </c>
    </row>
    <row r="9" spans="1:10" x14ac:dyDescent="0.2">
      <c r="A9" s="11" t="s">
        <v>8</v>
      </c>
      <c r="B9" s="10" t="s">
        <v>70</v>
      </c>
      <c r="C9" s="52">
        <v>1821</v>
      </c>
      <c r="D9" s="52">
        <v>3158</v>
      </c>
      <c r="E9" s="52">
        <v>3632</v>
      </c>
      <c r="F9" s="52">
        <v>3629</v>
      </c>
      <c r="G9" s="52">
        <v>4995</v>
      </c>
      <c r="H9" s="52">
        <v>4636</v>
      </c>
      <c r="I9" s="52">
        <v>3812</v>
      </c>
    </row>
    <row r="10" spans="1:10" x14ac:dyDescent="0.2">
      <c r="A10" s="11" t="s">
        <v>9</v>
      </c>
      <c r="B10" s="10" t="s">
        <v>70</v>
      </c>
      <c r="C10" s="52">
        <v>13700</v>
      </c>
      <c r="D10" s="52">
        <v>24266</v>
      </c>
      <c r="E10" s="52">
        <v>26341</v>
      </c>
      <c r="F10" s="52">
        <v>28469</v>
      </c>
      <c r="G10" s="52">
        <v>41679</v>
      </c>
      <c r="H10" s="52">
        <v>37792</v>
      </c>
      <c r="I10" s="52">
        <v>29561</v>
      </c>
    </row>
    <row r="11" spans="1:10" x14ac:dyDescent="0.2">
      <c r="A11" s="11" t="s">
        <v>10</v>
      </c>
      <c r="B11" s="10" t="s">
        <v>70</v>
      </c>
      <c r="C11" s="52">
        <v>5733</v>
      </c>
      <c r="D11" s="52">
        <v>10956</v>
      </c>
      <c r="E11" s="52">
        <v>12160</v>
      </c>
      <c r="F11" s="52">
        <v>12299</v>
      </c>
      <c r="G11" s="52">
        <v>16318</v>
      </c>
      <c r="H11" s="52">
        <v>14715</v>
      </c>
      <c r="I11" s="52">
        <v>10864</v>
      </c>
    </row>
    <row r="12" spans="1:10" x14ac:dyDescent="0.2">
      <c r="A12" s="11" t="s">
        <v>11</v>
      </c>
      <c r="B12" s="10" t="s">
        <v>70</v>
      </c>
      <c r="C12" s="52">
        <v>3436</v>
      </c>
      <c r="D12" s="52">
        <v>5830</v>
      </c>
      <c r="E12" s="52">
        <v>6319</v>
      </c>
      <c r="F12" s="52">
        <v>7149</v>
      </c>
      <c r="G12" s="52">
        <v>8618</v>
      </c>
      <c r="H12" s="52">
        <v>8566</v>
      </c>
      <c r="I12" s="52">
        <v>6599</v>
      </c>
    </row>
    <row r="13" spans="1:10" x14ac:dyDescent="0.2">
      <c r="A13" s="11" t="s">
        <v>12</v>
      </c>
      <c r="B13" s="10" t="s">
        <v>70</v>
      </c>
      <c r="C13" s="52">
        <v>83</v>
      </c>
      <c r="D13" s="52">
        <v>165</v>
      </c>
      <c r="E13" s="52">
        <v>215</v>
      </c>
      <c r="F13" s="52">
        <v>231</v>
      </c>
      <c r="G13" s="52">
        <v>385</v>
      </c>
      <c r="H13" s="52">
        <v>418</v>
      </c>
      <c r="I13" s="52">
        <v>344</v>
      </c>
    </row>
    <row r="14" spans="1:10" x14ac:dyDescent="0.2">
      <c r="A14" s="11" t="s">
        <v>13</v>
      </c>
      <c r="B14" s="10" t="s">
        <v>70</v>
      </c>
      <c r="C14" s="52">
        <v>1496</v>
      </c>
      <c r="D14" s="52">
        <v>2848</v>
      </c>
      <c r="E14" s="52">
        <v>3310</v>
      </c>
      <c r="F14" s="52">
        <v>3654</v>
      </c>
      <c r="G14" s="52">
        <v>5037</v>
      </c>
      <c r="H14" s="52">
        <v>4489</v>
      </c>
      <c r="I14" s="52">
        <v>3122</v>
      </c>
    </row>
    <row r="15" spans="1:10" x14ac:dyDescent="0.2">
      <c r="A15" s="11" t="s">
        <v>14</v>
      </c>
      <c r="B15" s="10" t="s">
        <v>70</v>
      </c>
      <c r="C15" s="52">
        <v>5363</v>
      </c>
      <c r="D15" s="52">
        <v>5888</v>
      </c>
      <c r="E15" s="52">
        <v>5211</v>
      </c>
      <c r="F15" s="52">
        <v>5276</v>
      </c>
      <c r="G15" s="52">
        <v>7403</v>
      </c>
      <c r="H15" s="52">
        <v>6904</v>
      </c>
      <c r="I15" s="52">
        <v>5767</v>
      </c>
    </row>
    <row r="16" spans="1:10" x14ac:dyDescent="0.2">
      <c r="A16" s="11" t="s">
        <v>15</v>
      </c>
      <c r="B16" s="10" t="s">
        <v>70</v>
      </c>
      <c r="C16" s="52">
        <v>10666</v>
      </c>
      <c r="D16" s="52">
        <v>19039</v>
      </c>
      <c r="E16" s="52">
        <v>19595</v>
      </c>
      <c r="F16" s="52">
        <v>21656</v>
      </c>
      <c r="G16" s="52">
        <v>31012</v>
      </c>
      <c r="H16" s="52">
        <v>27344</v>
      </c>
      <c r="I16" s="52">
        <v>22435</v>
      </c>
    </row>
    <row r="17" spans="1:9" x14ac:dyDescent="0.2">
      <c r="A17" s="11" t="s">
        <v>16</v>
      </c>
      <c r="B17" s="10" t="s">
        <v>70</v>
      </c>
      <c r="C17" s="52">
        <v>1068</v>
      </c>
      <c r="D17" s="52">
        <v>1865</v>
      </c>
      <c r="E17" s="52">
        <v>2143</v>
      </c>
      <c r="F17" s="52">
        <v>2334</v>
      </c>
      <c r="G17" s="52">
        <v>3099</v>
      </c>
      <c r="H17" s="52">
        <v>2796</v>
      </c>
      <c r="I17" s="52">
        <v>2192</v>
      </c>
    </row>
    <row r="18" spans="1:9" x14ac:dyDescent="0.2">
      <c r="A18" s="11" t="s">
        <v>17</v>
      </c>
      <c r="B18" s="10" t="s">
        <v>70</v>
      </c>
      <c r="C18" s="52">
        <v>1988</v>
      </c>
      <c r="D18" s="52">
        <v>3898</v>
      </c>
      <c r="E18" s="52">
        <v>4382</v>
      </c>
      <c r="F18" s="52">
        <v>4920</v>
      </c>
      <c r="G18" s="52">
        <v>6268</v>
      </c>
      <c r="H18" s="52">
        <v>5749</v>
      </c>
      <c r="I18" s="52">
        <v>4249</v>
      </c>
    </row>
    <row r="19" spans="1:9" x14ac:dyDescent="0.2">
      <c r="A19" s="11" t="s">
        <v>18</v>
      </c>
      <c r="B19" s="10" t="s">
        <v>70</v>
      </c>
      <c r="C19" s="52">
        <v>950</v>
      </c>
      <c r="D19" s="52">
        <v>1743</v>
      </c>
      <c r="E19" s="52">
        <v>1832</v>
      </c>
      <c r="F19" s="52">
        <v>2064</v>
      </c>
      <c r="G19" s="52">
        <v>2553</v>
      </c>
      <c r="H19" s="52">
        <v>2331</v>
      </c>
      <c r="I19" s="52">
        <v>1802</v>
      </c>
    </row>
    <row r="20" spans="1:9" x14ac:dyDescent="0.2">
      <c r="A20" s="11" t="s">
        <v>19</v>
      </c>
      <c r="B20" s="10" t="s">
        <v>70</v>
      </c>
      <c r="C20" s="52">
        <v>1666</v>
      </c>
      <c r="D20" s="52">
        <v>2841</v>
      </c>
      <c r="E20" s="52">
        <v>3027</v>
      </c>
      <c r="F20" s="52">
        <v>3314</v>
      </c>
      <c r="G20" s="52">
        <v>4262</v>
      </c>
      <c r="H20" s="52">
        <v>4111</v>
      </c>
      <c r="I20" s="52">
        <v>3227</v>
      </c>
    </row>
    <row r="21" spans="1:9" x14ac:dyDescent="0.2">
      <c r="A21" s="11" t="s">
        <v>20</v>
      </c>
      <c r="B21" s="10" t="s">
        <v>70</v>
      </c>
      <c r="C21" s="52">
        <v>2092</v>
      </c>
      <c r="D21" s="52">
        <v>3748</v>
      </c>
      <c r="E21" s="52">
        <v>4350</v>
      </c>
      <c r="F21" s="52">
        <v>4578</v>
      </c>
      <c r="G21" s="52">
        <v>6165</v>
      </c>
      <c r="H21" s="52">
        <v>6015</v>
      </c>
      <c r="I21" s="52">
        <v>4843</v>
      </c>
    </row>
    <row r="22" spans="1:9" x14ac:dyDescent="0.2">
      <c r="A22" s="11" t="s">
        <v>21</v>
      </c>
      <c r="B22" s="10" t="s">
        <v>70</v>
      </c>
      <c r="C22" s="52">
        <v>5734</v>
      </c>
      <c r="D22" s="52">
        <v>10932</v>
      </c>
      <c r="E22" s="52">
        <v>12346</v>
      </c>
      <c r="F22" s="52">
        <v>12730</v>
      </c>
      <c r="G22" s="52">
        <v>16732</v>
      </c>
      <c r="H22" s="52">
        <v>15782</v>
      </c>
      <c r="I22" s="52">
        <v>13986</v>
      </c>
    </row>
    <row r="23" spans="1:9" x14ac:dyDescent="0.2">
      <c r="A23" s="11" t="s">
        <v>22</v>
      </c>
      <c r="B23" s="10" t="s">
        <v>70</v>
      </c>
      <c r="C23" s="52">
        <v>4774</v>
      </c>
      <c r="D23" s="52">
        <v>9700</v>
      </c>
      <c r="E23" s="52">
        <v>10823</v>
      </c>
      <c r="F23" s="52">
        <v>10955</v>
      </c>
      <c r="G23" s="52">
        <v>14734</v>
      </c>
      <c r="H23" s="52">
        <v>14057</v>
      </c>
      <c r="I23" s="52">
        <v>10881</v>
      </c>
    </row>
    <row r="24" spans="1:9" x14ac:dyDescent="0.2">
      <c r="A24" s="11" t="s">
        <v>23</v>
      </c>
      <c r="B24" s="10" t="s">
        <v>70</v>
      </c>
      <c r="C24" s="52">
        <v>9381</v>
      </c>
      <c r="D24" s="52">
        <v>17488</v>
      </c>
      <c r="E24" s="52">
        <v>19781</v>
      </c>
      <c r="F24" s="52">
        <v>19542</v>
      </c>
      <c r="G24" s="52">
        <v>27811</v>
      </c>
      <c r="H24" s="52">
        <v>27119</v>
      </c>
      <c r="I24" s="52">
        <v>21436</v>
      </c>
    </row>
    <row r="25" spans="1:9" x14ac:dyDescent="0.2">
      <c r="A25" s="11" t="s">
        <v>24</v>
      </c>
      <c r="B25" s="10" t="s">
        <v>70</v>
      </c>
      <c r="C25" s="52">
        <v>790</v>
      </c>
      <c r="D25" s="52">
        <v>1492</v>
      </c>
      <c r="E25" s="52">
        <v>1649</v>
      </c>
      <c r="F25" s="52">
        <v>1746</v>
      </c>
      <c r="G25" s="52">
        <v>2512</v>
      </c>
      <c r="H25" s="52">
        <v>2315</v>
      </c>
      <c r="I25" s="52">
        <v>1622</v>
      </c>
    </row>
    <row r="26" spans="1:9" x14ac:dyDescent="0.2">
      <c r="A26" s="11" t="s">
        <v>25</v>
      </c>
      <c r="B26" s="10" t="s">
        <v>70</v>
      </c>
      <c r="C26" s="52">
        <v>5260</v>
      </c>
      <c r="D26" s="52">
        <v>9432</v>
      </c>
      <c r="E26" s="52">
        <v>10220</v>
      </c>
      <c r="F26" s="52">
        <v>10762</v>
      </c>
      <c r="G26" s="52">
        <v>13730</v>
      </c>
      <c r="H26" s="52">
        <v>12187</v>
      </c>
      <c r="I26" s="52">
        <v>9191</v>
      </c>
    </row>
    <row r="27" spans="1:9" x14ac:dyDescent="0.2">
      <c r="A27" s="11" t="s">
        <v>26</v>
      </c>
      <c r="B27" s="10" t="s">
        <v>70</v>
      </c>
      <c r="C27" s="52">
        <v>2745</v>
      </c>
      <c r="D27" s="52">
        <v>5790</v>
      </c>
      <c r="E27" s="52">
        <v>6216</v>
      </c>
      <c r="F27" s="52">
        <v>6747</v>
      </c>
      <c r="G27" s="52">
        <v>7947</v>
      </c>
      <c r="H27" s="52">
        <v>6977</v>
      </c>
      <c r="I27" s="52">
        <v>4913</v>
      </c>
    </row>
    <row r="28" spans="1:9" x14ac:dyDescent="0.2">
      <c r="A28" s="11" t="s">
        <v>27</v>
      </c>
      <c r="B28" s="10" t="s">
        <v>70</v>
      </c>
      <c r="C28" s="52">
        <v>106</v>
      </c>
      <c r="D28" s="52">
        <v>140</v>
      </c>
      <c r="E28" s="52">
        <v>201</v>
      </c>
      <c r="F28" s="52">
        <v>273</v>
      </c>
      <c r="G28" s="52">
        <v>448</v>
      </c>
      <c r="H28" s="52">
        <v>506</v>
      </c>
      <c r="I28" s="52">
        <v>396</v>
      </c>
    </row>
    <row r="29" spans="1:9" x14ac:dyDescent="0.2">
      <c r="A29" s="11" t="s">
        <v>28</v>
      </c>
      <c r="B29" s="10" t="s">
        <v>70</v>
      </c>
      <c r="C29" s="52">
        <v>4161</v>
      </c>
      <c r="D29" s="52">
        <v>8028</v>
      </c>
      <c r="E29" s="52">
        <v>9143</v>
      </c>
      <c r="F29" s="52">
        <v>9731</v>
      </c>
      <c r="G29" s="52">
        <v>12503</v>
      </c>
      <c r="H29" s="52">
        <v>11202</v>
      </c>
      <c r="I29" s="52">
        <v>9583</v>
      </c>
    </row>
    <row r="30" spans="1:9" x14ac:dyDescent="0.2">
      <c r="A30" s="11" t="s">
        <v>29</v>
      </c>
      <c r="B30" s="10" t="s">
        <v>70</v>
      </c>
      <c r="C30" s="52">
        <v>516</v>
      </c>
      <c r="D30" s="52">
        <v>996</v>
      </c>
      <c r="E30" s="52">
        <v>1014</v>
      </c>
      <c r="F30" s="52">
        <v>1143</v>
      </c>
      <c r="G30" s="52">
        <v>1462</v>
      </c>
      <c r="H30" s="52">
        <v>1346</v>
      </c>
      <c r="I30" s="52">
        <v>995</v>
      </c>
    </row>
    <row r="31" spans="1:9" x14ac:dyDescent="0.2">
      <c r="A31" s="11" t="s">
        <v>30</v>
      </c>
      <c r="B31" s="10" t="s">
        <v>70</v>
      </c>
      <c r="C31" s="52">
        <v>958</v>
      </c>
      <c r="D31" s="52">
        <v>1780</v>
      </c>
      <c r="E31" s="52">
        <v>1792</v>
      </c>
      <c r="F31" s="52">
        <v>2057</v>
      </c>
      <c r="G31" s="52">
        <v>2262</v>
      </c>
      <c r="H31" s="52">
        <v>1952</v>
      </c>
      <c r="I31" s="52">
        <v>1404</v>
      </c>
    </row>
    <row r="32" spans="1:9" x14ac:dyDescent="0.2">
      <c r="A32" s="11" t="s">
        <v>31</v>
      </c>
      <c r="B32" s="10" t="s">
        <v>70</v>
      </c>
      <c r="C32" s="52">
        <v>1340</v>
      </c>
      <c r="D32" s="52">
        <v>2300</v>
      </c>
      <c r="E32" s="52">
        <v>2453</v>
      </c>
      <c r="F32" s="52">
        <v>2759</v>
      </c>
      <c r="G32" s="52">
        <v>3662</v>
      </c>
      <c r="H32" s="52">
        <v>3517</v>
      </c>
      <c r="I32" s="52">
        <v>2847</v>
      </c>
    </row>
    <row r="33" spans="1:9" x14ac:dyDescent="0.2">
      <c r="A33" s="11" t="s">
        <v>32</v>
      </c>
      <c r="B33" s="10" t="s">
        <v>70</v>
      </c>
      <c r="C33" s="52">
        <v>2393</v>
      </c>
      <c r="D33" s="52">
        <v>3571</v>
      </c>
      <c r="E33" s="52">
        <v>3974</v>
      </c>
      <c r="F33" s="52">
        <v>4380</v>
      </c>
      <c r="G33" s="52">
        <v>5355</v>
      </c>
      <c r="H33" s="52">
        <v>5214</v>
      </c>
      <c r="I33" s="52">
        <v>3991</v>
      </c>
    </row>
    <row r="34" spans="1:9" x14ac:dyDescent="0.2">
      <c r="A34" s="11" t="s">
        <v>33</v>
      </c>
      <c r="B34" s="10" t="s">
        <v>70</v>
      </c>
      <c r="C34" s="52">
        <v>1325</v>
      </c>
      <c r="D34" s="52">
        <v>2371</v>
      </c>
      <c r="E34" s="52">
        <v>2859</v>
      </c>
      <c r="F34" s="52">
        <v>2848</v>
      </c>
      <c r="G34" s="52">
        <v>3686</v>
      </c>
      <c r="H34" s="52">
        <v>3630</v>
      </c>
      <c r="I34" s="52">
        <v>2763</v>
      </c>
    </row>
    <row r="35" spans="1:9" x14ac:dyDescent="0.2">
      <c r="A35" s="11" t="s">
        <v>34</v>
      </c>
      <c r="B35" s="10" t="s">
        <v>70</v>
      </c>
      <c r="C35" s="52">
        <v>655</v>
      </c>
      <c r="D35" s="52">
        <v>1282</v>
      </c>
      <c r="E35" s="52">
        <v>1370</v>
      </c>
      <c r="F35" s="52">
        <v>1506</v>
      </c>
      <c r="G35" s="52">
        <v>1956</v>
      </c>
      <c r="H35" s="52">
        <v>1822</v>
      </c>
      <c r="I35" s="52">
        <v>1440</v>
      </c>
    </row>
    <row r="36" spans="1:9" x14ac:dyDescent="0.2">
      <c r="A36" s="11" t="s">
        <v>35</v>
      </c>
      <c r="B36" s="10" t="s">
        <v>70</v>
      </c>
      <c r="C36" s="52">
        <v>4151</v>
      </c>
      <c r="D36" s="52">
        <v>7232</v>
      </c>
      <c r="E36" s="52">
        <v>7827</v>
      </c>
      <c r="F36" s="52">
        <v>8167</v>
      </c>
      <c r="G36" s="52">
        <v>10051</v>
      </c>
      <c r="H36" s="52">
        <v>8313</v>
      </c>
      <c r="I36" s="52">
        <v>6582</v>
      </c>
    </row>
    <row r="37" spans="1:9" x14ac:dyDescent="0.2">
      <c r="A37" s="11" t="s">
        <v>36</v>
      </c>
      <c r="B37" s="10" t="s">
        <v>70</v>
      </c>
      <c r="C37" s="52">
        <v>12798</v>
      </c>
      <c r="D37" s="52">
        <v>24367</v>
      </c>
      <c r="E37" s="52">
        <v>26219</v>
      </c>
      <c r="F37" s="52">
        <v>25261</v>
      </c>
      <c r="G37" s="52">
        <v>32671</v>
      </c>
      <c r="H37" s="52">
        <v>32894</v>
      </c>
      <c r="I37" s="52">
        <v>29556</v>
      </c>
    </row>
    <row r="38" spans="1:9" x14ac:dyDescent="0.2">
      <c r="A38" s="11" t="s">
        <v>37</v>
      </c>
      <c r="B38" s="10" t="s">
        <v>70</v>
      </c>
      <c r="C38" s="52">
        <v>2331</v>
      </c>
      <c r="D38" s="52">
        <v>3824</v>
      </c>
      <c r="E38" s="52">
        <v>4254</v>
      </c>
      <c r="F38" s="52">
        <v>4575</v>
      </c>
      <c r="G38" s="52">
        <v>5550</v>
      </c>
      <c r="H38" s="52">
        <v>5388</v>
      </c>
      <c r="I38" s="52">
        <v>4182</v>
      </c>
    </row>
    <row r="39" spans="1:9" x14ac:dyDescent="0.2">
      <c r="A39" s="11" t="s">
        <v>38</v>
      </c>
      <c r="B39" s="10" t="s">
        <v>70</v>
      </c>
      <c r="C39" s="52">
        <v>3355</v>
      </c>
      <c r="D39" s="52">
        <v>6220</v>
      </c>
      <c r="E39" s="52">
        <v>7151</v>
      </c>
      <c r="F39" s="52">
        <v>7728</v>
      </c>
      <c r="G39" s="52">
        <v>9820</v>
      </c>
      <c r="H39" s="52">
        <v>9801</v>
      </c>
      <c r="I39" s="52">
        <v>8610</v>
      </c>
    </row>
    <row r="40" spans="1:9" x14ac:dyDescent="0.2">
      <c r="A40" s="11" t="s">
        <v>39</v>
      </c>
      <c r="B40" s="10" t="s">
        <v>70</v>
      </c>
      <c r="C40" s="52">
        <v>5810</v>
      </c>
      <c r="D40" s="52">
        <v>11483</v>
      </c>
      <c r="E40" s="52">
        <v>12650</v>
      </c>
      <c r="F40" s="52">
        <v>13121</v>
      </c>
      <c r="G40" s="52">
        <v>17263</v>
      </c>
      <c r="H40" s="52">
        <v>16103</v>
      </c>
      <c r="I40" s="52">
        <v>13101</v>
      </c>
    </row>
    <row r="41" spans="1:9" x14ac:dyDescent="0.2">
      <c r="A41" s="11" t="s">
        <v>40</v>
      </c>
      <c r="B41" s="10" t="s">
        <v>70</v>
      </c>
      <c r="C41" s="52">
        <v>5732</v>
      </c>
      <c r="D41" s="52">
        <v>11177</v>
      </c>
      <c r="E41" s="52">
        <v>13124</v>
      </c>
      <c r="F41" s="52">
        <v>13806</v>
      </c>
      <c r="G41" s="52">
        <v>18331</v>
      </c>
      <c r="H41" s="52">
        <v>15686</v>
      </c>
      <c r="I41" s="52">
        <v>12938</v>
      </c>
    </row>
    <row r="42" spans="1:9" x14ac:dyDescent="0.2">
      <c r="A42" s="11" t="s">
        <v>41</v>
      </c>
      <c r="B42" s="10" t="s">
        <v>70</v>
      </c>
      <c r="C42" s="52">
        <v>2787</v>
      </c>
      <c r="D42" s="52">
        <v>4979</v>
      </c>
      <c r="E42" s="52">
        <v>6288</v>
      </c>
      <c r="F42" s="52">
        <v>6322</v>
      </c>
      <c r="G42" s="52">
        <v>8173</v>
      </c>
      <c r="H42" s="52">
        <v>8490</v>
      </c>
      <c r="I42" s="52">
        <v>6704</v>
      </c>
    </row>
    <row r="43" spans="1:9" x14ac:dyDescent="0.2">
      <c r="A43" s="11" t="s">
        <v>42</v>
      </c>
      <c r="B43" s="10" t="s">
        <v>70</v>
      </c>
      <c r="C43" s="52">
        <v>1020</v>
      </c>
      <c r="D43" s="52">
        <v>1865</v>
      </c>
      <c r="E43" s="52">
        <v>2224</v>
      </c>
      <c r="F43" s="52">
        <v>2408</v>
      </c>
      <c r="G43" s="52">
        <v>3219</v>
      </c>
      <c r="H43" s="52">
        <v>3088</v>
      </c>
      <c r="I43" s="52">
        <v>2381</v>
      </c>
    </row>
    <row r="44" spans="1:9" x14ac:dyDescent="0.2">
      <c r="A44" s="11" t="s">
        <v>43</v>
      </c>
      <c r="B44" s="10" t="s">
        <v>70</v>
      </c>
      <c r="C44" s="52">
        <v>2873</v>
      </c>
      <c r="D44" s="52">
        <v>5010</v>
      </c>
      <c r="E44" s="52">
        <v>5002</v>
      </c>
      <c r="F44" s="52">
        <v>5489</v>
      </c>
      <c r="G44" s="52">
        <v>7191</v>
      </c>
      <c r="H44" s="52">
        <v>7022</v>
      </c>
      <c r="I44" s="52">
        <v>5744</v>
      </c>
    </row>
    <row r="45" spans="1:9" x14ac:dyDescent="0.2">
      <c r="A45" s="11" t="s">
        <v>44</v>
      </c>
      <c r="B45" s="10" t="s">
        <v>70</v>
      </c>
      <c r="C45" s="52">
        <v>1117</v>
      </c>
      <c r="D45" s="52">
        <v>2328</v>
      </c>
      <c r="E45" s="52">
        <v>2505</v>
      </c>
      <c r="F45" s="52">
        <v>2668</v>
      </c>
      <c r="G45" s="52">
        <v>3708</v>
      </c>
      <c r="H45" s="52">
        <v>3424</v>
      </c>
      <c r="I45" s="52">
        <v>2899</v>
      </c>
    </row>
    <row r="46" spans="1:9" x14ac:dyDescent="0.2">
      <c r="A46" s="11" t="s">
        <v>45</v>
      </c>
      <c r="B46" s="10" t="s">
        <v>70</v>
      </c>
      <c r="C46" s="52">
        <v>2522</v>
      </c>
      <c r="D46" s="52">
        <v>5177</v>
      </c>
      <c r="E46" s="52">
        <v>6201</v>
      </c>
      <c r="F46" s="52">
        <v>6479</v>
      </c>
      <c r="G46" s="52">
        <v>9317</v>
      </c>
      <c r="H46" s="52">
        <v>8462</v>
      </c>
      <c r="I46" s="52">
        <v>5261</v>
      </c>
    </row>
    <row r="47" spans="1:9" x14ac:dyDescent="0.2">
      <c r="A47" s="11" t="s">
        <v>46</v>
      </c>
      <c r="B47" s="10" t="s">
        <v>70</v>
      </c>
      <c r="C47" s="52">
        <v>13808</v>
      </c>
      <c r="D47" s="52">
        <v>26050</v>
      </c>
      <c r="E47" s="52">
        <v>28091</v>
      </c>
      <c r="F47" s="52">
        <v>29082</v>
      </c>
      <c r="G47" s="52">
        <v>40925</v>
      </c>
      <c r="H47" s="52">
        <v>37884</v>
      </c>
      <c r="I47" s="52">
        <v>31749</v>
      </c>
    </row>
    <row r="48" spans="1:9" x14ac:dyDescent="0.2">
      <c r="A48" s="11" t="s">
        <v>47</v>
      </c>
      <c r="B48" s="10" t="s">
        <v>70</v>
      </c>
      <c r="C48" s="52">
        <v>386</v>
      </c>
      <c r="D48" s="52">
        <v>830</v>
      </c>
      <c r="E48" s="52">
        <v>944</v>
      </c>
      <c r="F48" s="52">
        <v>866</v>
      </c>
      <c r="G48" s="52">
        <v>1212</v>
      </c>
      <c r="H48" s="52">
        <v>1249</v>
      </c>
      <c r="I48" s="52">
        <v>1080</v>
      </c>
    </row>
    <row r="49" spans="1:9" x14ac:dyDescent="0.2">
      <c r="A49" s="11" t="s">
        <v>48</v>
      </c>
      <c r="B49" s="10" t="s">
        <v>70</v>
      </c>
      <c r="C49" s="52">
        <v>6032</v>
      </c>
      <c r="D49" s="52">
        <v>11251</v>
      </c>
      <c r="E49" s="52">
        <v>11855</v>
      </c>
      <c r="F49" s="52">
        <v>12459</v>
      </c>
      <c r="G49" s="52">
        <v>17380</v>
      </c>
      <c r="H49" s="52">
        <v>15602</v>
      </c>
      <c r="I49" s="52">
        <v>12424</v>
      </c>
    </row>
    <row r="50" spans="1:9" x14ac:dyDescent="0.2">
      <c r="A50" s="11" t="s">
        <v>49</v>
      </c>
      <c r="B50" s="10" t="s">
        <v>70</v>
      </c>
      <c r="C50" s="52">
        <v>2004</v>
      </c>
      <c r="D50" s="52">
        <v>3634</v>
      </c>
      <c r="E50" s="52">
        <v>4604</v>
      </c>
      <c r="F50" s="52">
        <v>4800</v>
      </c>
      <c r="G50" s="52">
        <v>6187</v>
      </c>
      <c r="H50" s="52">
        <v>5981</v>
      </c>
      <c r="I50" s="52">
        <v>4758</v>
      </c>
    </row>
    <row r="51" spans="1:9" x14ac:dyDescent="0.2">
      <c r="A51" s="11" t="s">
        <v>50</v>
      </c>
      <c r="B51" s="10" t="s">
        <v>70</v>
      </c>
      <c r="C51" s="52">
        <v>1413</v>
      </c>
      <c r="D51" s="52">
        <v>2644</v>
      </c>
      <c r="E51" s="52">
        <v>3062</v>
      </c>
      <c r="F51" s="52">
        <v>3180</v>
      </c>
      <c r="G51" s="52">
        <v>4246</v>
      </c>
      <c r="H51" s="52">
        <v>3813</v>
      </c>
      <c r="I51" s="52">
        <v>2585</v>
      </c>
    </row>
    <row r="52" spans="1:9" x14ac:dyDescent="0.2">
      <c r="A52" s="11" t="s">
        <v>51</v>
      </c>
      <c r="B52" s="10" t="s">
        <v>70</v>
      </c>
      <c r="C52" s="52">
        <v>9815</v>
      </c>
      <c r="D52" s="52">
        <v>25645</v>
      </c>
      <c r="E52" s="52">
        <v>23714</v>
      </c>
      <c r="F52" s="52">
        <v>18781</v>
      </c>
      <c r="G52" s="52">
        <v>20759</v>
      </c>
      <c r="H52" s="52">
        <v>18233</v>
      </c>
      <c r="I52" s="52">
        <v>14483</v>
      </c>
    </row>
    <row r="53" spans="1:9" x14ac:dyDescent="0.2">
      <c r="A53" s="11" t="s">
        <v>52</v>
      </c>
      <c r="B53" s="10" t="s">
        <v>70</v>
      </c>
      <c r="C53" s="52">
        <v>1221</v>
      </c>
      <c r="D53" s="52">
        <v>2412</v>
      </c>
      <c r="E53" s="52">
        <v>3009</v>
      </c>
      <c r="F53" s="52">
        <v>3242</v>
      </c>
      <c r="G53" s="52">
        <v>5197</v>
      </c>
      <c r="H53" s="52">
        <v>4775</v>
      </c>
      <c r="I53" s="52">
        <v>3290</v>
      </c>
    </row>
    <row r="54" spans="1:9" x14ac:dyDescent="0.2">
      <c r="A54" s="11" t="s">
        <v>53</v>
      </c>
      <c r="B54" s="10" t="s">
        <v>70</v>
      </c>
      <c r="C54" s="52">
        <v>494</v>
      </c>
      <c r="D54" s="52">
        <v>901</v>
      </c>
      <c r="E54" s="52">
        <v>1058</v>
      </c>
      <c r="F54" s="52">
        <v>1056</v>
      </c>
      <c r="G54" s="52">
        <v>1544</v>
      </c>
      <c r="H54" s="52">
        <v>1646</v>
      </c>
      <c r="I54" s="52">
        <v>1300</v>
      </c>
    </row>
    <row r="55" spans="1:9" x14ac:dyDescent="0.2">
      <c r="A55" s="11" t="s">
        <v>54</v>
      </c>
      <c r="B55" s="10" t="s">
        <v>70</v>
      </c>
      <c r="C55" s="52">
        <v>3614</v>
      </c>
      <c r="D55" s="52">
        <v>6295</v>
      </c>
      <c r="E55" s="52">
        <v>7358</v>
      </c>
      <c r="F55" s="52">
        <v>8322</v>
      </c>
      <c r="G55" s="52">
        <v>10540</v>
      </c>
      <c r="H55" s="52">
        <v>9701</v>
      </c>
      <c r="I55" s="52">
        <v>7369</v>
      </c>
    </row>
    <row r="56" spans="1:9" x14ac:dyDescent="0.2">
      <c r="A56" s="11" t="s">
        <v>55</v>
      </c>
      <c r="B56" s="10" t="s">
        <v>70</v>
      </c>
      <c r="C56" s="52">
        <v>1222</v>
      </c>
      <c r="D56" s="52">
        <v>1860</v>
      </c>
      <c r="E56" s="52">
        <v>2246</v>
      </c>
      <c r="F56" s="52">
        <v>2355</v>
      </c>
      <c r="G56" s="52">
        <v>3042</v>
      </c>
      <c r="H56" s="52">
        <v>2835</v>
      </c>
      <c r="I56" s="52">
        <v>2404</v>
      </c>
    </row>
    <row r="57" spans="1:9" x14ac:dyDescent="0.2">
      <c r="A57" s="11" t="s">
        <v>56</v>
      </c>
      <c r="B57" s="10" t="s">
        <v>70</v>
      </c>
      <c r="C57" s="52">
        <v>2204</v>
      </c>
      <c r="D57" s="52">
        <v>3933</v>
      </c>
      <c r="E57" s="52">
        <v>4383</v>
      </c>
      <c r="F57" s="52">
        <v>4878</v>
      </c>
      <c r="G57" s="52">
        <v>6256</v>
      </c>
      <c r="H57" s="52">
        <v>6342</v>
      </c>
      <c r="I57" s="52">
        <v>4798</v>
      </c>
    </row>
    <row r="58" spans="1:9" x14ac:dyDescent="0.2">
      <c r="A58" s="11" t="s">
        <v>57</v>
      </c>
      <c r="B58" s="10" t="s">
        <v>70</v>
      </c>
      <c r="C58" s="52">
        <v>160</v>
      </c>
      <c r="D58" s="52">
        <v>265</v>
      </c>
      <c r="E58" s="52">
        <v>355</v>
      </c>
      <c r="F58" s="52">
        <v>377</v>
      </c>
      <c r="G58" s="52">
        <v>561</v>
      </c>
      <c r="H58" s="52">
        <v>671</v>
      </c>
      <c r="I58" s="52">
        <v>470</v>
      </c>
    </row>
    <row r="59" spans="1:9" x14ac:dyDescent="0.2">
      <c r="A59" s="11" t="s">
        <v>58</v>
      </c>
      <c r="B59" s="10" t="s">
        <v>70</v>
      </c>
      <c r="C59" s="52">
        <v>1112</v>
      </c>
      <c r="D59" s="52">
        <v>2100</v>
      </c>
      <c r="E59" s="52">
        <v>2383</v>
      </c>
      <c r="F59" s="52">
        <v>2350</v>
      </c>
      <c r="G59" s="52">
        <v>3405</v>
      </c>
      <c r="H59" s="52">
        <v>3339</v>
      </c>
      <c r="I59" s="52">
        <v>2602</v>
      </c>
    </row>
    <row r="60" spans="1:9" x14ac:dyDescent="0.2">
      <c r="A60" s="11" t="s">
        <v>59</v>
      </c>
      <c r="B60" s="10" t="s">
        <v>70</v>
      </c>
      <c r="C60" s="52">
        <v>1073</v>
      </c>
      <c r="D60" s="52">
        <v>1988</v>
      </c>
      <c r="E60" s="52">
        <v>2456</v>
      </c>
      <c r="F60" s="52">
        <v>2553</v>
      </c>
      <c r="G60" s="52">
        <v>3466</v>
      </c>
      <c r="H60" s="52">
        <v>3587</v>
      </c>
      <c r="I60" s="52">
        <v>2995</v>
      </c>
    </row>
    <row r="61" spans="1:9" x14ac:dyDescent="0.2">
      <c r="A61" s="11" t="s">
        <v>60</v>
      </c>
      <c r="B61" s="10" t="s">
        <v>70</v>
      </c>
      <c r="C61" s="52">
        <v>1320</v>
      </c>
      <c r="D61" s="52">
        <v>1781</v>
      </c>
      <c r="E61" s="52">
        <v>1896</v>
      </c>
      <c r="F61" s="52">
        <v>1948</v>
      </c>
      <c r="G61" s="52">
        <v>2615</v>
      </c>
      <c r="H61" s="52">
        <v>2413</v>
      </c>
      <c r="I61" s="52">
        <v>2385</v>
      </c>
    </row>
    <row r="62" spans="1:9" x14ac:dyDescent="0.2">
      <c r="A62" s="11" t="s">
        <v>61</v>
      </c>
      <c r="B62" s="10" t="s">
        <v>70</v>
      </c>
      <c r="C62" s="52">
        <v>1225</v>
      </c>
      <c r="D62" s="52">
        <v>2229</v>
      </c>
      <c r="E62" s="52">
        <v>2718</v>
      </c>
      <c r="F62" s="52">
        <v>3013</v>
      </c>
      <c r="G62" s="52">
        <v>3860</v>
      </c>
      <c r="H62" s="52">
        <v>4070</v>
      </c>
      <c r="I62" s="52">
        <v>3047</v>
      </c>
    </row>
    <row r="63" spans="1:9" x14ac:dyDescent="0.2">
      <c r="A63" s="11" t="s">
        <v>62</v>
      </c>
      <c r="B63" s="10" t="s">
        <v>70</v>
      </c>
      <c r="C63" s="52">
        <v>955</v>
      </c>
      <c r="D63" s="52">
        <v>1726</v>
      </c>
      <c r="E63" s="52">
        <v>2062</v>
      </c>
      <c r="F63" s="52">
        <v>2147</v>
      </c>
      <c r="G63" s="52">
        <v>3070</v>
      </c>
      <c r="H63" s="52">
        <v>3057</v>
      </c>
      <c r="I63" s="52">
        <v>2219</v>
      </c>
    </row>
    <row r="64" spans="1:9" x14ac:dyDescent="0.2">
      <c r="A64" s="11" t="s">
        <v>63</v>
      </c>
      <c r="B64" s="10" t="s">
        <v>70</v>
      </c>
      <c r="C64" s="52">
        <v>5199</v>
      </c>
      <c r="D64" s="52">
        <v>9667</v>
      </c>
      <c r="E64" s="52">
        <v>11126</v>
      </c>
      <c r="F64" s="52">
        <v>11469</v>
      </c>
      <c r="G64" s="52">
        <v>13819</v>
      </c>
      <c r="H64" s="52">
        <v>12664</v>
      </c>
      <c r="I64" s="52">
        <v>8868</v>
      </c>
    </row>
    <row r="65" spans="1:9" x14ac:dyDescent="0.2">
      <c r="A65" s="11" t="s">
        <v>64</v>
      </c>
      <c r="B65" s="10" t="s">
        <v>70</v>
      </c>
      <c r="C65" s="52">
        <v>1262</v>
      </c>
      <c r="D65" s="52">
        <v>2485</v>
      </c>
      <c r="E65" s="52">
        <v>2780</v>
      </c>
      <c r="F65" s="52">
        <v>2884</v>
      </c>
      <c r="G65" s="52">
        <v>4502</v>
      </c>
      <c r="H65" s="52">
        <v>4470</v>
      </c>
      <c r="I65" s="52">
        <v>3375</v>
      </c>
    </row>
    <row r="66" spans="1:9" x14ac:dyDescent="0.2">
      <c r="A66" s="11" t="s">
        <v>65</v>
      </c>
      <c r="B66" s="10" t="s">
        <v>70</v>
      </c>
      <c r="C66" s="52">
        <v>8627</v>
      </c>
      <c r="D66" s="52">
        <v>16513</v>
      </c>
      <c r="E66" s="52">
        <v>18379</v>
      </c>
      <c r="F66" s="52">
        <v>19124</v>
      </c>
      <c r="G66" s="52">
        <v>25837</v>
      </c>
      <c r="H66" s="52">
        <v>23999</v>
      </c>
      <c r="I66" s="52">
        <v>18375</v>
      </c>
    </row>
    <row r="67" spans="1:9" x14ac:dyDescent="0.2">
      <c r="A67" s="11" t="s">
        <v>66</v>
      </c>
      <c r="B67" s="10" t="s">
        <v>70</v>
      </c>
      <c r="C67" s="52">
        <v>696</v>
      </c>
      <c r="D67" s="52">
        <v>1379</v>
      </c>
      <c r="E67" s="52">
        <v>1527</v>
      </c>
      <c r="F67" s="52">
        <v>1728</v>
      </c>
      <c r="G67" s="52">
        <v>2149</v>
      </c>
      <c r="H67" s="52">
        <v>2080</v>
      </c>
      <c r="I67" s="52">
        <v>1738</v>
      </c>
    </row>
    <row r="68" spans="1:9" ht="13.5" thickBot="1" x14ac:dyDescent="0.25">
      <c r="A68" s="13" t="s">
        <v>67</v>
      </c>
      <c r="B68" s="12" t="s">
        <v>70</v>
      </c>
      <c r="C68" s="52">
        <v>10918</v>
      </c>
      <c r="D68" s="52">
        <v>21493</v>
      </c>
      <c r="E68" s="52">
        <v>25281</v>
      </c>
      <c r="F68" s="52">
        <v>25342</v>
      </c>
      <c r="G68" s="52">
        <v>34270</v>
      </c>
      <c r="H68" s="52">
        <v>29232</v>
      </c>
      <c r="I68" s="52">
        <v>21925</v>
      </c>
    </row>
    <row r="69" spans="1:9" x14ac:dyDescent="0.2">
      <c r="A69" s="32" t="s">
        <v>68</v>
      </c>
      <c r="C69" s="14">
        <f>SUM(C2:C68)</f>
        <v>248913</v>
      </c>
      <c r="D69" s="14">
        <f t="shared" ref="D69:I69" si="0">SUM(D2:D68)</f>
        <v>469919</v>
      </c>
      <c r="E69" s="14">
        <f t="shared" si="0"/>
        <v>514751</v>
      </c>
      <c r="F69" s="14">
        <f t="shared" si="0"/>
        <v>527969</v>
      </c>
      <c r="G69" s="14">
        <f t="shared" si="0"/>
        <v>702837</v>
      </c>
      <c r="H69" s="14">
        <f t="shared" si="0"/>
        <v>654974</v>
      </c>
      <c r="I69" s="14">
        <f t="shared" si="0"/>
        <v>517213</v>
      </c>
    </row>
    <row r="70" spans="1:9" x14ac:dyDescent="0.2">
      <c r="C70" s="17">
        <f>C69/$C$72</f>
        <v>6.8447077690662869E-2</v>
      </c>
      <c r="D70" s="17">
        <f t="shared" ref="D70:I70" si="1">D69/$C$72</f>
        <v>0.12922017854157317</v>
      </c>
      <c r="E70" s="17">
        <f t="shared" si="1"/>
        <v>0.14154825858169884</v>
      </c>
      <c r="F70" s="17">
        <f t="shared" si="1"/>
        <v>0.14518299631301532</v>
      </c>
      <c r="G70" s="17">
        <f t="shared" si="1"/>
        <v>0.19326888809693513</v>
      </c>
      <c r="H70" s="17">
        <f t="shared" si="1"/>
        <v>0.18010733173182686</v>
      </c>
      <c r="I70" s="17">
        <f t="shared" si="1"/>
        <v>0.14222526904428781</v>
      </c>
    </row>
    <row r="72" spans="1:9" x14ac:dyDescent="0.2">
      <c r="A72" s="32" t="s">
        <v>80</v>
      </c>
      <c r="C72" s="16">
        <f>SUM(C69:I69)</f>
        <v>3636576</v>
      </c>
    </row>
    <row r="75" spans="1:9" x14ac:dyDescent="0.2">
      <c r="I75" s="10"/>
    </row>
    <row r="80" spans="1:9" x14ac:dyDescent="0.2">
      <c r="H80" s="11"/>
    </row>
    <row r="81" spans="3:8" x14ac:dyDescent="0.2">
      <c r="H81" s="11"/>
    </row>
    <row r="82" spans="3:8" x14ac:dyDescent="0.2">
      <c r="H82" s="11"/>
    </row>
    <row r="83" spans="3:8" x14ac:dyDescent="0.2">
      <c r="H83" s="11"/>
    </row>
    <row r="84" spans="3:8" x14ac:dyDescent="0.2">
      <c r="H84" s="11"/>
    </row>
    <row r="85" spans="3:8" x14ac:dyDescent="0.2">
      <c r="H85" s="11"/>
    </row>
    <row r="86" spans="3:8" x14ac:dyDescent="0.2">
      <c r="C86" s="11"/>
    </row>
    <row r="87" spans="3:8" x14ac:dyDescent="0.2">
      <c r="C87" s="11"/>
    </row>
    <row r="88" spans="3:8" x14ac:dyDescent="0.2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9"/>
  <sheetViews>
    <sheetView zoomScale="110" zoomScaleNormal="110" workbookViewId="0">
      <pane ySplit="2" topLeftCell="A3" activePane="bottomLeft" state="frozen"/>
      <selection activeCell="O67" sqref="O67"/>
      <selection pane="bottomLeft" activeCell="I12" sqref="I12"/>
    </sheetView>
  </sheetViews>
  <sheetFormatPr defaultColWidth="9.140625" defaultRowHeight="12.75" x14ac:dyDescent="0.2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7" customWidth="1"/>
    <col min="8" max="9" width="9.140625" style="11"/>
    <col min="10" max="10" width="12" style="11" bestFit="1" customWidth="1"/>
    <col min="11" max="11" width="10" style="11" bestFit="1" customWidth="1"/>
    <col min="12" max="12" width="11.28515625" style="11" bestFit="1" customWidth="1"/>
    <col min="13" max="13" width="9.5703125" style="11" bestFit="1" customWidth="1"/>
    <col min="14" max="14" width="10.85546875" style="11" bestFit="1" customWidth="1"/>
    <col min="15" max="16384" width="9.140625" style="11"/>
  </cols>
  <sheetData>
    <row r="1" spans="1:8" x14ac:dyDescent="0.2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8" x14ac:dyDescent="0.2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8" x14ac:dyDescent="0.2">
      <c r="A3" s="11" t="s">
        <v>1</v>
      </c>
      <c r="B3" s="69">
        <v>17215</v>
      </c>
      <c r="C3" s="70">
        <v>2044</v>
      </c>
      <c r="D3" s="69">
        <v>41084</v>
      </c>
      <c r="E3" s="70">
        <v>2997</v>
      </c>
      <c r="F3" s="72">
        <v>11739</v>
      </c>
      <c r="G3" s="74">
        <v>1847</v>
      </c>
      <c r="H3" s="11" t="s">
        <v>131</v>
      </c>
    </row>
    <row r="4" spans="1:8" x14ac:dyDescent="0.2">
      <c r="A4" s="11" t="s">
        <v>2</v>
      </c>
      <c r="B4" s="69">
        <v>451679</v>
      </c>
      <c r="C4" s="70">
        <v>54117</v>
      </c>
      <c r="D4" s="69">
        <v>242526</v>
      </c>
      <c r="E4" s="70">
        <v>20545</v>
      </c>
      <c r="F4" s="72">
        <v>129881</v>
      </c>
      <c r="G4" s="75">
        <v>22677</v>
      </c>
    </row>
    <row r="5" spans="1:8" x14ac:dyDescent="0.2">
      <c r="A5" s="11" t="s">
        <v>3</v>
      </c>
      <c r="B5" s="69">
        <v>9892</v>
      </c>
      <c r="C5" s="70">
        <v>739</v>
      </c>
      <c r="D5" s="69">
        <v>26385</v>
      </c>
      <c r="E5" s="70">
        <v>1315</v>
      </c>
      <c r="F5" s="72">
        <v>4815</v>
      </c>
      <c r="G5" s="75">
        <v>512</v>
      </c>
    </row>
    <row r="6" spans="1:8" x14ac:dyDescent="0.2">
      <c r="A6" s="11" t="s">
        <v>4</v>
      </c>
      <c r="B6" s="69">
        <v>42308</v>
      </c>
      <c r="C6" s="70">
        <v>3464</v>
      </c>
      <c r="D6" s="69">
        <v>49069</v>
      </c>
      <c r="E6" s="70">
        <v>2862</v>
      </c>
      <c r="F6" s="72">
        <v>14695</v>
      </c>
      <c r="G6" s="75">
        <v>1911</v>
      </c>
    </row>
    <row r="7" spans="1:8" x14ac:dyDescent="0.2">
      <c r="A7" s="11" t="s">
        <v>5</v>
      </c>
      <c r="B7" s="69">
        <v>4877</v>
      </c>
      <c r="C7" s="70">
        <v>384</v>
      </c>
      <c r="D7" s="69">
        <v>23536</v>
      </c>
      <c r="E7" s="70">
        <v>1043</v>
      </c>
      <c r="F7" s="72">
        <v>2897</v>
      </c>
      <c r="G7" s="75">
        <v>324</v>
      </c>
    </row>
    <row r="8" spans="1:8" x14ac:dyDescent="0.2">
      <c r="A8" s="11" t="s">
        <v>6</v>
      </c>
      <c r="B8" s="69">
        <v>94233</v>
      </c>
      <c r="C8" s="70">
        <v>10244</v>
      </c>
      <c r="D8" s="69">
        <v>111397</v>
      </c>
      <c r="E8" s="70">
        <v>6654</v>
      </c>
      <c r="F8" s="72">
        <v>46348</v>
      </c>
      <c r="G8" s="75">
        <v>6076</v>
      </c>
    </row>
    <row r="9" spans="1:8" x14ac:dyDescent="0.2">
      <c r="A9" s="11" t="s">
        <v>7</v>
      </c>
      <c r="B9" s="69">
        <v>17719</v>
      </c>
      <c r="C9" s="70">
        <v>2123</v>
      </c>
      <c r="D9" s="69">
        <v>47302</v>
      </c>
      <c r="E9" s="70">
        <v>3295</v>
      </c>
      <c r="F9" s="72">
        <v>9597</v>
      </c>
      <c r="G9" s="75">
        <v>1630</v>
      </c>
    </row>
    <row r="10" spans="1:8" x14ac:dyDescent="0.2">
      <c r="A10" s="11" t="s">
        <v>8</v>
      </c>
      <c r="B10" s="69">
        <v>7078</v>
      </c>
      <c r="C10" s="70">
        <v>762</v>
      </c>
      <c r="D10" s="69">
        <v>24018</v>
      </c>
      <c r="E10" s="70">
        <v>1665</v>
      </c>
      <c r="F10" s="72">
        <v>4804</v>
      </c>
      <c r="G10" s="75">
        <v>666</v>
      </c>
    </row>
    <row r="11" spans="1:8" x14ac:dyDescent="0.2">
      <c r="A11" s="11" t="s">
        <v>9</v>
      </c>
      <c r="B11" s="69">
        <v>179568</v>
      </c>
      <c r="C11" s="70">
        <v>15115</v>
      </c>
      <c r="D11" s="69">
        <v>190532</v>
      </c>
      <c r="E11" s="70">
        <v>11276</v>
      </c>
      <c r="F11" s="72">
        <v>80873</v>
      </c>
      <c r="G11" s="75">
        <v>8619</v>
      </c>
    </row>
    <row r="12" spans="1:8" x14ac:dyDescent="0.2">
      <c r="A12" s="11" t="s">
        <v>10</v>
      </c>
      <c r="B12" s="69">
        <v>36586</v>
      </c>
      <c r="C12" s="70">
        <v>2851</v>
      </c>
      <c r="D12" s="69">
        <v>78608</v>
      </c>
      <c r="E12" s="70">
        <v>4437</v>
      </c>
      <c r="F12" s="72">
        <v>19319</v>
      </c>
      <c r="G12" s="75">
        <v>2326</v>
      </c>
    </row>
    <row r="13" spans="1:8" x14ac:dyDescent="0.2">
      <c r="A13" s="11" t="s">
        <v>11</v>
      </c>
      <c r="B13" s="69">
        <v>27211</v>
      </c>
      <c r="C13" s="70">
        <v>2182</v>
      </c>
      <c r="D13" s="69">
        <v>44379</v>
      </c>
      <c r="E13" s="70">
        <v>2138</v>
      </c>
      <c r="F13" s="72">
        <v>8980</v>
      </c>
      <c r="G13" s="75">
        <v>1126</v>
      </c>
    </row>
    <row r="14" spans="1:8" x14ac:dyDescent="0.2">
      <c r="A14" s="11" t="s">
        <v>12</v>
      </c>
      <c r="B14" s="69">
        <v>606</v>
      </c>
      <c r="C14" s="70">
        <v>57</v>
      </c>
      <c r="D14" s="69">
        <v>1731</v>
      </c>
      <c r="E14" s="70">
        <v>110</v>
      </c>
      <c r="F14" s="72">
        <v>340</v>
      </c>
      <c r="G14" s="75">
        <v>39</v>
      </c>
    </row>
    <row r="15" spans="1:8" x14ac:dyDescent="0.2">
      <c r="A15" s="11" t="s">
        <v>13</v>
      </c>
      <c r="B15" s="69">
        <v>12807</v>
      </c>
      <c r="C15" s="70">
        <v>1284</v>
      </c>
      <c r="D15" s="69">
        <v>22366</v>
      </c>
      <c r="E15" s="70">
        <v>1590</v>
      </c>
      <c r="F15" s="72">
        <v>6805</v>
      </c>
      <c r="G15" s="75">
        <v>993</v>
      </c>
    </row>
    <row r="16" spans="1:8" x14ac:dyDescent="0.2">
      <c r="A16" s="11" t="s">
        <v>14</v>
      </c>
      <c r="B16" s="69">
        <v>34406</v>
      </c>
      <c r="C16" s="70">
        <v>7250</v>
      </c>
      <c r="D16" s="69">
        <v>37598</v>
      </c>
      <c r="E16" s="70">
        <v>4214</v>
      </c>
      <c r="F16" s="72">
        <v>15082</v>
      </c>
      <c r="G16" s="75">
        <v>3834</v>
      </c>
    </row>
    <row r="17" spans="1:7" x14ac:dyDescent="0.2">
      <c r="A17" s="11" t="s">
        <v>15</v>
      </c>
      <c r="B17" s="69">
        <v>148656</v>
      </c>
      <c r="C17" s="70">
        <v>13402</v>
      </c>
      <c r="D17" s="69">
        <v>142072</v>
      </c>
      <c r="E17" s="70">
        <v>9675</v>
      </c>
      <c r="F17" s="72">
        <v>69378</v>
      </c>
      <c r="G17" s="75">
        <v>7887</v>
      </c>
    </row>
    <row r="18" spans="1:7" x14ac:dyDescent="0.2">
      <c r="A18" s="11" t="s">
        <v>16</v>
      </c>
      <c r="B18" s="69">
        <v>4677</v>
      </c>
      <c r="C18" s="70">
        <v>371</v>
      </c>
      <c r="D18" s="69">
        <v>14755</v>
      </c>
      <c r="E18" s="70">
        <v>742</v>
      </c>
      <c r="F18" s="72">
        <v>2454</v>
      </c>
      <c r="G18" s="75">
        <v>273</v>
      </c>
    </row>
    <row r="19" spans="1:7" x14ac:dyDescent="0.2">
      <c r="A19" s="11" t="s">
        <v>17</v>
      </c>
      <c r="B19" s="69">
        <v>10875</v>
      </c>
      <c r="C19" s="70">
        <v>1177</v>
      </c>
      <c r="D19" s="69">
        <v>29340</v>
      </c>
      <c r="E19" s="70">
        <v>2114</v>
      </c>
      <c r="F19" s="72">
        <v>5256</v>
      </c>
      <c r="G19" s="75">
        <v>869</v>
      </c>
    </row>
    <row r="20" spans="1:7" x14ac:dyDescent="0.2">
      <c r="A20" s="11" t="s">
        <v>18</v>
      </c>
      <c r="B20" s="69">
        <v>5646</v>
      </c>
      <c r="C20" s="70">
        <v>461</v>
      </c>
      <c r="D20" s="69">
        <v>12568</v>
      </c>
      <c r="E20" s="70">
        <v>707</v>
      </c>
      <c r="F20" s="72">
        <v>2837</v>
      </c>
      <c r="G20" s="75">
        <v>360</v>
      </c>
    </row>
    <row r="21" spans="1:7" x14ac:dyDescent="0.2">
      <c r="A21" s="11" t="s">
        <v>19</v>
      </c>
      <c r="B21" s="69">
        <v>10666</v>
      </c>
      <c r="C21" s="70">
        <v>1145</v>
      </c>
      <c r="D21" s="69">
        <v>21116</v>
      </c>
      <c r="E21" s="70">
        <v>1332</v>
      </c>
      <c r="F21" s="72">
        <v>5565</v>
      </c>
      <c r="G21" s="75">
        <v>827</v>
      </c>
    </row>
    <row r="22" spans="1:7" x14ac:dyDescent="0.2">
      <c r="A22" s="11" t="s">
        <v>20</v>
      </c>
      <c r="B22" s="69">
        <v>12871</v>
      </c>
      <c r="C22" s="70">
        <v>1569</v>
      </c>
      <c r="D22" s="69">
        <v>29832</v>
      </c>
      <c r="E22" s="70">
        <v>1959</v>
      </c>
      <c r="F22" s="72">
        <v>5897</v>
      </c>
      <c r="G22" s="75">
        <v>904</v>
      </c>
    </row>
    <row r="23" spans="1:7" x14ac:dyDescent="0.2">
      <c r="A23" s="11" t="s">
        <v>21</v>
      </c>
      <c r="B23" s="69">
        <v>57231</v>
      </c>
      <c r="C23" s="70">
        <v>4946</v>
      </c>
      <c r="D23" s="69">
        <v>83322</v>
      </c>
      <c r="E23" s="70">
        <v>4920</v>
      </c>
      <c r="F23" s="72">
        <v>30565</v>
      </c>
      <c r="G23" s="75">
        <v>3567</v>
      </c>
    </row>
    <row r="24" spans="1:7" x14ac:dyDescent="0.2">
      <c r="A24" s="11" t="s">
        <v>22</v>
      </c>
      <c r="B24" s="69">
        <v>77986</v>
      </c>
      <c r="C24" s="70">
        <v>9135</v>
      </c>
      <c r="D24" s="69">
        <v>70758</v>
      </c>
      <c r="E24" s="70">
        <v>5166</v>
      </c>
      <c r="F24" s="72">
        <v>33868</v>
      </c>
      <c r="G24" s="75">
        <v>5190</v>
      </c>
    </row>
    <row r="25" spans="1:7" x14ac:dyDescent="0.2">
      <c r="A25" s="11" t="s">
        <v>23</v>
      </c>
      <c r="B25" s="69">
        <v>181360</v>
      </c>
      <c r="C25" s="70">
        <v>22659</v>
      </c>
      <c r="D25" s="69">
        <v>131648</v>
      </c>
      <c r="E25" s="70">
        <v>10910</v>
      </c>
      <c r="F25" s="72">
        <v>56935</v>
      </c>
      <c r="G25" s="75">
        <v>8829</v>
      </c>
    </row>
    <row r="26" spans="1:7" x14ac:dyDescent="0.2">
      <c r="A26" s="11" t="s">
        <v>24</v>
      </c>
      <c r="B26" s="69">
        <v>5382</v>
      </c>
      <c r="C26" s="70">
        <v>387</v>
      </c>
      <c r="D26" s="69">
        <v>11585</v>
      </c>
      <c r="E26" s="70">
        <v>541</v>
      </c>
      <c r="F26" s="72">
        <v>2274</v>
      </c>
      <c r="G26" s="75">
        <v>292</v>
      </c>
    </row>
    <row r="27" spans="1:7" x14ac:dyDescent="0.2">
      <c r="A27" s="11" t="s">
        <v>25</v>
      </c>
      <c r="B27" s="69">
        <v>69264</v>
      </c>
      <c r="C27" s="70">
        <v>7318</v>
      </c>
      <c r="D27" s="69">
        <v>65674</v>
      </c>
      <c r="E27" s="70">
        <v>5108</v>
      </c>
      <c r="F27" s="72">
        <v>23476</v>
      </c>
      <c r="G27" s="75">
        <v>4117</v>
      </c>
    </row>
    <row r="28" spans="1:7" x14ac:dyDescent="0.2">
      <c r="A28" s="11" t="s">
        <v>26</v>
      </c>
      <c r="B28" s="69">
        <v>26752</v>
      </c>
      <c r="C28" s="70">
        <v>2697</v>
      </c>
      <c r="D28" s="69">
        <v>38900</v>
      </c>
      <c r="E28" s="70">
        <v>2435</v>
      </c>
      <c r="F28" s="72">
        <v>7676</v>
      </c>
      <c r="G28" s="75">
        <v>1145</v>
      </c>
    </row>
    <row r="29" spans="1:7" x14ac:dyDescent="0.2">
      <c r="A29" s="11" t="s">
        <v>27</v>
      </c>
      <c r="B29" s="69">
        <v>710</v>
      </c>
      <c r="C29" s="70">
        <v>79</v>
      </c>
      <c r="D29" s="69">
        <v>1940</v>
      </c>
      <c r="E29" s="70">
        <v>130</v>
      </c>
      <c r="F29" s="72">
        <v>358</v>
      </c>
      <c r="G29" s="75">
        <v>52</v>
      </c>
    </row>
    <row r="30" spans="1:7" x14ac:dyDescent="0.2">
      <c r="A30" s="11" t="s">
        <v>28</v>
      </c>
      <c r="B30" s="69">
        <v>21504</v>
      </c>
      <c r="C30" s="70">
        <v>2125</v>
      </c>
      <c r="D30" s="69">
        <v>61033</v>
      </c>
      <c r="E30" s="70">
        <v>3318</v>
      </c>
      <c r="F30" s="72">
        <v>15858</v>
      </c>
      <c r="G30" s="75">
        <v>1834</v>
      </c>
    </row>
    <row r="31" spans="1:7" x14ac:dyDescent="0.2">
      <c r="A31" s="11" t="s">
        <v>29</v>
      </c>
      <c r="B31" s="69">
        <v>1305</v>
      </c>
      <c r="C31" s="70">
        <v>168</v>
      </c>
      <c r="D31" s="69">
        <v>7005</v>
      </c>
      <c r="E31" s="70">
        <v>467</v>
      </c>
      <c r="F31" s="72">
        <v>995</v>
      </c>
      <c r="G31" s="75">
        <v>190</v>
      </c>
    </row>
    <row r="32" spans="1:7" x14ac:dyDescent="0.2">
      <c r="A32" s="11" t="s">
        <v>30</v>
      </c>
      <c r="B32" s="69">
        <v>6662</v>
      </c>
      <c r="C32" s="70">
        <v>674</v>
      </c>
      <c r="D32" s="69">
        <v>11392</v>
      </c>
      <c r="E32" s="70">
        <v>813</v>
      </c>
      <c r="F32" s="72">
        <v>1920</v>
      </c>
      <c r="G32" s="75">
        <v>358</v>
      </c>
    </row>
    <row r="33" spans="1:7" x14ac:dyDescent="0.2">
      <c r="A33" s="11" t="s">
        <v>31</v>
      </c>
      <c r="B33" s="69">
        <v>5205</v>
      </c>
      <c r="C33" s="70">
        <v>822</v>
      </c>
      <c r="D33" s="69">
        <v>17708</v>
      </c>
      <c r="E33" s="70">
        <v>1170</v>
      </c>
      <c r="F33" s="72">
        <v>2548</v>
      </c>
      <c r="G33" s="75">
        <v>443</v>
      </c>
    </row>
    <row r="34" spans="1:7" x14ac:dyDescent="0.2">
      <c r="A34" s="11" t="s">
        <v>32</v>
      </c>
      <c r="B34" s="69">
        <v>12985</v>
      </c>
      <c r="C34" s="70">
        <v>902</v>
      </c>
      <c r="D34" s="69">
        <v>27834</v>
      </c>
      <c r="E34" s="70">
        <v>1044</v>
      </c>
      <c r="F34" s="72">
        <v>5921</v>
      </c>
      <c r="G34" s="75">
        <v>485</v>
      </c>
    </row>
    <row r="35" spans="1:7" x14ac:dyDescent="0.2">
      <c r="A35" s="11" t="s">
        <v>33</v>
      </c>
      <c r="B35" s="69">
        <v>4984</v>
      </c>
      <c r="C35" s="70">
        <v>472</v>
      </c>
      <c r="D35" s="69">
        <v>18219</v>
      </c>
      <c r="E35" s="70">
        <v>1263</v>
      </c>
      <c r="F35" s="72">
        <v>2898</v>
      </c>
      <c r="G35" s="75">
        <v>359</v>
      </c>
    </row>
    <row r="36" spans="1:7" x14ac:dyDescent="0.2">
      <c r="A36" s="11" t="s">
        <v>34</v>
      </c>
      <c r="B36" s="69">
        <v>2329</v>
      </c>
      <c r="C36" s="70">
        <v>215</v>
      </c>
      <c r="D36" s="69">
        <v>9595</v>
      </c>
      <c r="E36" s="70">
        <v>436</v>
      </c>
      <c r="F36" s="72">
        <v>1363</v>
      </c>
      <c r="G36" s="75">
        <v>157</v>
      </c>
    </row>
    <row r="37" spans="1:7" x14ac:dyDescent="0.2">
      <c r="A37" s="11" t="s">
        <v>35</v>
      </c>
      <c r="B37" s="69">
        <v>70865</v>
      </c>
      <c r="C37" s="70">
        <v>6180</v>
      </c>
      <c r="D37" s="69">
        <v>48309</v>
      </c>
      <c r="E37" s="70">
        <v>4014</v>
      </c>
      <c r="F37" s="72">
        <v>18088</v>
      </c>
      <c r="G37" s="75">
        <v>2901</v>
      </c>
    </row>
    <row r="38" spans="1:7" x14ac:dyDescent="0.2">
      <c r="A38" s="11" t="s">
        <v>36</v>
      </c>
      <c r="B38" s="69">
        <v>102939</v>
      </c>
      <c r="C38" s="70">
        <v>10846</v>
      </c>
      <c r="D38" s="69">
        <v>172057</v>
      </c>
      <c r="E38" s="70">
        <v>11709</v>
      </c>
      <c r="F38" s="72">
        <v>59999</v>
      </c>
      <c r="G38" s="75">
        <v>8090</v>
      </c>
    </row>
    <row r="39" spans="1:7" x14ac:dyDescent="0.2">
      <c r="A39" s="11" t="s">
        <v>37</v>
      </c>
      <c r="B39" s="69">
        <v>18017</v>
      </c>
      <c r="C39" s="70">
        <v>1664</v>
      </c>
      <c r="D39" s="69">
        <v>28458</v>
      </c>
      <c r="E39" s="70">
        <v>1646</v>
      </c>
      <c r="F39" s="72">
        <v>6638</v>
      </c>
      <c r="G39" s="75">
        <v>926</v>
      </c>
    </row>
    <row r="40" spans="1:7" x14ac:dyDescent="0.2">
      <c r="A40" s="11" t="s">
        <v>38</v>
      </c>
      <c r="B40" s="69">
        <v>22951</v>
      </c>
      <c r="C40" s="70">
        <v>2660</v>
      </c>
      <c r="D40" s="69">
        <v>49678</v>
      </c>
      <c r="E40" s="70">
        <v>3007</v>
      </c>
      <c r="F40" s="72">
        <v>14094</v>
      </c>
      <c r="G40" s="75">
        <v>2072</v>
      </c>
    </row>
    <row r="41" spans="1:7" x14ac:dyDescent="0.2">
      <c r="A41" s="11" t="s">
        <v>39</v>
      </c>
      <c r="B41" s="69">
        <v>99655</v>
      </c>
      <c r="C41" s="70">
        <v>12656</v>
      </c>
      <c r="D41" s="69">
        <v>83155</v>
      </c>
      <c r="E41" s="70">
        <v>6376</v>
      </c>
      <c r="F41" s="72">
        <v>45833</v>
      </c>
      <c r="G41" s="75">
        <v>7520</v>
      </c>
    </row>
    <row r="42" spans="1:7" x14ac:dyDescent="0.2">
      <c r="A42" s="11" t="s">
        <v>40</v>
      </c>
      <c r="B42" s="69">
        <v>77471</v>
      </c>
      <c r="C42" s="70">
        <v>8577</v>
      </c>
      <c r="D42" s="69">
        <v>84463</v>
      </c>
      <c r="E42" s="70">
        <v>6331</v>
      </c>
      <c r="F42" s="72">
        <v>27202</v>
      </c>
      <c r="G42" s="75">
        <v>4555</v>
      </c>
    </row>
    <row r="43" spans="1:7" x14ac:dyDescent="0.2">
      <c r="A43" s="11" t="s">
        <v>41</v>
      </c>
      <c r="B43" s="69">
        <v>16609</v>
      </c>
      <c r="C43" s="70">
        <v>1656</v>
      </c>
      <c r="D43" s="69">
        <v>41667</v>
      </c>
      <c r="E43" s="70">
        <v>2076</v>
      </c>
      <c r="F43" s="72">
        <v>9605</v>
      </c>
      <c r="G43" s="75">
        <v>1196</v>
      </c>
    </row>
    <row r="44" spans="1:7" x14ac:dyDescent="0.2">
      <c r="A44" s="11" t="s">
        <v>42</v>
      </c>
      <c r="B44" s="69">
        <v>4749</v>
      </c>
      <c r="C44" s="70">
        <v>587</v>
      </c>
      <c r="D44" s="69">
        <v>14999</v>
      </c>
      <c r="E44" s="70">
        <v>1206</v>
      </c>
      <c r="F44" s="72">
        <v>3224</v>
      </c>
      <c r="G44" s="75">
        <v>572</v>
      </c>
    </row>
    <row r="45" spans="1:7" x14ac:dyDescent="0.2">
      <c r="A45" s="11" t="s">
        <v>43</v>
      </c>
      <c r="B45" s="69">
        <v>21039</v>
      </c>
      <c r="C45" s="70">
        <v>2158</v>
      </c>
      <c r="D45" s="69">
        <v>35900</v>
      </c>
      <c r="E45" s="70">
        <v>2431</v>
      </c>
      <c r="F45" s="72">
        <v>9160</v>
      </c>
      <c r="G45" s="75">
        <v>1345</v>
      </c>
    </row>
    <row r="46" spans="1:7" x14ac:dyDescent="0.2">
      <c r="A46" s="11" t="s">
        <v>44</v>
      </c>
      <c r="B46" s="69">
        <v>4864</v>
      </c>
      <c r="C46" s="70">
        <v>541</v>
      </c>
      <c r="D46" s="69">
        <v>17523</v>
      </c>
      <c r="E46" s="70">
        <v>1126</v>
      </c>
      <c r="F46" s="72">
        <v>2718</v>
      </c>
      <c r="G46" s="75">
        <v>429</v>
      </c>
    </row>
    <row r="47" spans="1:7" x14ac:dyDescent="0.2">
      <c r="A47" s="11" t="s">
        <v>45</v>
      </c>
      <c r="B47" s="69">
        <v>42609</v>
      </c>
      <c r="C47" s="70">
        <v>6305</v>
      </c>
      <c r="D47" s="69">
        <v>39658</v>
      </c>
      <c r="E47" s="70">
        <v>3761</v>
      </c>
      <c r="F47" s="72">
        <v>22363</v>
      </c>
      <c r="G47" s="75">
        <v>3555</v>
      </c>
    </row>
    <row r="48" spans="1:7" x14ac:dyDescent="0.2">
      <c r="A48" s="11" t="s">
        <v>46</v>
      </c>
      <c r="B48" s="69">
        <v>285403</v>
      </c>
      <c r="C48" s="70">
        <v>21375</v>
      </c>
      <c r="D48" s="69">
        <v>196069</v>
      </c>
      <c r="E48" s="70">
        <v>11520</v>
      </c>
      <c r="F48" s="72">
        <v>101147</v>
      </c>
      <c r="G48" s="75">
        <v>10371</v>
      </c>
    </row>
    <row r="49" spans="1:7" x14ac:dyDescent="0.2">
      <c r="A49" s="11" t="s">
        <v>47</v>
      </c>
      <c r="B49" s="69">
        <v>3431</v>
      </c>
      <c r="C49" s="70">
        <v>350</v>
      </c>
      <c r="D49" s="69">
        <v>6123</v>
      </c>
      <c r="E49" s="70">
        <v>444</v>
      </c>
      <c r="F49" s="72">
        <v>1777</v>
      </c>
      <c r="G49" s="75">
        <v>265</v>
      </c>
    </row>
    <row r="50" spans="1:7" x14ac:dyDescent="0.2">
      <c r="A50" s="11" t="s">
        <v>48</v>
      </c>
      <c r="B50" s="69">
        <v>86107</v>
      </c>
      <c r="C50" s="70">
        <v>10651</v>
      </c>
      <c r="D50" s="69">
        <v>80617</v>
      </c>
      <c r="E50" s="70">
        <v>6386</v>
      </c>
      <c r="F50" s="72">
        <v>43072</v>
      </c>
      <c r="G50" s="75">
        <v>6633</v>
      </c>
    </row>
    <row r="51" spans="1:7" x14ac:dyDescent="0.2">
      <c r="A51" s="11" t="s">
        <v>49</v>
      </c>
      <c r="B51" s="69">
        <v>12237</v>
      </c>
      <c r="C51" s="70">
        <v>3116</v>
      </c>
      <c r="D51" s="69">
        <v>27225</v>
      </c>
      <c r="E51" s="70">
        <v>4743</v>
      </c>
      <c r="F51" s="72">
        <v>5130</v>
      </c>
      <c r="G51" s="75">
        <v>2994</v>
      </c>
    </row>
    <row r="52" spans="1:7" x14ac:dyDescent="0.2">
      <c r="A52" s="11" t="s">
        <v>50</v>
      </c>
      <c r="B52" s="69">
        <v>5681</v>
      </c>
      <c r="C52" s="70">
        <v>357</v>
      </c>
      <c r="D52" s="69">
        <v>20020</v>
      </c>
      <c r="E52" s="70">
        <v>923</v>
      </c>
      <c r="F52" s="72">
        <v>3903</v>
      </c>
      <c r="G52" s="75">
        <v>430</v>
      </c>
    </row>
    <row r="53" spans="1:7" x14ac:dyDescent="0.2">
      <c r="A53" s="11" t="s">
        <v>51</v>
      </c>
      <c r="B53" s="69">
        <v>657601</v>
      </c>
      <c r="C53" s="70">
        <v>125552</v>
      </c>
      <c r="D53" s="69">
        <v>111517</v>
      </c>
      <c r="E53" s="70">
        <v>19913</v>
      </c>
      <c r="F53" s="72">
        <v>148865</v>
      </c>
      <c r="G53" s="75">
        <v>33982</v>
      </c>
    </row>
    <row r="54" spans="1:7" x14ac:dyDescent="0.2">
      <c r="A54" s="11" t="s">
        <v>52</v>
      </c>
      <c r="B54" s="69">
        <v>11899</v>
      </c>
      <c r="C54" s="70">
        <v>1779</v>
      </c>
      <c r="D54" s="69">
        <v>21006</v>
      </c>
      <c r="E54" s="70">
        <v>2140</v>
      </c>
      <c r="F54" s="72">
        <v>9220</v>
      </c>
      <c r="G54" s="75">
        <v>1485</v>
      </c>
    </row>
    <row r="55" spans="1:7" x14ac:dyDescent="0.2">
      <c r="A55" s="11" t="s">
        <v>53</v>
      </c>
      <c r="B55" s="69">
        <v>1607</v>
      </c>
      <c r="C55" s="70">
        <v>135</v>
      </c>
      <c r="D55" s="69">
        <v>7494</v>
      </c>
      <c r="E55" s="70">
        <v>505</v>
      </c>
      <c r="F55" s="72">
        <v>1105</v>
      </c>
      <c r="G55" s="75">
        <v>169</v>
      </c>
    </row>
    <row r="56" spans="1:7" x14ac:dyDescent="0.2">
      <c r="A56" s="11" t="s">
        <v>54</v>
      </c>
      <c r="B56" s="69">
        <v>23462</v>
      </c>
      <c r="C56" s="70">
        <v>1972</v>
      </c>
      <c r="D56" s="69">
        <v>50713</v>
      </c>
      <c r="E56" s="70">
        <v>2486</v>
      </c>
      <c r="F56" s="72">
        <v>12601</v>
      </c>
      <c r="G56" s="75">
        <v>1426</v>
      </c>
    </row>
    <row r="57" spans="1:7" x14ac:dyDescent="0.2">
      <c r="A57" s="11" t="s">
        <v>55</v>
      </c>
      <c r="B57" s="69">
        <v>4432</v>
      </c>
      <c r="C57" s="70">
        <v>505</v>
      </c>
      <c r="D57" s="69">
        <v>15086</v>
      </c>
      <c r="E57" s="70">
        <v>878</v>
      </c>
      <c r="F57" s="72">
        <v>2617</v>
      </c>
      <c r="G57" s="75">
        <v>446</v>
      </c>
    </row>
    <row r="58" spans="1:7" x14ac:dyDescent="0.2">
      <c r="A58" s="11" t="s">
        <v>56</v>
      </c>
      <c r="B58" s="69">
        <v>9711</v>
      </c>
      <c r="C58" s="70">
        <v>782</v>
      </c>
      <c r="D58" s="69">
        <v>31241</v>
      </c>
      <c r="E58" s="70">
        <v>1553</v>
      </c>
      <c r="F58" s="72">
        <v>4649</v>
      </c>
      <c r="G58" s="75">
        <v>569</v>
      </c>
    </row>
    <row r="59" spans="1:7" x14ac:dyDescent="0.2">
      <c r="A59" s="11" t="s">
        <v>57</v>
      </c>
      <c r="B59" s="69">
        <v>997</v>
      </c>
      <c r="C59" s="70">
        <v>72</v>
      </c>
      <c r="D59" s="69">
        <v>2714</v>
      </c>
      <c r="E59" s="70">
        <v>145</v>
      </c>
      <c r="F59" s="72">
        <v>490</v>
      </c>
      <c r="G59" s="75">
        <v>54</v>
      </c>
    </row>
    <row r="60" spans="1:7" x14ac:dyDescent="0.2">
      <c r="A60" s="11" t="s">
        <v>58</v>
      </c>
      <c r="B60" s="69">
        <v>5443</v>
      </c>
      <c r="C60" s="70">
        <v>705</v>
      </c>
      <c r="D60" s="69">
        <v>16016</v>
      </c>
      <c r="E60" s="70">
        <v>1275</v>
      </c>
      <c r="F60" s="72">
        <v>3437</v>
      </c>
      <c r="G60" s="75">
        <v>591</v>
      </c>
    </row>
    <row r="61" spans="1:7" x14ac:dyDescent="0.2">
      <c r="A61" s="11" t="s">
        <v>59</v>
      </c>
      <c r="B61" s="69">
        <v>4570</v>
      </c>
      <c r="C61" s="70">
        <v>369</v>
      </c>
      <c r="D61" s="69">
        <v>17093</v>
      </c>
      <c r="E61" s="70">
        <v>1025</v>
      </c>
      <c r="F61" s="72">
        <v>3350</v>
      </c>
      <c r="G61" s="75">
        <v>448</v>
      </c>
    </row>
    <row r="62" spans="1:7" x14ac:dyDescent="0.2">
      <c r="A62" s="11" t="s">
        <v>60</v>
      </c>
      <c r="B62" s="69">
        <v>6631</v>
      </c>
      <c r="C62" s="70">
        <v>1271</v>
      </c>
      <c r="D62" s="69">
        <v>13171</v>
      </c>
      <c r="E62" s="70">
        <v>1187</v>
      </c>
      <c r="F62" s="72">
        <v>3430</v>
      </c>
      <c r="G62" s="75">
        <v>829</v>
      </c>
    </row>
    <row r="63" spans="1:7" x14ac:dyDescent="0.2">
      <c r="A63" s="11" t="s">
        <v>61</v>
      </c>
      <c r="B63" s="69">
        <v>7385</v>
      </c>
      <c r="C63" s="70">
        <v>654</v>
      </c>
      <c r="D63" s="69">
        <v>19033</v>
      </c>
      <c r="E63" s="70">
        <v>1129</v>
      </c>
      <c r="F63" s="72">
        <v>4190</v>
      </c>
      <c r="G63" s="75">
        <v>512</v>
      </c>
    </row>
    <row r="64" spans="1:7" x14ac:dyDescent="0.2">
      <c r="A64" s="11" t="s">
        <v>62</v>
      </c>
      <c r="B64" s="69">
        <v>5912</v>
      </c>
      <c r="C64" s="70">
        <v>441</v>
      </c>
      <c r="D64" s="69">
        <v>14385</v>
      </c>
      <c r="E64" s="70">
        <v>851</v>
      </c>
      <c r="F64" s="72">
        <v>3508</v>
      </c>
      <c r="G64" s="75">
        <v>359</v>
      </c>
    </row>
    <row r="65" spans="1:7" x14ac:dyDescent="0.2">
      <c r="A65" s="11" t="s">
        <v>63</v>
      </c>
      <c r="B65" s="69">
        <v>49075</v>
      </c>
      <c r="C65" s="70">
        <v>3621</v>
      </c>
      <c r="D65" s="69">
        <v>69259</v>
      </c>
      <c r="E65" s="70">
        <v>3553</v>
      </c>
      <c r="F65" s="72">
        <v>17757</v>
      </c>
      <c r="G65" s="75">
        <v>2091</v>
      </c>
    </row>
    <row r="66" spans="1:7" x14ac:dyDescent="0.2">
      <c r="A66" s="11" t="s">
        <v>64</v>
      </c>
      <c r="B66" s="69">
        <v>7928</v>
      </c>
      <c r="C66" s="70">
        <v>819</v>
      </c>
      <c r="D66" s="69">
        <v>20370</v>
      </c>
      <c r="E66" s="70">
        <v>1388</v>
      </c>
      <c r="F66" s="72">
        <v>5543</v>
      </c>
      <c r="G66" s="75">
        <v>746</v>
      </c>
    </row>
    <row r="67" spans="1:7" x14ac:dyDescent="0.2">
      <c r="A67" s="11" t="s">
        <v>65</v>
      </c>
      <c r="B67" s="69">
        <v>80774</v>
      </c>
      <c r="C67" s="70">
        <v>6160</v>
      </c>
      <c r="D67" s="69">
        <v>123980</v>
      </c>
      <c r="E67" s="70">
        <v>6874</v>
      </c>
      <c r="F67" s="72">
        <v>29805</v>
      </c>
      <c r="G67" s="75">
        <v>3531</v>
      </c>
    </row>
    <row r="68" spans="1:7" x14ac:dyDescent="0.2">
      <c r="A68" s="11" t="s">
        <v>66</v>
      </c>
      <c r="B68" s="69">
        <v>4367</v>
      </c>
      <c r="C68" s="70">
        <v>364</v>
      </c>
      <c r="D68" s="69">
        <v>10669</v>
      </c>
      <c r="E68" s="70">
        <v>628</v>
      </c>
      <c r="F68" s="72">
        <v>2215</v>
      </c>
      <c r="G68" s="75">
        <v>289</v>
      </c>
    </row>
    <row r="69" spans="1:7" x14ac:dyDescent="0.2">
      <c r="A69" s="19" t="s">
        <v>67</v>
      </c>
      <c r="B69" s="68">
        <v>86577</v>
      </c>
      <c r="C69" s="71">
        <v>10529</v>
      </c>
      <c r="D69" s="68">
        <v>156549</v>
      </c>
      <c r="E69" s="71">
        <v>11912</v>
      </c>
      <c r="F69" s="73">
        <v>55445</v>
      </c>
      <c r="G69" s="76">
        <v>8056</v>
      </c>
    </row>
    <row r="70" spans="1:7" x14ac:dyDescent="0.2">
      <c r="A70" s="32" t="s">
        <v>68</v>
      </c>
      <c r="B70" s="14">
        <f>SUM(B3:B69)</f>
        <v>3446233</v>
      </c>
      <c r="C70" s="14">
        <f t="shared" ref="C70:G70" si="0">SUM(C3:C69)</f>
        <v>418749</v>
      </c>
      <c r="D70" s="14">
        <f t="shared" si="0"/>
        <v>3393044</v>
      </c>
      <c r="E70" s="14">
        <f t="shared" si="0"/>
        <v>243532</v>
      </c>
      <c r="F70" s="14">
        <f t="shared" si="0"/>
        <v>1316397</v>
      </c>
      <c r="G70" s="14">
        <f t="shared" si="0"/>
        <v>200155</v>
      </c>
    </row>
    <row r="71" spans="1:7" x14ac:dyDescent="0.2">
      <c r="G71" s="11"/>
    </row>
    <row r="72" spans="1:7" x14ac:dyDescent="0.2">
      <c r="G72" s="11"/>
    </row>
    <row r="73" spans="1:7" x14ac:dyDescent="0.2">
      <c r="A73" s="32" t="s">
        <v>80</v>
      </c>
      <c r="B73" s="14">
        <f>SUM(B70:G70)</f>
        <v>9018110</v>
      </c>
      <c r="D73" s="11"/>
      <c r="E73" s="11"/>
      <c r="G73" s="11"/>
    </row>
    <row r="74" spans="1:7" x14ac:dyDescent="0.2">
      <c r="D74" s="11"/>
      <c r="E74" s="11"/>
      <c r="G74" s="11"/>
    </row>
    <row r="75" spans="1:7" x14ac:dyDescent="0.2">
      <c r="D75" s="11"/>
      <c r="E75" s="11"/>
      <c r="G75" s="11"/>
    </row>
    <row r="76" spans="1:7" x14ac:dyDescent="0.2">
      <c r="D76" s="11"/>
      <c r="E76" s="11"/>
      <c r="G76" s="11"/>
    </row>
    <row r="77" spans="1:7" x14ac:dyDescent="0.2">
      <c r="D77" s="11"/>
      <c r="E77" s="11"/>
      <c r="G77" s="11"/>
    </row>
    <row r="78" spans="1:7" x14ac:dyDescent="0.2">
      <c r="D78" s="11"/>
      <c r="E78" s="11"/>
      <c r="G78" s="11"/>
    </row>
    <row r="79" spans="1:7" x14ac:dyDescent="0.2">
      <c r="D79" s="11"/>
      <c r="E79" s="11"/>
      <c r="G79" s="11"/>
    </row>
    <row r="80" spans="1:7" x14ac:dyDescent="0.2">
      <c r="D80" s="11"/>
      <c r="E80" s="11"/>
      <c r="G80" s="11"/>
    </row>
    <row r="81" spans="2:7" x14ac:dyDescent="0.2">
      <c r="D81" s="11"/>
      <c r="E81" s="11"/>
      <c r="G81" s="11"/>
    </row>
    <row r="82" spans="2:7" x14ac:dyDescent="0.2">
      <c r="B82" s="11"/>
      <c r="G82" s="11"/>
    </row>
    <row r="83" spans="2:7" x14ac:dyDescent="0.2">
      <c r="B83" s="11"/>
      <c r="G83" s="11"/>
    </row>
    <row r="84" spans="2:7" x14ac:dyDescent="0.2">
      <c r="G84" s="11"/>
    </row>
    <row r="85" spans="2:7" x14ac:dyDescent="0.2">
      <c r="B85" s="11"/>
      <c r="G85" s="11"/>
    </row>
    <row r="86" spans="2:7" x14ac:dyDescent="0.2">
      <c r="B86" s="11"/>
      <c r="G86" s="11"/>
    </row>
    <row r="87" spans="2:7" x14ac:dyDescent="0.2">
      <c r="G87" s="11"/>
    </row>
    <row r="88" spans="2:7" x14ac:dyDescent="0.2">
      <c r="G88" s="11"/>
    </row>
    <row r="89" spans="2:7" x14ac:dyDescent="0.2">
      <c r="G89" s="11"/>
    </row>
    <row r="90" spans="2:7" x14ac:dyDescent="0.2">
      <c r="G90" s="11"/>
    </row>
    <row r="91" spans="2:7" x14ac:dyDescent="0.2">
      <c r="G91" s="11"/>
    </row>
    <row r="92" spans="2:7" x14ac:dyDescent="0.2">
      <c r="G92" s="11"/>
    </row>
    <row r="93" spans="2:7" x14ac:dyDescent="0.2">
      <c r="G93" s="11"/>
    </row>
    <row r="94" spans="2:7" x14ac:dyDescent="0.2">
      <c r="G94" s="11"/>
    </row>
    <row r="95" spans="2:7" x14ac:dyDescent="0.2">
      <c r="G95" s="11"/>
    </row>
    <row r="96" spans="2:7" x14ac:dyDescent="0.2">
      <c r="G96" s="11"/>
    </row>
    <row r="97" spans="7:7" x14ac:dyDescent="0.2">
      <c r="G97" s="11"/>
    </row>
    <row r="98" spans="7:7" x14ac:dyDescent="0.2">
      <c r="G98" s="11"/>
    </row>
    <row r="99" spans="7:7" x14ac:dyDescent="0.2">
      <c r="G99" s="11"/>
    </row>
    <row r="100" spans="7:7" x14ac:dyDescent="0.2">
      <c r="G100" s="11"/>
    </row>
    <row r="101" spans="7:7" x14ac:dyDescent="0.2">
      <c r="G101" s="11"/>
    </row>
    <row r="102" spans="7:7" x14ac:dyDescent="0.2">
      <c r="G102" s="11"/>
    </row>
    <row r="103" spans="7:7" x14ac:dyDescent="0.2">
      <c r="G103" s="11"/>
    </row>
    <row r="104" spans="7:7" x14ac:dyDescent="0.2">
      <c r="G104" s="11"/>
    </row>
    <row r="105" spans="7:7" x14ac:dyDescent="0.2">
      <c r="G105" s="11"/>
    </row>
    <row r="106" spans="7:7" x14ac:dyDescent="0.2">
      <c r="G106" s="11"/>
    </row>
    <row r="107" spans="7:7" x14ac:dyDescent="0.2">
      <c r="G107" s="11"/>
    </row>
    <row r="108" spans="7:7" x14ac:dyDescent="0.2">
      <c r="G108" s="11"/>
    </row>
    <row r="109" spans="7:7" x14ac:dyDescent="0.2">
      <c r="G109" s="11"/>
    </row>
    <row r="110" spans="7:7" x14ac:dyDescent="0.2">
      <c r="G110" s="11"/>
    </row>
    <row r="111" spans="7:7" x14ac:dyDescent="0.2">
      <c r="G111" s="11"/>
    </row>
    <row r="112" spans="7:7" x14ac:dyDescent="0.2">
      <c r="G112" s="11"/>
    </row>
    <row r="113" spans="7:7" x14ac:dyDescent="0.2">
      <c r="G113" s="11"/>
    </row>
    <row r="114" spans="7:7" x14ac:dyDescent="0.2">
      <c r="G114" s="11"/>
    </row>
    <row r="115" spans="7:7" x14ac:dyDescent="0.2">
      <c r="G115" s="11"/>
    </row>
    <row r="116" spans="7:7" x14ac:dyDescent="0.2">
      <c r="G116" s="11"/>
    </row>
    <row r="117" spans="7:7" x14ac:dyDescent="0.2">
      <c r="G117" s="11"/>
    </row>
    <row r="118" spans="7:7" x14ac:dyDescent="0.2">
      <c r="G118" s="11"/>
    </row>
    <row r="119" spans="7:7" x14ac:dyDescent="0.2">
      <c r="G119" s="11"/>
    </row>
    <row r="120" spans="7:7" x14ac:dyDescent="0.2">
      <c r="G120" s="11"/>
    </row>
    <row r="121" spans="7:7" x14ac:dyDescent="0.2">
      <c r="G121" s="11"/>
    </row>
    <row r="122" spans="7:7" x14ac:dyDescent="0.2">
      <c r="G122" s="11"/>
    </row>
    <row r="123" spans="7:7" x14ac:dyDescent="0.2">
      <c r="G123" s="11"/>
    </row>
    <row r="124" spans="7:7" x14ac:dyDescent="0.2">
      <c r="G124" s="11"/>
    </row>
    <row r="125" spans="7:7" x14ac:dyDescent="0.2">
      <c r="G125" s="11"/>
    </row>
    <row r="126" spans="7:7" x14ac:dyDescent="0.2">
      <c r="G126" s="11"/>
    </row>
    <row r="127" spans="7:7" x14ac:dyDescent="0.2">
      <c r="G127" s="11"/>
    </row>
    <row r="128" spans="7:7" x14ac:dyDescent="0.2">
      <c r="G128" s="11"/>
    </row>
    <row r="129" spans="7:7" x14ac:dyDescent="0.2">
      <c r="G129" s="11"/>
    </row>
    <row r="130" spans="7:7" x14ac:dyDescent="0.2">
      <c r="G130" s="11"/>
    </row>
    <row r="131" spans="7:7" x14ac:dyDescent="0.2">
      <c r="G131" s="11"/>
    </row>
    <row r="132" spans="7:7" x14ac:dyDescent="0.2">
      <c r="G132" s="11"/>
    </row>
    <row r="133" spans="7:7" x14ac:dyDescent="0.2">
      <c r="G133" s="11"/>
    </row>
    <row r="134" spans="7:7" x14ac:dyDescent="0.2">
      <c r="G134" s="11"/>
    </row>
    <row r="135" spans="7:7" x14ac:dyDescent="0.2">
      <c r="G135" s="11"/>
    </row>
    <row r="136" spans="7:7" x14ac:dyDescent="0.2">
      <c r="G136" s="11"/>
    </row>
    <row r="137" spans="7:7" x14ac:dyDescent="0.2">
      <c r="G137" s="11"/>
    </row>
    <row r="138" spans="7:7" x14ac:dyDescent="0.2">
      <c r="G138" s="11"/>
    </row>
    <row r="139" spans="7:7" x14ac:dyDescent="0.2">
      <c r="G139" s="11"/>
    </row>
    <row r="140" spans="7:7" x14ac:dyDescent="0.2">
      <c r="G140" s="11"/>
    </row>
    <row r="141" spans="7:7" x14ac:dyDescent="0.2">
      <c r="G141" s="11"/>
    </row>
    <row r="142" spans="7:7" x14ac:dyDescent="0.2">
      <c r="G142" s="11"/>
    </row>
    <row r="143" spans="7:7" x14ac:dyDescent="0.2">
      <c r="G143" s="11"/>
    </row>
    <row r="144" spans="7:7" x14ac:dyDescent="0.2">
      <c r="G144" s="11"/>
    </row>
    <row r="145" spans="7:7" x14ac:dyDescent="0.2">
      <c r="G145" s="11"/>
    </row>
    <row r="146" spans="7:7" x14ac:dyDescent="0.2">
      <c r="G146" s="11"/>
    </row>
    <row r="147" spans="7:7" x14ac:dyDescent="0.2">
      <c r="G147" s="11"/>
    </row>
    <row r="148" spans="7:7" x14ac:dyDescent="0.2">
      <c r="G148" s="11"/>
    </row>
    <row r="149" spans="7:7" x14ac:dyDescent="0.2">
      <c r="G149" s="11"/>
    </row>
    <row r="150" spans="7:7" x14ac:dyDescent="0.2">
      <c r="G150" s="11"/>
    </row>
    <row r="151" spans="7:7" x14ac:dyDescent="0.2">
      <c r="G151" s="11"/>
    </row>
    <row r="152" spans="7:7" x14ac:dyDescent="0.2">
      <c r="G152" s="11"/>
    </row>
    <row r="153" spans="7:7" x14ac:dyDescent="0.2">
      <c r="G153" s="11"/>
    </row>
    <row r="154" spans="7:7" x14ac:dyDescent="0.2">
      <c r="G154" s="11"/>
    </row>
    <row r="155" spans="7:7" x14ac:dyDescent="0.2">
      <c r="G155" s="11"/>
    </row>
    <row r="156" spans="7:7" x14ac:dyDescent="0.2">
      <c r="G156" s="11"/>
    </row>
    <row r="157" spans="7:7" x14ac:dyDescent="0.2">
      <c r="G157" s="11"/>
    </row>
    <row r="158" spans="7:7" x14ac:dyDescent="0.2">
      <c r="G158" s="11"/>
    </row>
    <row r="159" spans="7:7" x14ac:dyDescent="0.2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4.25" x14ac:dyDescent="0.2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 x14ac:dyDescent="0.25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Charpentier, William A.</cp:lastModifiedBy>
  <cp:lastPrinted>2013-07-08T13:20:55Z</cp:lastPrinted>
  <dcterms:created xsi:type="dcterms:W3CDTF">2008-03-11T20:46:20Z</dcterms:created>
  <dcterms:modified xsi:type="dcterms:W3CDTF">2026-10-05T13:41:39Z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